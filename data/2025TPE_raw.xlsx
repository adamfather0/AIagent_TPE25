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ummary in %" sheetId="2" r:id="rId5"/>
    <sheet state="visible" name="COP" sheetId="3" r:id="rId6"/>
    <sheet state="visible" name="EC(wrong)" sheetId="4" r:id="rId7"/>
    <sheet state="visible" name="pH(wrong)" sheetId="5" r:id="rId8"/>
    <sheet state="visible" name="shoot F&amp;DW" sheetId="6" r:id="rId9"/>
    <sheet state="visible" name="7-30-2025" sheetId="7" r:id="rId10"/>
    <sheet state="visible" name="8-14-2025" sheetId="8" r:id="rId11"/>
    <sheet state="visible" name="Photosynthetic data" sheetId="9" r:id="rId12"/>
  </sheets>
  <definedNames/>
  <calcPr/>
  <extLst>
    <ext uri="GoogleSheetsCustomDataVersion2">
      <go:sheetsCustomData xmlns:go="http://customooxmlschemas.google.com/" r:id="rId13" roundtripDataChecksum="63RnmdaQzscA1ImDFo2iX4v3lnZiqKcYU1qMomZJMzc="/>
    </ext>
  </extLst>
</workbook>
</file>

<file path=xl/sharedStrings.xml><?xml version="1.0" encoding="utf-8"?>
<sst xmlns="http://schemas.openxmlformats.org/spreadsheetml/2006/main" count="5151" uniqueCount="604">
  <si>
    <t xml:space="preserve">Treatment </t>
  </si>
  <si>
    <t>Rep</t>
  </si>
  <si>
    <t>Soil</t>
  </si>
  <si>
    <t>Biochar</t>
  </si>
  <si>
    <t>Fertilizer</t>
  </si>
  <si>
    <t>Dry_matter*</t>
  </si>
  <si>
    <t>Protein</t>
  </si>
  <si>
    <t>N</t>
  </si>
  <si>
    <t>P</t>
  </si>
  <si>
    <t>K</t>
  </si>
  <si>
    <t>Ca</t>
  </si>
  <si>
    <t>Fe</t>
  </si>
  <si>
    <t>Zn</t>
  </si>
  <si>
    <t>Mg</t>
  </si>
  <si>
    <t>N uptake</t>
  </si>
  <si>
    <t>P_uptake</t>
  </si>
  <si>
    <t>K_uptake</t>
  </si>
  <si>
    <t>Ca_uptake</t>
  </si>
  <si>
    <t>Fe_uptake</t>
  </si>
  <si>
    <t>Zn_uptake</t>
  </si>
  <si>
    <t>Mg_uptake</t>
  </si>
  <si>
    <t>Acid_phosphomonosterase</t>
  </si>
  <si>
    <t>Dehydrogenase</t>
  </si>
  <si>
    <t>pH</t>
  </si>
  <si>
    <t>EC</t>
  </si>
  <si>
    <t xml:space="preserve">Plant_height_20DAT </t>
  </si>
  <si>
    <t>Stem_diameter_20DAT</t>
  </si>
  <si>
    <t>SPAD_20DAT</t>
  </si>
  <si>
    <t>NDVI_20DAT</t>
  </si>
  <si>
    <t xml:space="preserve">Plant_height_35DAT </t>
  </si>
  <si>
    <t>Stem_diameter_35DAT</t>
  </si>
  <si>
    <t>SPAD_35DAT</t>
  </si>
  <si>
    <t>NDVI_35DAT</t>
  </si>
  <si>
    <t>Flower_buds</t>
  </si>
  <si>
    <t>Above_ground_biomass</t>
  </si>
  <si>
    <t>PFPN</t>
  </si>
  <si>
    <t>Agronomic NUE</t>
  </si>
  <si>
    <t>Recovery_rate_N</t>
  </si>
  <si>
    <t>Recovery_rate_P</t>
  </si>
  <si>
    <t>Recovery_rate_K</t>
  </si>
  <si>
    <t>Physiological Efficiency</t>
  </si>
  <si>
    <t>N/P ratio</t>
  </si>
  <si>
    <t>mg g-1</t>
  </si>
  <si>
    <t>kg/ha</t>
  </si>
  <si>
    <t>mg kg-1 soil h-1</t>
  </si>
  <si>
    <t>(1:2.5)</t>
  </si>
  <si>
    <t>uS/m</t>
  </si>
  <si>
    <t>cm</t>
  </si>
  <si>
    <t>mm</t>
  </si>
  <si>
    <t>g plant-1</t>
  </si>
  <si>
    <t>kgAGB kgN-1</t>
  </si>
  <si>
    <t>%</t>
  </si>
  <si>
    <t>kgAGB kgNuptake-1</t>
  </si>
  <si>
    <t>T1</t>
  </si>
  <si>
    <t>Red_soil</t>
  </si>
  <si>
    <t>NO</t>
  </si>
  <si>
    <t>NA</t>
  </si>
  <si>
    <t>T2</t>
  </si>
  <si>
    <t>Alluvial_soil</t>
  </si>
  <si>
    <t>T3</t>
  </si>
  <si>
    <t>YES</t>
  </si>
  <si>
    <t>T4</t>
  </si>
  <si>
    <t>T5</t>
  </si>
  <si>
    <t>Rice_husk</t>
  </si>
  <si>
    <t>T6</t>
  </si>
  <si>
    <t>Leucaena</t>
  </si>
  <si>
    <t>T7</t>
  </si>
  <si>
    <t>T8</t>
  </si>
  <si>
    <t>平均</t>
  </si>
  <si>
    <r>
      <rPr>
        <rFont val="Arial"/>
        <color rgb="FF000000"/>
        <sz val="10.0"/>
      </rPr>
      <t>(</t>
    </r>
    <r>
      <rPr>
        <rFont val="Microsoft JhengHei"/>
        <color rgb="FF000000"/>
        <sz val="10.0"/>
      </rPr>
      <t>相對於各自負對照組</t>
    </r>
  </si>
  <si>
    <r>
      <rPr>
        <rFont val="Arial"/>
        <color rgb="FF000000"/>
        <sz val="10.0"/>
      </rPr>
      <t>(</t>
    </r>
    <r>
      <rPr>
        <rFont val="Microsoft JhengHei"/>
        <color rgb="FF000000"/>
        <sz val="10.0"/>
      </rPr>
      <t>相對於各自正對照組</t>
    </r>
  </si>
  <si>
    <t>Calender of operations (COP)</t>
  </si>
  <si>
    <t>Operation</t>
  </si>
  <si>
    <t>Date</t>
  </si>
  <si>
    <t>Seed sowing</t>
  </si>
  <si>
    <t>Transplanting</t>
  </si>
  <si>
    <t>Fertilization</t>
  </si>
  <si>
    <t xml:space="preserve">EC,pH </t>
  </si>
  <si>
    <t>Spraying pesticide</t>
  </si>
  <si>
    <t>1 st top</t>
  </si>
  <si>
    <t>Dry weight</t>
  </si>
  <si>
    <t>Nutritional sampling</t>
  </si>
  <si>
    <t>Date:2025/7/18</t>
  </si>
  <si>
    <t>Parameters:EC</t>
  </si>
  <si>
    <t>Replication</t>
  </si>
  <si>
    <t>Treatment</t>
  </si>
  <si>
    <t>P1</t>
  </si>
  <si>
    <t>P2</t>
  </si>
  <si>
    <t>P3</t>
  </si>
  <si>
    <t>P4</t>
  </si>
  <si>
    <t>mean</t>
  </si>
  <si>
    <t>Treatments</t>
  </si>
  <si>
    <t>Value (mS)</t>
  </si>
  <si>
    <t>Treatment details</t>
  </si>
  <si>
    <t>R1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</si>
  <si>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1</t>
    </r>
  </si>
  <si>
    <t>Red soil (control, no input)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</si>
  <si>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2</t>
    </r>
  </si>
  <si>
    <t>Silty loam soil (control, no input)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</si>
  <si>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3</t>
    </r>
  </si>
  <si>
    <t>‎Red soil+ Fertilizer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</si>
  <si>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4</t>
    </r>
  </si>
  <si>
    <t>Silty loam soil+ Fertilizer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</si>
  <si>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5</t>
    </r>
  </si>
  <si>
    <t>Red soil+ Fertilizer + Rice husk biochar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</si>
  <si>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6</t>
    </r>
    <r>
      <rPr>
        <rFont val="Times New Roman"/>
        <b/>
        <color rgb="FF000000"/>
        <sz val="12.0"/>
      </rPr>
      <t>‎</t>
    </r>
  </si>
  <si>
    <t>Red soil+ Fertilizer + Leucaena biochar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</si>
  <si>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7</t>
    </r>
    <r>
      <rPr>
        <rFont val="Times New Roman"/>
        <b/>
        <color rgb="FF000000"/>
        <sz val="12.0"/>
        <vertAlign val="subscript"/>
      </rPr>
      <t>‎</t>
    </r>
  </si>
  <si>
    <t>Silty loam soil+ Fertilizer+ Rice husk biochar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</si>
  <si>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8</t>
    </r>
    <r>
      <rPr>
        <rFont val="Times New Roman"/>
        <b/>
        <color rgb="FF000000"/>
        <sz val="12.0"/>
        <vertAlign val="subscript"/>
      </rPr>
      <t>‎</t>
    </r>
  </si>
  <si>
    <t>Silty loam soil+ Fertilizer+ Leucaena biochar</t>
  </si>
  <si>
    <t>R2</t>
  </si>
  <si>
    <t>R3</t>
  </si>
  <si>
    <t>R4</t>
  </si>
  <si>
    <t>Date:7/18</t>
  </si>
  <si>
    <t>Parameters:pH</t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</si>
  <si>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1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</si>
  <si>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2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</si>
  <si>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3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</si>
  <si>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4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</si>
  <si>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5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</si>
  <si>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6</t>
    </r>
    <r>
      <rPr>
        <rFont val="Times New Roman"/>
        <b/>
        <color rgb="FF000000"/>
        <sz val="12.0"/>
      </rPr>
      <t>‎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</si>
  <si>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7</t>
    </r>
    <r>
      <rPr>
        <rFont val="Times New Roman"/>
        <b/>
        <color rgb="FF000000"/>
        <sz val="12.0"/>
        <vertAlign val="subscript"/>
      </rPr>
      <t>‎</t>
    </r>
  </si>
  <si>
    <r>
      <rPr>
        <rFont val="Times New Roman"/>
        <color rgb="FF000000"/>
        <sz val="12.0"/>
      </rPr>
      <t>T</t>
    </r>
    <r>
      <rPr>
        <rFont val="Times New Roman"/>
        <color rgb="FF000000"/>
        <sz val="12.0"/>
        <vertAlign val="subscript"/>
      </rPr>
      <t>8</t>
    </r>
    <r>
      <rPr>
        <rFont val="Times New Roman"/>
        <b/>
        <color rgb="FF000000"/>
        <sz val="12.0"/>
        <vertAlign val="subscript"/>
      </rPr>
      <t>‎</t>
    </r>
  </si>
  <si>
    <t>Date:7/31</t>
  </si>
  <si>
    <t xml:space="preserve">Parameters:Plant height 20DAT (cm) </t>
  </si>
  <si>
    <t>Stem diameter (mm)</t>
  </si>
  <si>
    <t>SPAD</t>
  </si>
  <si>
    <t>Flower buds</t>
  </si>
  <si>
    <t>Fresh weights</t>
  </si>
  <si>
    <t>shoot</t>
  </si>
  <si>
    <t>Leaves</t>
  </si>
  <si>
    <t>Dryweights</t>
  </si>
  <si>
    <t>Shoot</t>
  </si>
  <si>
    <t>Fresh weight</t>
  </si>
  <si>
    <t>dry weight</t>
  </si>
  <si>
    <t>TPE25-</t>
  </si>
  <si>
    <t>date</t>
  </si>
  <si>
    <t>3D Leaf Area mmÂ²</t>
  </si>
  <si>
    <t>Canopy Light Penetration Depth mm</t>
  </si>
  <si>
    <t>Convex Hull Area mmÂ²</t>
  </si>
  <si>
    <t>Convex Hull Area Coverage %</t>
  </si>
  <si>
    <t>Convex Hull Aspect Ratio %</t>
  </si>
  <si>
    <t>Convex Hull Circumference mm</t>
  </si>
  <si>
    <t>Convex Hull Maximum Width mm</t>
  </si>
  <si>
    <t>Digital Biomass mmÂ³</t>
  </si>
  <si>
    <t xml:space="preserve">GLI Average </t>
  </si>
  <si>
    <t>GLI [-1:-0.2] %</t>
  </si>
  <si>
    <t>GLI [-0.2:0] %</t>
  </si>
  <si>
    <t>GLI [0:0.15] %</t>
  </si>
  <si>
    <t>GLI [0.15:0.3] %</t>
  </si>
  <si>
    <t>GLI [0.3:0.6] %</t>
  </si>
  <si>
    <t>GLI [0.6:1] %</t>
  </si>
  <si>
    <t>Hue Average Â°</t>
  </si>
  <si>
    <t>Hue [0:25] %</t>
  </si>
  <si>
    <t>Hue [25:50] %</t>
  </si>
  <si>
    <t>Hue [50:75] %</t>
  </si>
  <si>
    <t>Hue [75:100] %</t>
  </si>
  <si>
    <t>Hue [100:125] %</t>
  </si>
  <si>
    <t>Hue [125:360] %</t>
  </si>
  <si>
    <t>Lightness Average %</t>
  </si>
  <si>
    <t>Lightness [0:0] %</t>
  </si>
  <si>
    <t>Lightness [0:25] %</t>
  </si>
  <si>
    <t>Lightness [25:50] %</t>
  </si>
  <si>
    <t>Lightness [50:75] %</t>
  </si>
  <si>
    <t>Lightness [75:100] %</t>
  </si>
  <si>
    <t>Lightness [100:100] %</t>
  </si>
  <si>
    <t xml:space="preserve">NDVI Average </t>
  </si>
  <si>
    <t>NDVI [-1:0] %</t>
  </si>
  <si>
    <t>NDVI [0:0.15] %</t>
  </si>
  <si>
    <t>NDVI [0.15:0.3] %</t>
  </si>
  <si>
    <t>NDVI [0.3:0.45] %</t>
  </si>
  <si>
    <t>NDVI [0.45:0.6] %</t>
  </si>
  <si>
    <t>NDVI [0.6:1] %</t>
  </si>
  <si>
    <t xml:space="preserve">NPCI Average </t>
  </si>
  <si>
    <t>NPCI [-1:-0.2] %</t>
  </si>
  <si>
    <t>NPCI [-0.2:0] %</t>
  </si>
  <si>
    <t>NPCI [0:0.2] %</t>
  </si>
  <si>
    <t>NPCI [0.2:0.4] %</t>
  </si>
  <si>
    <t>NPCI [0.4:0.6] %</t>
  </si>
  <si>
    <t>NPCI [0.6:1] %</t>
  </si>
  <si>
    <t>Plant Height Averaged mm</t>
  </si>
  <si>
    <t>Plant Height Max mm</t>
  </si>
  <si>
    <t>Projected Leaf Area mmÂ²</t>
  </si>
  <si>
    <t xml:space="preserve">PSRI Average </t>
  </si>
  <si>
    <t>PSRI [-4:-0.8] %</t>
  </si>
  <si>
    <t>PSRI [-0.8:-0.4] %</t>
  </si>
  <si>
    <t>PSRI [-0.4:-0.2] %</t>
  </si>
  <si>
    <t>PSRI [-0.2:0] %</t>
  </si>
  <si>
    <t>PSRI [0:0.2] %</t>
  </si>
  <si>
    <t>PSRI [0.2:4] %</t>
  </si>
  <si>
    <t>Saturation Average %</t>
  </si>
  <si>
    <t>Saturation [0:0] %</t>
  </si>
  <si>
    <t>Saturation [0:25] %</t>
  </si>
  <si>
    <t>Saturation [25:50] %</t>
  </si>
  <si>
    <t>Saturation [50:75] %</t>
  </si>
  <si>
    <t>Saturation [75:100] %</t>
  </si>
  <si>
    <t>Saturation [100:100] %</t>
  </si>
  <si>
    <t>Surface Angle Average Â°</t>
  </si>
  <si>
    <t>Voxel Volume Total mmÂ³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</si>
  <si>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</si>
  <si>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</si>
  <si>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</si>
  <si>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</si>
  <si>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</si>
  <si>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</si>
  <si>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</si>
  <si>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</si>
  <si>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</si>
  <si>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</si>
  <si>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</si>
  <si>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</si>
  <si>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MchStatus</t>
  </si>
  <si>
    <t>ConStatus</t>
  </si>
  <si>
    <t>Status</t>
  </si>
  <si>
    <t>obs</t>
  </si>
  <si>
    <t>time</t>
  </si>
  <si>
    <t>elapsed</t>
  </si>
  <si>
    <t>hhmmss</t>
  </si>
  <si>
    <t>averaging</t>
  </si>
  <si>
    <t>TIME</t>
  </si>
  <si>
    <t>E</t>
  </si>
  <si>
    <t>Emm</t>
  </si>
  <si>
    <t>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</si>
  <si>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</si>
  <si>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</si>
  <si>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</si>
  <si>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</si>
  <si>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</si>
  <si>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</si>
  <si>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</si>
  <si>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</si>
  <si>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</si>
  <si>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</si>
  <si>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</si>
  <si>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</si>
  <si>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</si>
  <si>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</si>
  <si>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</si>
  <si>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</si>
  <si>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</si>
  <si>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</si>
  <si>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</si>
  <si>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</si>
  <si>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</si>
  <si>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</si>
  <si>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</si>
  <si>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</si>
  <si>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</si>
  <si>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</si>
  <si>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</si>
  <si>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</si>
  <si>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</si>
  <si>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</si>
  <si>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</si>
  <si>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</si>
  <si>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</si>
  <si>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</si>
  <si>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</si>
  <si>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</si>
  <si>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</si>
  <si>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</si>
  <si>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</si>
  <si>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</si>
  <si>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</si>
  <si>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</si>
  <si>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</si>
  <si>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</si>
  <si>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</si>
  <si>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</si>
  <si>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</si>
  <si>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</si>
  <si>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</si>
  <si>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</si>
  <si>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</si>
  <si>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</si>
  <si>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</si>
  <si>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</si>
  <si>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</si>
  <si>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</si>
  <si>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</si>
  <si>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</si>
  <si>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</si>
  <si>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</si>
  <si>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</si>
  <si>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</si>
  <si>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</si>
  <si>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</si>
  <si>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</si>
  <si>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</si>
  <si>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</si>
  <si>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</si>
  <si>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</si>
  <si>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</si>
  <si>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</si>
  <si>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</si>
  <si>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</si>
  <si>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</si>
  <si>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</si>
  <si>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</si>
  <si>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</si>
  <si>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</si>
  <si>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</si>
  <si>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</si>
  <si>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</si>
  <si>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</si>
  <si>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</si>
  <si>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</si>
  <si>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</si>
  <si>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</si>
  <si>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</si>
  <si>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</si>
  <si>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</si>
  <si>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</si>
  <si>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</si>
  <si>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</si>
  <si>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</si>
  <si>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</si>
  <si>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</si>
  <si>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</si>
  <si>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</si>
  <si>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</si>
  <si>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</si>
  <si>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</si>
  <si>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</si>
  <si>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</si>
  <si>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</si>
  <si>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</si>
  <si>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</si>
  <si>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</si>
  <si>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</si>
  <si>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</si>
  <si>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</si>
  <si>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</si>
  <si>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</si>
  <si>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</si>
  <si>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</si>
  <si>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</si>
  <si>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</si>
  <si>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</si>
  <si>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</si>
  <si>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</si>
  <si>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</si>
  <si>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</si>
  <si>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</si>
  <si>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</si>
  <si>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</si>
  <si>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</si>
  <si>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</si>
  <si>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</si>
  <si>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</si>
  <si>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</si>
  <si>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</si>
  <si>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</si>
  <si>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</si>
  <si>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</si>
  <si>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</si>
  <si>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</si>
  <si>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</si>
  <si>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</si>
  <si>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</si>
  <si>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</si>
  <si>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</si>
  <si>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</si>
  <si>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</si>
  <si>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</si>
  <si>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</si>
  <si>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</si>
  <si>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</si>
  <si>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</si>
  <si>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</si>
  <si>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</si>
  <si>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</si>
  <si>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</si>
  <si>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</si>
  <si>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</si>
  <si>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</si>
  <si>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</si>
  <si>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</si>
  <si>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</si>
  <si>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</si>
  <si>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</si>
  <si>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</si>
  <si>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</si>
  <si>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</si>
  <si>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</si>
  <si>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</si>
  <si>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</si>
  <si>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</si>
  <si>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</si>
  <si>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</si>
  <si>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</si>
  <si>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</si>
  <si>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</si>
  <si>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</si>
  <si>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</si>
  <si>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</si>
  <si>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</si>
  <si>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</si>
  <si>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</si>
  <si>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</si>
  <si>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</si>
  <si>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</si>
  <si>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</si>
  <si>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</si>
  <si>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</si>
  <si>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</si>
  <si>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Plot</t>
  </si>
  <si>
    <t>20250811 11:17:47</t>
  </si>
  <si>
    <t>none</t>
  </si>
  <si>
    <t>RECT-378-20250801-11_22_02</t>
  </si>
  <si>
    <t>RECT-443-20250811-11_17_41</t>
  </si>
  <si>
    <t>DARK-444-20250811-11_17_48</t>
  </si>
  <si>
    <t>None</t>
  </si>
  <si>
    <t>0: Broadleaf</t>
  </si>
  <si>
    <t>20250811 11:20:05</t>
  </si>
  <si>
    <t>RECT-445-20250811-11_19_58</t>
  </si>
  <si>
    <t>DARK-446-20250811-11_20_06</t>
  </si>
  <si>
    <t>20250811 11:50:12</t>
  </si>
  <si>
    <t>RECT-471-20250811-11_50_06</t>
  </si>
  <si>
    <t>DARK-472-20250811-11_50_13</t>
  </si>
  <si>
    <t>20250811 11:52:21</t>
  </si>
  <si>
    <t>RECT-473-20250811-11_52_15</t>
  </si>
  <si>
    <t>DARK-474-20250811-11_52_23</t>
  </si>
  <si>
    <t>20250811 10:35:45</t>
  </si>
  <si>
    <t>RECT-409-20250811-10_35_38</t>
  </si>
  <si>
    <t>DARK-410-20250811-10_35_46</t>
  </si>
  <si>
    <t>20250811 10:38:47</t>
  </si>
  <si>
    <t>RECT-411-20250811-10_38_41</t>
  </si>
  <si>
    <t>DARK-412-20250811-10_38_48</t>
  </si>
  <si>
    <t>20250811 10:57:23</t>
  </si>
  <si>
    <t>RECT-427-20250811-10_57_17</t>
  </si>
  <si>
    <t>DARK-428-20250811-10_57_24</t>
  </si>
  <si>
    <t>20250811 11:01:00</t>
  </si>
  <si>
    <t>RECT-429-20250811-11_00_54</t>
  </si>
  <si>
    <t>DARK-430-20250811-11_01_01</t>
  </si>
  <si>
    <t>20250811 11:31:39</t>
  </si>
  <si>
    <t>RECT-455-20250811-11_31_32</t>
  </si>
  <si>
    <t>DARK-456-20250811-11_31_40</t>
  </si>
  <si>
    <t>20250811 11:33:47</t>
  </si>
  <si>
    <t>RECT-457-20250811-11_33_40</t>
  </si>
  <si>
    <t>DARK-458-20250811-11_33_48</t>
  </si>
  <si>
    <t>20250811 12:32:32</t>
  </si>
  <si>
    <t>RECT-507-20250811-12_32_26</t>
  </si>
  <si>
    <t>DARK-508-20250811-12_32_33</t>
  </si>
  <si>
    <t>20250811 12:34:51</t>
  </si>
  <si>
    <t>RECT-509-20250811-12_34_45</t>
  </si>
  <si>
    <t>DARK-510-20250811-12_34_53</t>
  </si>
  <si>
    <t>20250811 12:08:58</t>
  </si>
  <si>
    <t>RECT-487-20250811-12_08_52</t>
  </si>
  <si>
    <t>DARK-488-20250811-12_08_59</t>
  </si>
  <si>
    <t>20250811 12:11:16</t>
  </si>
  <si>
    <t>RECT-489-20250811-12_11_10</t>
  </si>
  <si>
    <t>DARK-490-20250811-12_11_17</t>
  </si>
  <si>
    <t>20250811 10:03:30</t>
  </si>
  <si>
    <t>RECT-385-20250811-10_03_23</t>
  </si>
  <si>
    <t>DARK-386-20250811-10_03_31</t>
  </si>
  <si>
    <t>20250811 10:05:55</t>
  </si>
  <si>
    <t>RECT-387-20250811-10_05_49</t>
  </si>
  <si>
    <t>DARK-388-20250811-10_05_56</t>
  </si>
  <si>
    <t>20250811 12:13:39</t>
  </si>
  <si>
    <t>RECT-491-20250811-12_13_32</t>
  </si>
  <si>
    <t>DARK-492-20250811-12_13_40</t>
  </si>
  <si>
    <t>20250811 12:16:01</t>
  </si>
  <si>
    <t>RECT-493-20250811-12_15_55</t>
  </si>
  <si>
    <t>DARK-494-20250811-12_16_02</t>
  </si>
  <si>
    <t>20250811 11:12:30</t>
  </si>
  <si>
    <t>RECT-439-20250811-11_12_23</t>
  </si>
  <si>
    <t>DARK-440-20250811-11_12_31</t>
  </si>
  <si>
    <t>20250811 11:14:53</t>
  </si>
  <si>
    <t>RECT-441-20250811-11_14_46</t>
  </si>
  <si>
    <t>DARK-442-20250811-11_14_54</t>
  </si>
  <si>
    <t>20250811 11:03:15</t>
  </si>
  <si>
    <t>RECT-431-20250811-11_03_09</t>
  </si>
  <si>
    <t>DARK-432-20250811-11_03_16</t>
  </si>
  <si>
    <t>20250811 11:05:31</t>
  </si>
  <si>
    <t>RECT-433-20250811-11_05_25</t>
  </si>
  <si>
    <t>DARK-434-20250811-11_05_32</t>
  </si>
  <si>
    <t>20250811 11:27:06</t>
  </si>
  <si>
    <t>RECT-451-20250811-11_26_59</t>
  </si>
  <si>
    <t>DARK-452-20250811-11_27_07</t>
  </si>
  <si>
    <t>20250811 11:29:22</t>
  </si>
  <si>
    <t>RECT-453-20250811-11_29_16</t>
  </si>
  <si>
    <t>DARK-454-20250811-11_29_23</t>
  </si>
  <si>
    <t>20250811 12:22:50</t>
  </si>
  <si>
    <t>RECT-499-20250811-12_22_44</t>
  </si>
  <si>
    <t>DARK-500-20250811-12_22_51</t>
  </si>
  <si>
    <t>20250811 12:25:07</t>
  </si>
  <si>
    <t>RECT-501-20250811-12_25_01</t>
  </si>
  <si>
    <t>DARK-502-20250811-12_25_09</t>
  </si>
  <si>
    <t>20250811 11:54:46</t>
  </si>
  <si>
    <t>RECT-475-20250811-11_54_39</t>
  </si>
  <si>
    <t>DARK-476-20250811-11_54_47</t>
  </si>
  <si>
    <t>20250811 11:57:03</t>
  </si>
  <si>
    <t>RECT-477-20250811-11_56_57</t>
  </si>
  <si>
    <t>DARK-478-20250811-11_57_04</t>
  </si>
  <si>
    <t>20250811 10:08:31</t>
  </si>
  <si>
    <t>RECT-389-20250811-10_08_25</t>
  </si>
  <si>
    <t>DARK-390-20250811-10_08_32</t>
  </si>
  <si>
    <t>20250811 10:11:39</t>
  </si>
  <si>
    <t>RECT-391-20250811-10_11_33</t>
  </si>
  <si>
    <t>DARK-392-20250811-10_11_40</t>
  </si>
  <si>
    <t>20250811 11:45:25</t>
  </si>
  <si>
    <t>RECT-467-20250811-11_45_19</t>
  </si>
  <si>
    <t>DARK-468-20250811-11_45_26</t>
  </si>
  <si>
    <t>20250811 11:47:56</t>
  </si>
  <si>
    <t>RECT-469-20250811-11_47_50</t>
  </si>
  <si>
    <t>DARK-470-20250811-11_47_58</t>
  </si>
  <si>
    <t>20250811 10:47:56</t>
  </si>
  <si>
    <t>RECT-419-20250811-10_47_50</t>
  </si>
  <si>
    <t>DARK-420-20250811-10_47_57</t>
  </si>
  <si>
    <t>20250811 10:50:18</t>
  </si>
  <si>
    <t>RECT-421-20250811-10_50_11</t>
  </si>
  <si>
    <t>DARK-422-20250811-10_50_19</t>
  </si>
  <si>
    <t>20250811 11:22:24</t>
  </si>
  <si>
    <t>RECT-447-20250811-11_22_17</t>
  </si>
  <si>
    <t>DARK-448-20250811-11_22_25</t>
  </si>
  <si>
    <t>20250811 11:24:39</t>
  </si>
  <si>
    <t>RECT-449-20250811-11_24_33</t>
  </si>
  <si>
    <t>DARK-450-20250811-11_24_40</t>
  </si>
  <si>
    <t>20250811 10:52:46</t>
  </si>
  <si>
    <t>RECT-423-20250811-10_52_39</t>
  </si>
  <si>
    <t>DARK-424-20250811-10_52_47</t>
  </si>
  <si>
    <t>20250811 10:55:05</t>
  </si>
  <si>
    <t>RECT-425-20250811-10_54_58</t>
  </si>
  <si>
    <t>DARK-426-20250811-10_55_06</t>
  </si>
  <si>
    <t>20250811 10:25:37</t>
  </si>
  <si>
    <t>RECT-401-20250811-10_25_30</t>
  </si>
  <si>
    <t>DARK-402-20250811-10_25_38</t>
  </si>
  <si>
    <t>20250811 10:28:12</t>
  </si>
  <si>
    <t>RECT-403-20250811-10_28_05</t>
  </si>
  <si>
    <t>DARK-404-20250811-10_28_13</t>
  </si>
  <si>
    <t>20250811 09:58:38</t>
  </si>
  <si>
    <t>RECT-381-20250811-09_58_31</t>
  </si>
  <si>
    <t>DARK-382-20250811-09_58_39</t>
  </si>
  <si>
    <t>20250811 10:00:52</t>
  </si>
  <si>
    <t>RECT-383-20250811-10_00_45</t>
  </si>
  <si>
    <t>DARK-384-20250811-10_00_53</t>
  </si>
  <si>
    <t>20250811 10:30:37</t>
  </si>
  <si>
    <t>RECT-405-20250811-10_30_31</t>
  </si>
  <si>
    <t>DARK-406-20250811-10_30_38</t>
  </si>
  <si>
    <t>20250811 10:33:01</t>
  </si>
  <si>
    <t>RECT-407-20250811-10_32_54</t>
  </si>
  <si>
    <t>DARK-408-20250811-10_33_02</t>
  </si>
  <si>
    <t>20250811 12:27:30</t>
  </si>
  <si>
    <t>RECT-503-20250811-12_27_24</t>
  </si>
  <si>
    <t>DARK-504-20250811-12_27_31</t>
  </si>
  <si>
    <t>20250811 12:29:53</t>
  </si>
  <si>
    <t>RECT-505-20250811-12_29_47</t>
  </si>
  <si>
    <t>DARK-506-20250811-12_29_55</t>
  </si>
  <si>
    <t>20250811 11:35:54</t>
  </si>
  <si>
    <t>RECT-459-20250811-11_35_48</t>
  </si>
  <si>
    <t>DARK-460-20250811-11_35_55</t>
  </si>
  <si>
    <t>20250811 11:38:09</t>
  </si>
  <si>
    <t>RECT-461-20250811-11_38_03</t>
  </si>
  <si>
    <t>DARK-462-20250811-11_38_10</t>
  </si>
  <si>
    <t>20250811 11:40:33</t>
  </si>
  <si>
    <t>RECT-463-20250811-11_40_27</t>
  </si>
  <si>
    <t>DARK-464-20250811-11_40_34</t>
  </si>
  <si>
    <t>20250811 11:43:05</t>
  </si>
  <si>
    <t>RECT-465-20250811-11_42_58</t>
  </si>
  <si>
    <t>DARK-466-20250811-11_43_06</t>
  </si>
  <si>
    <t>20250811 10:41:12</t>
  </si>
  <si>
    <t>RECT-413-20250811-10_41_05</t>
  </si>
  <si>
    <t>DARK-414-20250811-10_41_13</t>
  </si>
  <si>
    <t>20250811 10:45:30</t>
  </si>
  <si>
    <t>RECT-417-20250811-10_45_23</t>
  </si>
  <si>
    <t>DARK-418-20250811-10_45_31</t>
  </si>
  <si>
    <t>20250811 12:18:21</t>
  </si>
  <si>
    <t>RECT-495-20250811-12_18_15</t>
  </si>
  <si>
    <t>DARK-496-20250811-12_18_22</t>
  </si>
  <si>
    <t>20250811 12:20:32</t>
  </si>
  <si>
    <t>RECT-497-20250811-12_20_26</t>
  </si>
  <si>
    <t>DARK-498-20250811-12_20_33</t>
  </si>
  <si>
    <t>20250811 11:07:44</t>
  </si>
  <si>
    <t>RECT-435-20250811-11_07_37</t>
  </si>
  <si>
    <t>DARK-436-20250811-11_07_45</t>
  </si>
  <si>
    <t>20250811 11:10:07</t>
  </si>
  <si>
    <t>RECT-437-20250811-11_10_01</t>
  </si>
  <si>
    <t>DARK-438-20250811-11_10_08</t>
  </si>
  <si>
    <t>20250811 10:20:36</t>
  </si>
  <si>
    <t>RECT-397-20250811-10_20_29</t>
  </si>
  <si>
    <t>DARK-398-20250811-10_20_37</t>
  </si>
  <si>
    <t>20250811 10:23:05</t>
  </si>
  <si>
    <t>RECT-399-20250811-10_22_59</t>
  </si>
  <si>
    <t>DARK-400-20250811-10_23_06</t>
  </si>
  <si>
    <t>20250811 10:14:48</t>
  </si>
  <si>
    <t>RECT-393-20250811-10_14_41</t>
  </si>
  <si>
    <t>DARK-394-20250811-10_14_49</t>
  </si>
  <si>
    <t>20250811 10:17:49</t>
  </si>
  <si>
    <t>RECT-395-20250811-10_17_42</t>
  </si>
  <si>
    <t>DARK-396-20250811-10_17_50</t>
  </si>
  <si>
    <t>20250811 12:04:28</t>
  </si>
  <si>
    <t>RECT-483-20250811-12_04_22</t>
  </si>
  <si>
    <t>DARK-484-20250811-12_04_30</t>
  </si>
  <si>
    <t>20250811 12:06:45</t>
  </si>
  <si>
    <t>RECT-485-20250811-12_06_38</t>
  </si>
  <si>
    <t>DARK-486-20250811-12_06_46</t>
  </si>
  <si>
    <t>20250811 11:59:12</t>
  </si>
  <si>
    <t>RECT-479-20250811-11_59_06</t>
  </si>
  <si>
    <t>DARK-480-20250811-11_59_13</t>
  </si>
  <si>
    <t>20250811 12:01:31</t>
  </si>
  <si>
    <t>RECT-481-20250811-12_01_25</t>
  </si>
  <si>
    <t>DARK-482-20250811-12_01_32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</si>
</sst>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/m/d"/>
    <numFmt numFmtId="166" formatCode="0.000"/>
  </numFmts>
  <fonts count="10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rgb="FF000000"/>
      <name val="Microsoft JhengHei"/>
    </font>
    <font>
      <sz val="10.0"/>
      <color theme="1"/>
      <name val="Arial"/>
    </font>
    <font>
      <b/>
      <sz val="12.0"/>
      <color rgb="FF000000"/>
      <name val="Times New Roman"/>
    </font>
    <font>
      <sz val="12.0"/>
      <color rgb="FF198639"/>
      <name val="Monospace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vertical="center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Font="1"/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0" fillId="0" fontId="1" numFmtId="165" xfId="0" applyFont="1" applyNumberFormat="1"/>
    <xf borderId="0" fillId="0" fontId="4" numFmtId="0" xfId="0" applyFont="1"/>
    <xf borderId="0" fillId="0" fontId="4" numFmtId="0" xfId="0" applyAlignment="1" applyFont="1">
      <alignment horizontal="center" vertical="center"/>
    </xf>
    <xf borderId="9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horizontal="center" vertical="center"/>
    </xf>
    <xf borderId="12" fillId="2" fontId="6" numFmtId="0" xfId="0" applyAlignment="1" applyBorder="1" applyFill="1" applyFont="1">
      <alignment horizontal="left"/>
    </xf>
    <xf borderId="0" fillId="0" fontId="4" numFmtId="166" xfId="0" applyFont="1" applyNumberFormat="1"/>
    <xf borderId="13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shrinkToFit="0" vertical="center" wrapText="1"/>
    </xf>
    <xf borderId="0" fillId="0" fontId="4" numFmtId="2" xfId="0" applyFont="1" applyNumberFormat="1"/>
    <xf borderId="14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horizontal="right" shrinkToFit="0" wrapText="1"/>
    </xf>
    <xf borderId="0" fillId="0" fontId="1" numFmtId="0" xfId="0" applyAlignment="1" applyFont="1">
      <alignment horizontal="right"/>
    </xf>
    <xf borderId="0" fillId="0" fontId="8" numFmtId="0" xfId="0" applyFont="1"/>
    <xf borderId="12" fillId="3" fontId="8" numFmtId="0" xfId="0" applyBorder="1" applyFill="1" applyFont="1"/>
    <xf borderId="0" fillId="0" fontId="8" numFmtId="0" xfId="0" applyAlignment="1" applyFont="1">
      <alignment horizontal="right"/>
    </xf>
    <xf borderId="12" fillId="3" fontId="8" numFmtId="0" xfId="0" applyAlignment="1" applyBorder="1" applyFont="1">
      <alignment horizontal="right"/>
    </xf>
    <xf borderId="0" fillId="0" fontId="9" numFmtId="0" xfId="0" applyAlignment="1" applyFont="1">
      <alignment horizontal="right"/>
    </xf>
    <xf borderId="12" fillId="3" fontId="9" numFmtId="0" xfId="0" applyAlignment="1" applyBorder="1" applyFont="1">
      <alignment horizontal="right"/>
    </xf>
    <xf borderId="0" fillId="0" fontId="9" numFmtId="0" xfId="0" applyFont="1"/>
    <xf borderId="12" fillId="3" fontId="9" numFmtId="0" xfId="0" applyBorder="1" applyFont="1"/>
    <xf borderId="0" fillId="0" fontId="7" numFmtId="0" xfId="0" applyFont="1"/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21" xfId="0" applyFont="1" applyNumberFormat="1"/>
    <xf borderId="0" fillId="0" fontId="8" numFmtId="11" xfId="0" applyFont="1" applyNumberFormat="1"/>
    <xf borderId="12" fillId="4" fontId="8" numFmtId="0" xfId="0" applyBorder="1" applyFill="1" applyFont="1"/>
    <xf borderId="0" fillId="0" fontId="8" numFmtId="0" xfId="0" applyAlignment="1" applyFont="1">
      <alignment horizontal="center"/>
    </xf>
    <xf borderId="12" fillId="5" fontId="8" numFmtId="0" xfId="0" applyAlignment="1" applyBorder="1" applyFill="1" applyFont="1">
      <alignment horizontal="center"/>
    </xf>
    <xf borderId="12" fillId="5" fontId="8" numFmtId="0" xfId="0" applyBorder="1" applyFont="1"/>
    <xf borderId="12" fillId="6" fontId="8" numFmtId="0" xfId="0" applyBorder="1" applyFill="1" applyFont="1"/>
    <xf borderId="12" fillId="6" fontId="8" numFmtId="21" xfId="0" applyBorder="1" applyFont="1" applyNumberFormat="1"/>
    <xf borderId="12" fillId="6" fontId="8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Value (mS)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'EC(wrong)'!$I$3:$I$10</c:f>
            </c:strRef>
          </c:cat>
          <c:val>
            <c:numRef>
              <c:f>'EC(wrong)'!$J$3:$J$10</c:f>
              <c:numCache/>
            </c:numRef>
          </c:val>
        </c:ser>
        <c:axId val="1591471633"/>
        <c:axId val="71811451"/>
      </c:barChart>
      <c:catAx>
        <c:axId val="1591471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811451"/>
      </c:catAx>
      <c:valAx>
        <c:axId val="71811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147163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'pH(wrong)'!$I$3:$I$10</c:f>
            </c:strRef>
          </c:cat>
          <c:val>
            <c:numRef>
              <c:f>'pH(wrong)'!$J$3:$J$10</c:f>
              <c:numCache/>
            </c:numRef>
          </c:val>
        </c:ser>
        <c:axId val="488165580"/>
        <c:axId val="737203633"/>
      </c:barChart>
      <c:catAx>
        <c:axId val="488165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Treatment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7203633"/>
      </c:catAx>
      <c:valAx>
        <c:axId val="7372036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81655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'shoot F&amp;DW'!$I$3:$I$10</c:f>
            </c:strRef>
          </c:cat>
          <c:val>
            <c:numRef>
              <c:f>'shoot F&amp;DW'!$J$3:$J$10</c:f>
              <c:numCache/>
            </c:numRef>
          </c:val>
        </c:ser>
        <c:axId val="550685895"/>
        <c:axId val="207866522"/>
      </c:barChart>
      <c:catAx>
        <c:axId val="550685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Treatment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866522"/>
      </c:catAx>
      <c:valAx>
        <c:axId val="2078665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Flower buds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06858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'shoot F&amp;DW'!$T$3:$T$10</c:f>
            </c:strRef>
          </c:cat>
          <c:val>
            <c:numRef>
              <c:f>'shoot F&amp;DW'!$U$3:$U$10</c:f>
              <c:numCache/>
            </c:numRef>
          </c:val>
        </c:ser>
        <c:axId val="2040339736"/>
        <c:axId val="2028574141"/>
      </c:barChart>
      <c:catAx>
        <c:axId val="2040339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8574141"/>
      </c:catAx>
      <c:valAx>
        <c:axId val="202857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0339736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11</xdr:row>
      <xdr:rowOff>142875</xdr:rowOff>
    </xdr:from>
    <xdr:ext cx="6076950" cy="2724150"/>
    <xdr:graphicFrame>
      <xdr:nvGraphicFramePr>
        <xdr:cNvPr id="12896693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12</xdr:row>
      <xdr:rowOff>76200</xdr:rowOff>
    </xdr:from>
    <xdr:ext cx="6896100" cy="2428875"/>
    <xdr:graphicFrame>
      <xdr:nvGraphicFramePr>
        <xdr:cNvPr id="794651809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11</xdr:row>
      <xdr:rowOff>76200</xdr:rowOff>
    </xdr:from>
    <xdr:ext cx="3829050" cy="2409825"/>
    <xdr:graphicFrame>
      <xdr:nvGraphicFramePr>
        <xdr:cNvPr id="19197866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47625</xdr:colOff>
      <xdr:row>12</xdr:row>
      <xdr:rowOff>142875</xdr:rowOff>
    </xdr:from>
    <xdr:ext cx="2619375" cy="2390775"/>
    <xdr:graphicFrame>
      <xdr:nvGraphicFramePr>
        <xdr:cNvPr id="183471625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9.0"/>
    <col customWidth="1" min="8" max="10" width="11.0"/>
    <col customWidth="1" min="11" max="15" width="9.0"/>
    <col customWidth="1" min="16" max="17" width="11.0"/>
    <col customWidth="1" min="18" max="18" width="9.63"/>
    <col customWidth="1" min="19" max="37" width="9.0"/>
    <col customWidth="1" min="38" max="38" width="10.25"/>
    <col customWidth="1" min="39" max="40" width="11.13"/>
    <col customWidth="1" min="41" max="42" width="9.0"/>
    <col customWidth="1" min="43" max="48" width="6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/>
      <c r="AR1" s="2"/>
      <c r="AS1" s="2"/>
      <c r="AT1" s="2"/>
      <c r="AU1" s="2"/>
      <c r="AV1" s="2"/>
    </row>
    <row r="2" ht="12.75" customHeight="1">
      <c r="A2" s="1"/>
      <c r="B2" s="1"/>
      <c r="C2" s="1"/>
      <c r="D2" s="1"/>
      <c r="E2" s="1"/>
      <c r="F2" s="1" t="s">
        <v>42</v>
      </c>
      <c r="G2" s="1" t="s">
        <v>42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44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/>
      <c r="AC2" s="1"/>
      <c r="AD2" s="1" t="s">
        <v>47</v>
      </c>
      <c r="AE2" s="1" t="s">
        <v>48</v>
      </c>
      <c r="AF2" s="1"/>
      <c r="AG2" s="1"/>
      <c r="AH2" s="1"/>
      <c r="AI2" s="1" t="s">
        <v>49</v>
      </c>
      <c r="AJ2" s="1" t="s">
        <v>50</v>
      </c>
      <c r="AK2" s="1" t="s">
        <v>50</v>
      </c>
      <c r="AL2" s="1" t="s">
        <v>51</v>
      </c>
      <c r="AM2" s="1" t="s">
        <v>51</v>
      </c>
      <c r="AN2" s="1" t="s">
        <v>51</v>
      </c>
      <c r="AO2" s="1" t="s">
        <v>52</v>
      </c>
      <c r="AP2" s="1"/>
    </row>
    <row r="3" ht="12.75" customHeight="1">
      <c r="A3" s="1" t="s">
        <v>53</v>
      </c>
      <c r="B3" s="1">
        <v>1.0</v>
      </c>
      <c r="C3" s="1" t="s">
        <v>54</v>
      </c>
      <c r="D3" s="1" t="s">
        <v>55</v>
      </c>
      <c r="E3" s="1" t="s">
        <v>55</v>
      </c>
      <c r="F3" s="1">
        <v>181.0</v>
      </c>
      <c r="G3" s="1">
        <v>69.5</v>
      </c>
      <c r="H3" s="1">
        <v>11.1</v>
      </c>
      <c r="I3" s="1">
        <v>0.9069</v>
      </c>
      <c r="J3" s="1">
        <v>15.0195</v>
      </c>
      <c r="K3" s="1">
        <v>22.2515</v>
      </c>
      <c r="L3" s="1">
        <v>0.1853</v>
      </c>
      <c r="M3" s="1">
        <v>0.0228</v>
      </c>
      <c r="N3" s="1">
        <v>5.1288</v>
      </c>
      <c r="O3" s="1">
        <v>17.4825</v>
      </c>
      <c r="P3" s="1">
        <v>0.2585</v>
      </c>
      <c r="Q3" s="1">
        <v>4.2817</v>
      </c>
      <c r="R3" s="1">
        <v>6.3433</v>
      </c>
      <c r="S3" s="1">
        <v>0.0528</v>
      </c>
      <c r="T3" s="1">
        <v>0.0065</v>
      </c>
      <c r="U3" s="1">
        <v>1.4621</v>
      </c>
      <c r="V3" s="1">
        <v>317.85</v>
      </c>
      <c r="W3" s="1">
        <v>2.104</v>
      </c>
      <c r="X3" s="1">
        <v>5.46</v>
      </c>
      <c r="Y3" s="1">
        <v>544.44</v>
      </c>
      <c r="Z3" s="1">
        <v>25.88</v>
      </c>
      <c r="AA3" s="1">
        <v>4.27</v>
      </c>
      <c r="AB3" s="1">
        <v>38.25</v>
      </c>
      <c r="AC3" s="1">
        <v>0.3022</v>
      </c>
      <c r="AD3" s="1">
        <v>33.63</v>
      </c>
      <c r="AE3" s="1">
        <v>4.65</v>
      </c>
      <c r="AF3" s="1">
        <v>28.7</v>
      </c>
      <c r="AG3" s="1">
        <v>0.4248</v>
      </c>
      <c r="AH3" s="1">
        <v>0.0</v>
      </c>
      <c r="AI3" s="1">
        <v>1.58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s="1" t="s">
        <v>56</v>
      </c>
      <c r="AP3" s="1">
        <v>67.63056093</v>
      </c>
    </row>
    <row r="4" ht="12.75" customHeight="1">
      <c r="A4" s="1" t="s">
        <v>57</v>
      </c>
      <c r="B4" s="1">
        <v>1.0</v>
      </c>
      <c r="C4" s="1" t="s">
        <v>58</v>
      </c>
      <c r="D4" s="1" t="s">
        <v>55</v>
      </c>
      <c r="E4" s="1" t="s">
        <v>55</v>
      </c>
      <c r="F4" s="1">
        <v>197.0</v>
      </c>
      <c r="G4" s="1">
        <v>76.9</v>
      </c>
      <c r="H4" s="1">
        <v>12.3</v>
      </c>
      <c r="I4" s="1">
        <v>0.9025</v>
      </c>
      <c r="J4" s="1">
        <v>12.8675</v>
      </c>
      <c r="K4" s="1">
        <v>30.7503</v>
      </c>
      <c r="L4" s="1">
        <v>0.3114</v>
      </c>
      <c r="M4" s="1">
        <v>0.0095</v>
      </c>
      <c r="N4" s="1">
        <v>4.6493</v>
      </c>
      <c r="O4" s="1">
        <v>33.5175</v>
      </c>
      <c r="P4" s="1">
        <v>0.4845</v>
      </c>
      <c r="Q4" s="1">
        <v>6.9076</v>
      </c>
      <c r="R4" s="1">
        <v>16.5075</v>
      </c>
      <c r="S4" s="1">
        <v>0.1672</v>
      </c>
      <c r="T4" s="1">
        <v>0.0051</v>
      </c>
      <c r="U4" s="1">
        <v>2.4959</v>
      </c>
      <c r="V4" s="1">
        <v>71.6</v>
      </c>
      <c r="W4" s="1">
        <v>4.188</v>
      </c>
      <c r="X4" s="1">
        <v>7.74</v>
      </c>
      <c r="Y4" s="1">
        <v>897.75</v>
      </c>
      <c r="Z4" s="1">
        <v>28.25</v>
      </c>
      <c r="AA4" s="1">
        <v>4.65</v>
      </c>
      <c r="AB4" s="1">
        <v>40.8</v>
      </c>
      <c r="AC4" s="1">
        <v>0.3047</v>
      </c>
      <c r="AD4" s="1">
        <v>37.63</v>
      </c>
      <c r="AE4" s="1">
        <v>4.73</v>
      </c>
      <c r="AF4" s="1">
        <v>35.875</v>
      </c>
      <c r="AG4" s="1">
        <v>0.4182</v>
      </c>
      <c r="AH4" s="1">
        <v>0.0</v>
      </c>
      <c r="AI4" s="1">
        <v>2.73</v>
      </c>
      <c r="AJ4" s="1" t="s">
        <v>56</v>
      </c>
      <c r="AK4" s="1" t="s">
        <v>56</v>
      </c>
      <c r="AL4" s="1" t="s">
        <v>56</v>
      </c>
      <c r="AM4" s="1" t="s">
        <v>56</v>
      </c>
      <c r="AN4" s="1" t="s">
        <v>56</v>
      </c>
      <c r="AO4" s="1" t="s">
        <v>56</v>
      </c>
      <c r="AP4" s="1">
        <v>69.17956656</v>
      </c>
    </row>
    <row r="5" ht="12.75" customHeight="1">
      <c r="A5" s="1" t="s">
        <v>59</v>
      </c>
      <c r="B5" s="1">
        <v>1.0</v>
      </c>
      <c r="C5" s="1" t="s">
        <v>54</v>
      </c>
      <c r="D5" s="1" t="s">
        <v>55</v>
      </c>
      <c r="E5" s="1" t="s">
        <v>60</v>
      </c>
      <c r="F5" s="1">
        <v>383.0</v>
      </c>
      <c r="G5" s="1">
        <v>75.3</v>
      </c>
      <c r="H5" s="1">
        <v>12.1</v>
      </c>
      <c r="I5" s="1">
        <v>0.5432</v>
      </c>
      <c r="J5" s="1">
        <v>17.6738</v>
      </c>
      <c r="K5" s="1">
        <v>8.5449</v>
      </c>
      <c r="L5" s="1">
        <v>0.2967</v>
      </c>
      <c r="M5" s="1">
        <v>0.009</v>
      </c>
      <c r="N5" s="1">
        <v>2.6812</v>
      </c>
      <c r="O5" s="1">
        <v>97.405</v>
      </c>
      <c r="P5" s="1">
        <v>1.6748</v>
      </c>
      <c r="Q5" s="1">
        <v>54.491</v>
      </c>
      <c r="R5" s="1">
        <v>26.3452</v>
      </c>
      <c r="S5" s="1">
        <v>0.9148</v>
      </c>
      <c r="T5" s="1">
        <v>0.0277</v>
      </c>
      <c r="U5" s="1">
        <v>8.2665</v>
      </c>
      <c r="V5" s="1">
        <v>367.85</v>
      </c>
      <c r="W5" s="1">
        <v>2.427</v>
      </c>
      <c r="X5" s="1">
        <v>5.13</v>
      </c>
      <c r="Y5" s="1">
        <v>583.98</v>
      </c>
      <c r="Z5" s="1">
        <v>36.75</v>
      </c>
      <c r="AA5" s="1">
        <v>4.94</v>
      </c>
      <c r="AB5" s="1">
        <v>58.9</v>
      </c>
      <c r="AC5" s="1">
        <v>0.2883</v>
      </c>
      <c r="AD5" s="1">
        <v>57.38</v>
      </c>
      <c r="AE5" s="1">
        <v>5.3</v>
      </c>
      <c r="AF5" s="1">
        <v>64.6</v>
      </c>
      <c r="AG5" s="1">
        <v>0.436</v>
      </c>
      <c r="AH5" s="1">
        <v>3.25</v>
      </c>
      <c r="AI5" s="1">
        <v>8.05</v>
      </c>
      <c r="AJ5" s="1">
        <v>80.5</v>
      </c>
      <c r="AK5" s="1">
        <v>64.75</v>
      </c>
      <c r="AL5" s="3">
        <f t="shared" ref="AL5:AL6" si="1">(O5-O3)/137*100</f>
        <v>58.33759124</v>
      </c>
      <c r="AM5" s="3">
        <f t="shared" ref="AM5:AM6" si="2">(P5-P3)/200*100</f>
        <v>0.70815</v>
      </c>
      <c r="AN5" s="3">
        <f t="shared" ref="AN5:AN6" si="3">(Q5-Q3)/72*100</f>
        <v>69.73513889</v>
      </c>
      <c r="AO5" s="1">
        <v>80.95342363</v>
      </c>
      <c r="AP5" s="1">
        <v>58.15918319</v>
      </c>
    </row>
    <row r="6" ht="12.75" customHeight="1">
      <c r="A6" s="1" t="s">
        <v>61</v>
      </c>
      <c r="B6" s="1">
        <v>1.0</v>
      </c>
      <c r="C6" s="1" t="s">
        <v>58</v>
      </c>
      <c r="D6" s="1" t="s">
        <v>55</v>
      </c>
      <c r="E6" s="1" t="s">
        <v>60</v>
      </c>
      <c r="F6" s="1">
        <v>260.0</v>
      </c>
      <c r="G6" s="1">
        <v>88.2</v>
      </c>
      <c r="H6" s="1">
        <v>14.1</v>
      </c>
      <c r="I6" s="1">
        <v>0.5735</v>
      </c>
      <c r="J6" s="1">
        <v>16.0282</v>
      </c>
      <c r="K6" s="1">
        <v>10.5817</v>
      </c>
      <c r="L6" s="1">
        <v>0.2272</v>
      </c>
      <c r="M6" s="1">
        <v>0.0056</v>
      </c>
      <c r="N6" s="1">
        <v>2.352</v>
      </c>
      <c r="O6" s="1">
        <v>121.4715</v>
      </c>
      <c r="P6" s="1">
        <v>1.2846</v>
      </c>
      <c r="Q6" s="1">
        <v>35.9016</v>
      </c>
      <c r="R6" s="1">
        <v>23.7019</v>
      </c>
      <c r="S6" s="1">
        <v>0.5089</v>
      </c>
      <c r="T6" s="1">
        <v>0.0125</v>
      </c>
      <c r="U6" s="1">
        <v>5.2682</v>
      </c>
      <c r="V6" s="1">
        <v>63.85</v>
      </c>
      <c r="W6" s="1">
        <v>5.031</v>
      </c>
      <c r="X6" s="1">
        <v>7.76</v>
      </c>
      <c r="Y6" s="1">
        <v>1119.2</v>
      </c>
      <c r="Z6" s="1">
        <v>38.88</v>
      </c>
      <c r="AA6" s="1">
        <v>5.21</v>
      </c>
      <c r="AB6" s="1">
        <v>53.95</v>
      </c>
      <c r="AC6" s="1">
        <v>0.2884</v>
      </c>
      <c r="AD6" s="1">
        <v>57.38</v>
      </c>
      <c r="AE6" s="1">
        <v>5.44</v>
      </c>
      <c r="AF6" s="1">
        <v>61.175</v>
      </c>
      <c r="AG6" s="1">
        <v>0.4484</v>
      </c>
      <c r="AH6" s="1">
        <v>3.75</v>
      </c>
      <c r="AI6" s="1">
        <v>8.62</v>
      </c>
      <c r="AJ6" s="1">
        <v>86.2</v>
      </c>
      <c r="AK6" s="1">
        <v>58.9</v>
      </c>
      <c r="AL6" s="3">
        <f t="shared" si="1"/>
        <v>64.2</v>
      </c>
      <c r="AM6" s="3">
        <f t="shared" si="2"/>
        <v>0.40005</v>
      </c>
      <c r="AN6" s="3">
        <f t="shared" si="3"/>
        <v>40.26944444</v>
      </c>
      <c r="AO6" s="1">
        <v>66.96682357</v>
      </c>
      <c r="AP6" s="1">
        <v>94.55978515</v>
      </c>
    </row>
    <row r="7" ht="12.75" customHeight="1">
      <c r="A7" s="1" t="s">
        <v>62</v>
      </c>
      <c r="B7" s="1">
        <v>1.0</v>
      </c>
      <c r="C7" s="1" t="s">
        <v>54</v>
      </c>
      <c r="D7" s="1" t="s">
        <v>63</v>
      </c>
      <c r="E7" s="1" t="s">
        <v>60</v>
      </c>
      <c r="F7" s="1">
        <v>251.0</v>
      </c>
      <c r="G7" s="1">
        <v>96.3</v>
      </c>
      <c r="H7" s="1">
        <v>15.4</v>
      </c>
      <c r="I7" s="1">
        <v>0.5695</v>
      </c>
      <c r="J7" s="1">
        <v>21.368</v>
      </c>
      <c r="K7" s="1">
        <v>6.028</v>
      </c>
      <c r="L7" s="1">
        <v>0.195</v>
      </c>
      <c r="M7" s="1">
        <v>0.0063</v>
      </c>
      <c r="N7" s="1">
        <v>2.3447</v>
      </c>
      <c r="O7" s="1">
        <v>124.817</v>
      </c>
      <c r="P7" s="1">
        <v>1.1586</v>
      </c>
      <c r="Q7" s="1">
        <v>43.4701</v>
      </c>
      <c r="R7" s="1">
        <v>12.2631</v>
      </c>
      <c r="S7" s="1">
        <v>0.3967</v>
      </c>
      <c r="T7" s="1">
        <v>0.0128</v>
      </c>
      <c r="U7" s="1">
        <v>4.77</v>
      </c>
      <c r="V7" s="1">
        <v>368.068</v>
      </c>
      <c r="W7" s="1">
        <v>2.271</v>
      </c>
      <c r="X7" s="1">
        <v>5.3</v>
      </c>
      <c r="Y7" s="1">
        <v>923.07</v>
      </c>
      <c r="Z7" s="1">
        <v>38.75</v>
      </c>
      <c r="AA7" s="1">
        <v>4.52</v>
      </c>
      <c r="AB7" s="1">
        <v>58.0</v>
      </c>
      <c r="AC7" s="1">
        <v>0.2451</v>
      </c>
      <c r="AD7" s="1">
        <v>57.75</v>
      </c>
      <c r="AE7" s="1">
        <v>5.36</v>
      </c>
      <c r="AF7" s="1">
        <v>53.225</v>
      </c>
      <c r="AG7" s="1">
        <v>0.4994</v>
      </c>
      <c r="AH7" s="1">
        <v>2.5</v>
      </c>
      <c r="AI7" s="1">
        <v>8.11</v>
      </c>
      <c r="AJ7" s="1">
        <v>81.1</v>
      </c>
      <c r="AK7" s="1">
        <v>65.3</v>
      </c>
      <c r="AL7" s="3">
        <f>(O7-O3)/137*100</f>
        <v>78.34635036</v>
      </c>
      <c r="AM7" s="3">
        <f>(P7-P3)/200*100</f>
        <v>0.45005</v>
      </c>
      <c r="AN7" s="3">
        <f>(Q7-Q3)/72*100</f>
        <v>54.42833333</v>
      </c>
      <c r="AO7" s="1">
        <v>60.83784804</v>
      </c>
      <c r="AP7" s="1">
        <v>107.7308821</v>
      </c>
    </row>
    <row r="8" ht="12.75" customHeight="1">
      <c r="A8" s="1" t="s">
        <v>64</v>
      </c>
      <c r="B8" s="1">
        <v>1.0</v>
      </c>
      <c r="C8" s="1" t="s">
        <v>54</v>
      </c>
      <c r="D8" s="1" t="s">
        <v>65</v>
      </c>
      <c r="E8" s="1" t="s">
        <v>60</v>
      </c>
      <c r="F8" s="1">
        <v>151.0</v>
      </c>
      <c r="G8" s="1">
        <v>101.6</v>
      </c>
      <c r="H8" s="1">
        <v>16.3</v>
      </c>
      <c r="I8" s="1">
        <v>0.6594</v>
      </c>
      <c r="J8" s="1">
        <v>24.7358</v>
      </c>
      <c r="K8" s="1">
        <v>9.6444</v>
      </c>
      <c r="L8" s="1">
        <v>0.1578</v>
      </c>
      <c r="M8" s="1">
        <v>0.0061</v>
      </c>
      <c r="N8" s="1">
        <v>2.7304</v>
      </c>
      <c r="O8" s="1">
        <v>111.003</v>
      </c>
      <c r="P8" s="1">
        <v>0.6781</v>
      </c>
      <c r="Q8" s="1">
        <v>25.4361</v>
      </c>
      <c r="R8" s="1">
        <v>9.9174</v>
      </c>
      <c r="S8" s="1">
        <v>0.1623</v>
      </c>
      <c r="T8" s="1">
        <v>0.0063</v>
      </c>
      <c r="U8" s="1">
        <v>2.8077</v>
      </c>
      <c r="V8" s="1">
        <v>291.6</v>
      </c>
      <c r="W8" s="1">
        <v>2.063</v>
      </c>
      <c r="X8" s="1">
        <v>5.76</v>
      </c>
      <c r="Y8" s="1">
        <v>977.44</v>
      </c>
      <c r="Z8" s="1">
        <v>37.88</v>
      </c>
      <c r="AA8" s="1">
        <v>4.73</v>
      </c>
      <c r="AB8" s="1">
        <v>58.73</v>
      </c>
      <c r="AC8" s="1">
        <v>0.2411</v>
      </c>
      <c r="AD8" s="1">
        <v>61.5</v>
      </c>
      <c r="AE8" s="1">
        <v>5.47</v>
      </c>
      <c r="AF8" s="1">
        <v>53.425</v>
      </c>
      <c r="AG8" s="1">
        <v>0.5102</v>
      </c>
      <c r="AH8" s="1">
        <v>3.0</v>
      </c>
      <c r="AI8" s="1">
        <v>6.81</v>
      </c>
      <c r="AJ8" s="1">
        <v>68.1</v>
      </c>
      <c r="AK8" s="1">
        <v>52.35</v>
      </c>
      <c r="AL8" s="3">
        <f t="shared" ref="AL8:AL9" si="4">(O8-O3)/137*100</f>
        <v>68.26313869</v>
      </c>
      <c r="AM8" s="3">
        <f t="shared" ref="AM8:AM9" si="5">(P8-P3)/200*100</f>
        <v>0.2098</v>
      </c>
      <c r="AN8" s="3">
        <f t="shared" ref="AN8:AN9" si="6">(Q8-Q3)/72*100</f>
        <v>29.38111111</v>
      </c>
      <c r="AO8" s="1">
        <v>55.92356756</v>
      </c>
      <c r="AP8" s="1">
        <v>163.6970948</v>
      </c>
    </row>
    <row r="9" ht="12.75" customHeight="1">
      <c r="A9" s="1" t="s">
        <v>66</v>
      </c>
      <c r="B9" s="1">
        <v>1.0</v>
      </c>
      <c r="C9" s="1" t="s">
        <v>58</v>
      </c>
      <c r="D9" s="1" t="s">
        <v>63</v>
      </c>
      <c r="E9" s="1" t="s">
        <v>60</v>
      </c>
      <c r="F9" s="1">
        <v>248.0</v>
      </c>
      <c r="G9" s="1">
        <v>82.2</v>
      </c>
      <c r="H9" s="1">
        <v>13.2</v>
      </c>
      <c r="I9" s="1">
        <v>0.6755</v>
      </c>
      <c r="J9" s="1">
        <v>16.2771</v>
      </c>
      <c r="K9" s="1">
        <v>8.4463</v>
      </c>
      <c r="L9" s="1">
        <v>0.1142</v>
      </c>
      <c r="M9" s="1">
        <v>0.0035</v>
      </c>
      <c r="N9" s="1">
        <v>1.9926</v>
      </c>
      <c r="O9" s="1">
        <v>188.892</v>
      </c>
      <c r="P9" s="1">
        <v>2.3973</v>
      </c>
      <c r="Q9" s="1">
        <v>57.7655</v>
      </c>
      <c r="R9" s="1">
        <v>29.9749</v>
      </c>
      <c r="S9" s="1">
        <v>0.4053</v>
      </c>
      <c r="T9" s="1">
        <v>0.0124</v>
      </c>
      <c r="U9" s="1">
        <v>7.0715</v>
      </c>
      <c r="V9" s="1">
        <v>68.85</v>
      </c>
      <c r="W9" s="1">
        <v>2.833</v>
      </c>
      <c r="X9" s="1">
        <v>7.84</v>
      </c>
      <c r="Y9" s="1">
        <v>953.76</v>
      </c>
      <c r="Z9" s="1">
        <v>43.75</v>
      </c>
      <c r="AA9" s="1">
        <v>4.89</v>
      </c>
      <c r="AB9" s="1">
        <v>56.03</v>
      </c>
      <c r="AC9" s="1">
        <v>0.2447</v>
      </c>
      <c r="AD9" s="1">
        <v>63.88</v>
      </c>
      <c r="AE9" s="1">
        <v>5.76</v>
      </c>
      <c r="AF9" s="1">
        <v>52.625</v>
      </c>
      <c r="AG9" s="1">
        <v>0.4951</v>
      </c>
      <c r="AH9" s="1">
        <v>3.75</v>
      </c>
      <c r="AI9" s="1">
        <v>14.31</v>
      </c>
      <c r="AJ9" s="1">
        <v>143.1</v>
      </c>
      <c r="AK9" s="1">
        <v>115.85</v>
      </c>
      <c r="AL9" s="3">
        <f t="shared" si="4"/>
        <v>113.4120438</v>
      </c>
      <c r="AM9" s="3">
        <f t="shared" si="5"/>
        <v>0.9564</v>
      </c>
      <c r="AN9" s="3">
        <f t="shared" si="6"/>
        <v>70.63597222</v>
      </c>
      <c r="AO9" s="1">
        <v>74.52960428</v>
      </c>
      <c r="AP9" s="1">
        <v>78.79364285</v>
      </c>
    </row>
    <row r="10" ht="12.75" customHeight="1">
      <c r="A10" s="1" t="s">
        <v>67</v>
      </c>
      <c r="B10" s="1">
        <v>1.0</v>
      </c>
      <c r="C10" s="1" t="s">
        <v>58</v>
      </c>
      <c r="D10" s="1" t="s">
        <v>65</v>
      </c>
      <c r="E10" s="1" t="s">
        <v>60</v>
      </c>
      <c r="F10" s="1">
        <v>245.0</v>
      </c>
      <c r="G10" s="1">
        <v>93.4</v>
      </c>
      <c r="H10" s="1">
        <v>14.9</v>
      </c>
      <c r="I10" s="1">
        <v>0.5676</v>
      </c>
      <c r="J10" s="1">
        <v>18.1982</v>
      </c>
      <c r="K10" s="1">
        <v>11.1464</v>
      </c>
      <c r="L10" s="1">
        <v>0.1116</v>
      </c>
      <c r="M10" s="1">
        <v>0.0036</v>
      </c>
      <c r="N10" s="1">
        <v>2.5137</v>
      </c>
      <c r="O10" s="1">
        <v>136.484</v>
      </c>
      <c r="P10" s="1">
        <v>1.2738</v>
      </c>
      <c r="Q10" s="1">
        <v>40.8404</v>
      </c>
      <c r="R10" s="1">
        <v>25.0148</v>
      </c>
      <c r="S10" s="1">
        <v>0.2505</v>
      </c>
      <c r="T10" s="1">
        <v>0.0081</v>
      </c>
      <c r="U10" s="1">
        <v>5.6412</v>
      </c>
      <c r="V10" s="1">
        <v>62.311</v>
      </c>
      <c r="W10" s="1">
        <v>2.875</v>
      </c>
      <c r="X10" s="1">
        <v>7.87</v>
      </c>
      <c r="Y10" s="1">
        <v>1379.6</v>
      </c>
      <c r="Z10" s="1">
        <v>39.88</v>
      </c>
      <c r="AA10" s="1">
        <v>5.04</v>
      </c>
      <c r="AB10" s="1">
        <v>60.65</v>
      </c>
      <c r="AC10" s="1">
        <v>0.2411</v>
      </c>
      <c r="AD10" s="1">
        <v>61.75</v>
      </c>
      <c r="AE10" s="1">
        <v>5.84</v>
      </c>
      <c r="AF10" s="1">
        <v>58.85</v>
      </c>
      <c r="AG10" s="1">
        <v>0.4783</v>
      </c>
      <c r="AH10" s="1">
        <v>2.75</v>
      </c>
      <c r="AI10" s="1">
        <v>9.16</v>
      </c>
      <c r="AJ10" s="1">
        <v>91.6</v>
      </c>
      <c r="AK10" s="1">
        <v>64.35</v>
      </c>
      <c r="AL10" s="3">
        <f>(O10-O4)/137*100</f>
        <v>75.1580292</v>
      </c>
      <c r="AM10" s="3">
        <f>(P10-P4)/200*100</f>
        <v>0.39465</v>
      </c>
      <c r="AN10" s="3">
        <f>(Q10-Q4)/72*100</f>
        <v>47.12888889</v>
      </c>
      <c r="AO10" s="1">
        <v>47.11174936</v>
      </c>
      <c r="AP10" s="1">
        <v>107.1471189</v>
      </c>
    </row>
    <row r="11" ht="12.75" customHeight="1">
      <c r="A11" s="1" t="s">
        <v>53</v>
      </c>
      <c r="B11" s="1">
        <v>2.0</v>
      </c>
      <c r="C11" s="1" t="s">
        <v>54</v>
      </c>
      <c r="D11" s="1" t="s">
        <v>55</v>
      </c>
      <c r="E11" s="1" t="s">
        <v>55</v>
      </c>
      <c r="F11" s="1">
        <v>163.0</v>
      </c>
      <c r="G11" s="1">
        <v>68.2</v>
      </c>
      <c r="H11" s="1">
        <v>10.9</v>
      </c>
      <c r="I11" s="1">
        <v>0.9035</v>
      </c>
      <c r="J11" s="1">
        <v>16.8284</v>
      </c>
      <c r="K11" s="1">
        <v>23.5699</v>
      </c>
      <c r="L11" s="1">
        <v>0.0596</v>
      </c>
      <c r="M11" s="1">
        <v>0.003</v>
      </c>
      <c r="N11" s="1">
        <v>5.7191</v>
      </c>
      <c r="O11" s="1">
        <v>14.061</v>
      </c>
      <c r="P11" s="1">
        <v>0.19</v>
      </c>
      <c r="Q11" s="1">
        <v>3.5385</v>
      </c>
      <c r="R11" s="1">
        <v>4.956</v>
      </c>
      <c r="S11" s="1">
        <v>0.0125</v>
      </c>
      <c r="T11" s="1">
        <v>6.0E-4</v>
      </c>
      <c r="U11" s="1">
        <v>1.2026</v>
      </c>
      <c r="V11" s="1">
        <v>433.85</v>
      </c>
      <c r="W11" s="1">
        <v>2.625</v>
      </c>
      <c r="X11" s="1">
        <v>5.32</v>
      </c>
      <c r="Y11" s="1">
        <v>414.54</v>
      </c>
      <c r="Z11" s="1">
        <v>24.63</v>
      </c>
      <c r="AA11" s="1">
        <v>3.99</v>
      </c>
      <c r="AB11" s="1">
        <v>36.38</v>
      </c>
      <c r="AC11" s="1">
        <v>0.1612</v>
      </c>
      <c r="AD11" s="1">
        <v>32.75</v>
      </c>
      <c r="AE11" s="1">
        <v>4.12</v>
      </c>
      <c r="AF11" s="1">
        <v>28.4</v>
      </c>
      <c r="AG11" s="1">
        <v>0.5726</v>
      </c>
      <c r="AH11" s="1">
        <v>0.75</v>
      </c>
      <c r="AI11" s="1">
        <v>1.29</v>
      </c>
      <c r="AJ11" s="1" t="s">
        <v>56</v>
      </c>
      <c r="AK11" s="1" t="s">
        <v>56</v>
      </c>
      <c r="AL11" s="3" t="s">
        <v>56</v>
      </c>
      <c r="AM11" s="3" t="s">
        <v>56</v>
      </c>
      <c r="AN11" s="3" t="s">
        <v>56</v>
      </c>
      <c r="AO11" s="1" t="s">
        <v>56</v>
      </c>
      <c r="AP11" s="1">
        <v>74.00526316</v>
      </c>
    </row>
    <row r="12" ht="12.75" customHeight="1">
      <c r="A12" s="1" t="s">
        <v>57</v>
      </c>
      <c r="B12" s="1">
        <v>2.0</v>
      </c>
      <c r="C12" s="1" t="s">
        <v>58</v>
      </c>
      <c r="D12" s="1" t="s">
        <v>55</v>
      </c>
      <c r="E12" s="1" t="s">
        <v>55</v>
      </c>
      <c r="F12" s="1">
        <v>184.0</v>
      </c>
      <c r="G12" s="1">
        <v>78.0</v>
      </c>
      <c r="H12" s="1">
        <v>12.5</v>
      </c>
      <c r="I12" s="1">
        <v>0.8305</v>
      </c>
      <c r="J12" s="1">
        <v>11.5887</v>
      </c>
      <c r="K12" s="1">
        <v>26.112</v>
      </c>
      <c r="L12" s="1">
        <v>0.1313</v>
      </c>
      <c r="M12" s="1">
        <v>0.001</v>
      </c>
      <c r="N12" s="1">
        <v>4.6368</v>
      </c>
      <c r="O12" s="1">
        <v>35.625</v>
      </c>
      <c r="P12" s="1">
        <v>0.4355</v>
      </c>
      <c r="Q12" s="1">
        <v>6.0771</v>
      </c>
      <c r="R12" s="1">
        <v>13.6931</v>
      </c>
      <c r="S12" s="1">
        <v>0.0689</v>
      </c>
      <c r="T12" s="1">
        <v>5.0E-4</v>
      </c>
      <c r="U12" s="1">
        <v>2.4315</v>
      </c>
      <c r="V12" s="1">
        <v>128.727</v>
      </c>
      <c r="W12" s="1">
        <v>4.272</v>
      </c>
      <c r="X12" s="1">
        <v>8.18</v>
      </c>
      <c r="Y12" s="1">
        <v>745.65</v>
      </c>
      <c r="Z12" s="1">
        <v>28.38</v>
      </c>
      <c r="AA12" s="1">
        <v>4.33</v>
      </c>
      <c r="AB12" s="1">
        <v>41.23</v>
      </c>
      <c r="AC12" s="1">
        <v>0.1747</v>
      </c>
      <c r="AD12" s="1">
        <v>38.38</v>
      </c>
      <c r="AE12" s="1">
        <v>4.71</v>
      </c>
      <c r="AF12" s="1">
        <v>39.55</v>
      </c>
      <c r="AG12" s="1">
        <v>0.5413</v>
      </c>
      <c r="AH12" s="1">
        <v>1.75</v>
      </c>
      <c r="AI12" s="1">
        <v>2.85</v>
      </c>
      <c r="AJ12" s="1" t="s">
        <v>56</v>
      </c>
      <c r="AK12" s="1" t="s">
        <v>56</v>
      </c>
      <c r="AL12" s="3" t="s">
        <v>56</v>
      </c>
      <c r="AM12" s="3" t="s">
        <v>56</v>
      </c>
      <c r="AN12" s="3" t="s">
        <v>56</v>
      </c>
      <c r="AO12" s="1" t="s">
        <v>56</v>
      </c>
      <c r="AP12" s="1">
        <v>81.80252583</v>
      </c>
    </row>
    <row r="13" ht="12.75" customHeight="1">
      <c r="A13" s="1" t="s">
        <v>59</v>
      </c>
      <c r="B13" s="1">
        <v>2.0</v>
      </c>
      <c r="C13" s="1" t="s">
        <v>54</v>
      </c>
      <c r="D13" s="1" t="s">
        <v>55</v>
      </c>
      <c r="E13" s="1" t="s">
        <v>60</v>
      </c>
      <c r="F13" s="1">
        <v>222.0</v>
      </c>
      <c r="G13" s="1">
        <v>101.2</v>
      </c>
      <c r="H13" s="1">
        <v>16.2</v>
      </c>
      <c r="I13" s="1">
        <v>0.6731</v>
      </c>
      <c r="J13" s="1">
        <v>18.3769</v>
      </c>
      <c r="K13" s="1">
        <v>10.0061</v>
      </c>
      <c r="L13" s="1">
        <v>0.1598</v>
      </c>
      <c r="M13" s="1">
        <v>0.0022</v>
      </c>
      <c r="N13" s="1">
        <v>2.858</v>
      </c>
      <c r="O13" s="1">
        <v>104.328</v>
      </c>
      <c r="P13" s="1">
        <v>0.9623</v>
      </c>
      <c r="Q13" s="1">
        <v>26.2731</v>
      </c>
      <c r="R13" s="1">
        <v>14.3055</v>
      </c>
      <c r="S13" s="1">
        <v>0.2285</v>
      </c>
      <c r="T13" s="1">
        <v>0.0031</v>
      </c>
      <c r="U13" s="1">
        <v>4.086</v>
      </c>
      <c r="V13" s="1">
        <v>316.6</v>
      </c>
      <c r="W13" s="1">
        <v>0.406</v>
      </c>
      <c r="X13" s="1">
        <v>5.25</v>
      </c>
      <c r="Y13" s="1">
        <v>486.4</v>
      </c>
      <c r="Z13" s="1">
        <v>35.88</v>
      </c>
      <c r="AA13" s="1">
        <v>4.92</v>
      </c>
      <c r="AB13" s="1">
        <v>53.83</v>
      </c>
      <c r="AC13" s="1">
        <v>0.1518</v>
      </c>
      <c r="AD13" s="1">
        <v>55.13</v>
      </c>
      <c r="AE13" s="1">
        <v>5.29</v>
      </c>
      <c r="AF13" s="1">
        <v>47.775</v>
      </c>
      <c r="AG13" s="1">
        <v>0.5693</v>
      </c>
      <c r="AH13" s="1">
        <v>2.5</v>
      </c>
      <c r="AI13" s="1">
        <v>6.44</v>
      </c>
      <c r="AJ13" s="1">
        <v>64.4</v>
      </c>
      <c r="AK13" s="1">
        <v>51.5</v>
      </c>
      <c r="AL13" s="3">
        <f t="shared" ref="AL13:AL14" si="7">(O13-O11)/137*100</f>
        <v>65.88832117</v>
      </c>
      <c r="AM13" s="3">
        <f t="shared" ref="AM13:AM14" si="8">(P13-P11)/200*100</f>
        <v>0.38615</v>
      </c>
      <c r="AN13" s="3">
        <f t="shared" ref="AN13:AN14" si="9">(Q13-Q11)/72*100</f>
        <v>31.57583333</v>
      </c>
      <c r="AO13" s="1">
        <v>57.05296509</v>
      </c>
      <c r="AP13" s="1">
        <v>108.4152551</v>
      </c>
    </row>
    <row r="14" ht="12.75" customHeight="1">
      <c r="A14" s="1" t="s">
        <v>61</v>
      </c>
      <c r="B14" s="1">
        <v>2.0</v>
      </c>
      <c r="C14" s="1" t="s">
        <v>58</v>
      </c>
      <c r="D14" s="1" t="s">
        <v>55</v>
      </c>
      <c r="E14" s="1" t="s">
        <v>60</v>
      </c>
      <c r="F14" s="1">
        <v>244.0</v>
      </c>
      <c r="G14" s="1">
        <v>75.0</v>
      </c>
      <c r="H14" s="1">
        <v>12.0</v>
      </c>
      <c r="I14" s="1">
        <v>0.5868</v>
      </c>
      <c r="J14" s="1">
        <v>15.5146</v>
      </c>
      <c r="K14" s="1">
        <v>11.799</v>
      </c>
      <c r="L14" s="1">
        <v>0.1769</v>
      </c>
      <c r="M14" s="1">
        <v>4.0E-4</v>
      </c>
      <c r="N14" s="1">
        <v>2.4946</v>
      </c>
      <c r="O14" s="1">
        <v>112.98</v>
      </c>
      <c r="P14" s="1">
        <v>1.348</v>
      </c>
      <c r="Q14" s="1">
        <v>35.6411</v>
      </c>
      <c r="R14" s="1">
        <v>27.1054</v>
      </c>
      <c r="S14" s="1">
        <v>0.4064</v>
      </c>
      <c r="T14" s="1">
        <v>9.0E-4</v>
      </c>
      <c r="U14" s="1">
        <v>5.7307</v>
      </c>
      <c r="V14" s="1">
        <v>94.661</v>
      </c>
      <c r="W14" s="1">
        <v>2.698</v>
      </c>
      <c r="X14" s="1">
        <v>7.66</v>
      </c>
      <c r="Y14" s="1">
        <v>1330.7</v>
      </c>
      <c r="Z14" s="1">
        <v>36.0</v>
      </c>
      <c r="AA14" s="1">
        <v>4.28</v>
      </c>
      <c r="AB14" s="1">
        <v>51.65</v>
      </c>
      <c r="AC14" s="1">
        <v>0.1576</v>
      </c>
      <c r="AD14" s="1">
        <v>60.0</v>
      </c>
      <c r="AE14" s="1">
        <v>5.22</v>
      </c>
      <c r="AF14" s="1">
        <v>53.675</v>
      </c>
      <c r="AG14" s="1">
        <v>0.5591</v>
      </c>
      <c r="AH14" s="1">
        <v>3.0</v>
      </c>
      <c r="AI14" s="1">
        <v>9.42</v>
      </c>
      <c r="AJ14" s="1">
        <v>94.2</v>
      </c>
      <c r="AK14" s="1">
        <v>65.65</v>
      </c>
      <c r="AL14" s="3">
        <f t="shared" si="7"/>
        <v>56.46350365</v>
      </c>
      <c r="AM14" s="3">
        <f t="shared" si="8"/>
        <v>0.45625</v>
      </c>
      <c r="AN14" s="3">
        <f t="shared" si="9"/>
        <v>41.06111111</v>
      </c>
      <c r="AO14" s="1">
        <v>84.93310064</v>
      </c>
      <c r="AP14" s="1">
        <v>83.81305638</v>
      </c>
    </row>
    <row r="15" ht="12.75" customHeight="1">
      <c r="A15" s="1" t="s">
        <v>62</v>
      </c>
      <c r="B15" s="1">
        <v>2.0</v>
      </c>
      <c r="C15" s="1" t="s">
        <v>54</v>
      </c>
      <c r="D15" s="1" t="s">
        <v>63</v>
      </c>
      <c r="E15" s="1" t="s">
        <v>60</v>
      </c>
      <c r="F15" s="1">
        <v>240.0</v>
      </c>
      <c r="G15" s="1">
        <v>85.2</v>
      </c>
      <c r="H15" s="1">
        <v>13.6</v>
      </c>
      <c r="I15" s="1">
        <v>0.5896</v>
      </c>
      <c r="J15" s="1">
        <v>20.256</v>
      </c>
      <c r="K15" s="1">
        <v>6.3776</v>
      </c>
      <c r="L15" s="1">
        <v>0.0616</v>
      </c>
      <c r="M15" s="1">
        <v>0.0011</v>
      </c>
      <c r="N15" s="1">
        <v>2.1761</v>
      </c>
      <c r="O15" s="1">
        <v>121.176</v>
      </c>
      <c r="P15" s="1">
        <v>1.2608</v>
      </c>
      <c r="Q15" s="1">
        <v>43.3154</v>
      </c>
      <c r="R15" s="1">
        <v>13.6379</v>
      </c>
      <c r="S15" s="1">
        <v>0.1317</v>
      </c>
      <c r="T15" s="1">
        <v>0.0024</v>
      </c>
      <c r="U15" s="1">
        <v>4.6534</v>
      </c>
      <c r="V15" s="1">
        <v>412.85</v>
      </c>
      <c r="W15" s="1">
        <v>0.76</v>
      </c>
      <c r="X15" s="1">
        <v>5.62</v>
      </c>
      <c r="Y15" s="1">
        <v>661.5</v>
      </c>
      <c r="Z15" s="1">
        <v>39.13</v>
      </c>
      <c r="AA15" s="1">
        <v>4.52</v>
      </c>
      <c r="AB15" s="1">
        <v>55.38</v>
      </c>
      <c r="AC15" s="1">
        <v>0.1537</v>
      </c>
      <c r="AD15" s="1">
        <v>59.75</v>
      </c>
      <c r="AE15" s="1">
        <v>5.52</v>
      </c>
      <c r="AF15" s="1">
        <v>55.825</v>
      </c>
      <c r="AG15" s="1">
        <v>0.5532</v>
      </c>
      <c r="AH15" s="1">
        <v>3.5</v>
      </c>
      <c r="AI15" s="1">
        <v>8.91</v>
      </c>
      <c r="AJ15" s="1">
        <v>89.1</v>
      </c>
      <c r="AK15" s="1">
        <v>76.2</v>
      </c>
      <c r="AL15" s="3">
        <f>(O15-O11)/137*100</f>
        <v>78.18613139</v>
      </c>
      <c r="AM15" s="3">
        <f>(P15-P11)/200*100</f>
        <v>0.5354</v>
      </c>
      <c r="AN15" s="3">
        <f>(Q15-Q11)/72*100</f>
        <v>55.24569444</v>
      </c>
      <c r="AO15" s="1">
        <v>71.13849601</v>
      </c>
      <c r="AP15" s="1">
        <v>96.11040609</v>
      </c>
    </row>
    <row r="16" ht="12.75" customHeight="1">
      <c r="A16" s="1" t="s">
        <v>64</v>
      </c>
      <c r="B16" s="1">
        <v>2.0</v>
      </c>
      <c r="C16" s="1" t="s">
        <v>54</v>
      </c>
      <c r="D16" s="1" t="s">
        <v>65</v>
      </c>
      <c r="E16" s="1" t="s">
        <v>60</v>
      </c>
      <c r="F16" s="1">
        <v>278.0</v>
      </c>
      <c r="G16" s="1" t="s">
        <v>56</v>
      </c>
      <c r="H16" s="1" t="s">
        <v>56</v>
      </c>
      <c r="I16" s="1">
        <v>0.5534</v>
      </c>
      <c r="J16" s="1">
        <v>20.3979</v>
      </c>
      <c r="K16" s="1">
        <v>6.7737</v>
      </c>
      <c r="L16" s="1">
        <v>0.3421</v>
      </c>
      <c r="M16" s="1">
        <v>6.0E-4</v>
      </c>
      <c r="N16" s="1">
        <v>2.2238</v>
      </c>
      <c r="O16" s="1" t="s">
        <v>56</v>
      </c>
      <c r="P16" s="1">
        <v>1.2908</v>
      </c>
      <c r="Q16" s="1">
        <v>47.5765</v>
      </c>
      <c r="R16" s="1">
        <v>15.7991</v>
      </c>
      <c r="S16" s="1">
        <v>0.7979</v>
      </c>
      <c r="T16" s="1">
        <v>0.0014</v>
      </c>
      <c r="U16" s="1">
        <v>5.1868</v>
      </c>
      <c r="V16" s="1">
        <v>300.222</v>
      </c>
      <c r="W16" s="1">
        <v>0.51</v>
      </c>
      <c r="X16" s="1">
        <v>6.12</v>
      </c>
      <c r="Y16" s="1">
        <v>918.22</v>
      </c>
      <c r="Z16" s="1">
        <v>36.0</v>
      </c>
      <c r="AA16" s="1">
        <v>4.61</v>
      </c>
      <c r="AB16" s="1">
        <v>59.03</v>
      </c>
      <c r="AC16" s="1">
        <v>0.159</v>
      </c>
      <c r="AD16" s="1">
        <v>58.25</v>
      </c>
      <c r="AE16" s="1">
        <v>5.22</v>
      </c>
      <c r="AF16" s="1">
        <v>52.225</v>
      </c>
      <c r="AG16" s="1">
        <v>0.5497</v>
      </c>
      <c r="AH16" s="1">
        <v>3.0</v>
      </c>
      <c r="AI16" s="1">
        <v>8.39</v>
      </c>
      <c r="AJ16" s="1">
        <v>83.9</v>
      </c>
      <c r="AK16" s="1">
        <v>71.0</v>
      </c>
      <c r="AL16" s="3" t="str">
        <f t="shared" ref="AL16:AL17" si="10">(O16-O11)/137*100</f>
        <v>#VALUE!</v>
      </c>
      <c r="AM16" s="3">
        <f t="shared" ref="AM16:AM17" si="11">(P16-P11)/200*100</f>
        <v>0.5504</v>
      </c>
      <c r="AN16" s="3">
        <f t="shared" ref="AN16:AN17" si="12">(Q16-Q11)/72*100</f>
        <v>61.16388889</v>
      </c>
      <c r="AO16" s="1" t="s">
        <v>56</v>
      </c>
      <c r="AP16" s="1" t="s">
        <v>56</v>
      </c>
    </row>
    <row r="17" ht="12.75" customHeight="1">
      <c r="A17" s="1" t="s">
        <v>66</v>
      </c>
      <c r="B17" s="1">
        <v>2.0</v>
      </c>
      <c r="C17" s="1" t="s">
        <v>58</v>
      </c>
      <c r="D17" s="1" t="s">
        <v>63</v>
      </c>
      <c r="E17" s="1" t="s">
        <v>60</v>
      </c>
      <c r="F17" s="1">
        <v>236.0</v>
      </c>
      <c r="G17" s="1">
        <v>85.4</v>
      </c>
      <c r="H17" s="1">
        <v>13.7</v>
      </c>
      <c r="I17" s="1">
        <v>0.5614</v>
      </c>
      <c r="J17" s="1">
        <v>15.4032</v>
      </c>
      <c r="K17" s="1">
        <v>10.3118</v>
      </c>
      <c r="L17" s="1">
        <v>0.1191</v>
      </c>
      <c r="M17" s="1">
        <v>0.0</v>
      </c>
      <c r="N17" s="1">
        <v>2.1904</v>
      </c>
      <c r="O17" s="1">
        <v>142.2745</v>
      </c>
      <c r="P17" s="1">
        <v>1.3759</v>
      </c>
      <c r="Q17" s="1">
        <v>37.7511</v>
      </c>
      <c r="R17" s="1">
        <v>25.2728</v>
      </c>
      <c r="S17" s="1">
        <v>0.2919</v>
      </c>
      <c r="T17" s="1">
        <v>0.0</v>
      </c>
      <c r="U17" s="1">
        <v>5.3684</v>
      </c>
      <c r="V17" s="1">
        <v>64.35</v>
      </c>
      <c r="W17" s="1">
        <v>2.854</v>
      </c>
      <c r="X17" s="1">
        <v>7.95</v>
      </c>
      <c r="Y17" s="1">
        <v>938.39</v>
      </c>
      <c r="Z17" s="1">
        <v>43.63</v>
      </c>
      <c r="AA17" s="1">
        <v>5.28</v>
      </c>
      <c r="AB17" s="1">
        <v>57.65</v>
      </c>
      <c r="AC17" s="1">
        <v>0.1455</v>
      </c>
      <c r="AD17" s="1">
        <v>60.88</v>
      </c>
      <c r="AE17" s="1">
        <v>6.45</v>
      </c>
      <c r="AF17" s="1">
        <v>54.35</v>
      </c>
      <c r="AG17" s="1">
        <v>0.5526</v>
      </c>
      <c r="AH17" s="1">
        <v>4.25</v>
      </c>
      <c r="AI17" s="1">
        <v>10.39</v>
      </c>
      <c r="AJ17" s="1">
        <v>103.9</v>
      </c>
      <c r="AK17" s="1">
        <v>75.35</v>
      </c>
      <c r="AL17" s="3">
        <f t="shared" si="10"/>
        <v>77.84635036</v>
      </c>
      <c r="AM17" s="3">
        <f t="shared" si="11"/>
        <v>0.4702</v>
      </c>
      <c r="AN17" s="3">
        <f t="shared" si="12"/>
        <v>43.99166667</v>
      </c>
      <c r="AO17" s="1">
        <v>70.6988781</v>
      </c>
      <c r="AP17" s="1">
        <v>103.4046806</v>
      </c>
    </row>
    <row r="18" ht="12.75" customHeight="1">
      <c r="A18" s="1" t="s">
        <v>67</v>
      </c>
      <c r="B18" s="1">
        <v>2.0</v>
      </c>
      <c r="C18" s="1" t="s">
        <v>58</v>
      </c>
      <c r="D18" s="1" t="s">
        <v>65</v>
      </c>
      <c r="E18" s="1" t="s">
        <v>60</v>
      </c>
      <c r="F18" s="1">
        <v>269.0</v>
      </c>
      <c r="G18" s="1">
        <v>66.1</v>
      </c>
      <c r="H18" s="1">
        <v>10.6</v>
      </c>
      <c r="I18" s="1">
        <v>0.65</v>
      </c>
      <c r="J18" s="1">
        <v>17.2927</v>
      </c>
      <c r="K18" s="1">
        <v>8.1007</v>
      </c>
      <c r="L18" s="1">
        <v>0.1388</v>
      </c>
      <c r="M18" s="1">
        <v>0.0</v>
      </c>
      <c r="N18" s="1">
        <v>2.3167</v>
      </c>
      <c r="O18" s="1">
        <v>107.855</v>
      </c>
      <c r="P18" s="1">
        <v>1.7791</v>
      </c>
      <c r="Q18" s="1">
        <v>47.3314</v>
      </c>
      <c r="R18" s="1">
        <v>22.1722</v>
      </c>
      <c r="S18" s="1">
        <v>0.3799</v>
      </c>
      <c r="T18" s="1">
        <v>0.0</v>
      </c>
      <c r="U18" s="1">
        <v>6.341</v>
      </c>
      <c r="V18" s="1">
        <v>74.35</v>
      </c>
      <c r="W18" s="1">
        <v>2.917</v>
      </c>
      <c r="X18" s="1">
        <v>7.94</v>
      </c>
      <c r="Y18" s="1">
        <v>1063.8</v>
      </c>
      <c r="Z18" s="1">
        <v>41.0</v>
      </c>
      <c r="AA18" s="1">
        <v>4.98</v>
      </c>
      <c r="AB18" s="1">
        <v>54.13</v>
      </c>
      <c r="AC18" s="1">
        <v>0.1554</v>
      </c>
      <c r="AD18" s="1">
        <v>59.75</v>
      </c>
      <c r="AE18" s="1">
        <v>5.7</v>
      </c>
      <c r="AF18" s="1">
        <v>51.725</v>
      </c>
      <c r="AG18" s="1">
        <v>0.5458</v>
      </c>
      <c r="AH18" s="1">
        <v>2.0</v>
      </c>
      <c r="AI18" s="1">
        <v>10.18</v>
      </c>
      <c r="AJ18" s="1">
        <v>101.8</v>
      </c>
      <c r="AK18" s="1">
        <v>73.25</v>
      </c>
      <c r="AL18" s="3">
        <f>(O18-O12)/137*100</f>
        <v>52.72262774</v>
      </c>
      <c r="AM18" s="3">
        <f>(P18-P12)/200*100</f>
        <v>0.6718</v>
      </c>
      <c r="AN18" s="3">
        <f>(Q18-Q12)/72*100</f>
        <v>57.29763889</v>
      </c>
      <c r="AO18" s="1">
        <v>67.96161513</v>
      </c>
      <c r="AP18" s="1">
        <v>60.62334888</v>
      </c>
    </row>
    <row r="19" ht="12.75" customHeight="1">
      <c r="A19" s="1" t="s">
        <v>53</v>
      </c>
      <c r="B19" s="1">
        <v>3.0</v>
      </c>
      <c r="C19" s="1" t="s">
        <v>54</v>
      </c>
      <c r="D19" s="1" t="s">
        <v>55</v>
      </c>
      <c r="E19" s="1" t="s">
        <v>55</v>
      </c>
      <c r="F19" s="1">
        <v>194.0</v>
      </c>
      <c r="G19" s="1">
        <v>58.1</v>
      </c>
      <c r="H19" s="1">
        <v>9.3</v>
      </c>
      <c r="I19" s="1">
        <v>0.7144</v>
      </c>
      <c r="J19" s="1">
        <v>14.9758</v>
      </c>
      <c r="K19" s="1">
        <v>21.5247</v>
      </c>
      <c r="L19" s="1">
        <v>0.0564</v>
      </c>
      <c r="M19" s="1">
        <v>2.0E-4</v>
      </c>
      <c r="N19" s="1">
        <v>5.0178</v>
      </c>
      <c r="O19" s="1">
        <v>14.694</v>
      </c>
      <c r="P19" s="1">
        <v>0.219</v>
      </c>
      <c r="Q19" s="1">
        <v>4.5904</v>
      </c>
      <c r="R19" s="1">
        <v>6.5978</v>
      </c>
      <c r="S19" s="1">
        <v>0.0173</v>
      </c>
      <c r="T19" s="1">
        <v>1.0E-4</v>
      </c>
      <c r="U19" s="1">
        <v>1.5381</v>
      </c>
      <c r="V19" s="1">
        <v>288.35</v>
      </c>
      <c r="W19" s="1">
        <v>0.0</v>
      </c>
      <c r="X19" s="1">
        <v>5.43</v>
      </c>
      <c r="Y19" s="1">
        <v>337.61</v>
      </c>
      <c r="Z19" s="1">
        <v>25.63</v>
      </c>
      <c r="AA19" s="1">
        <v>4.55</v>
      </c>
      <c r="AB19" s="1">
        <v>38.53</v>
      </c>
      <c r="AC19" s="1">
        <v>0.154</v>
      </c>
      <c r="AD19" s="1">
        <v>32.0</v>
      </c>
      <c r="AE19" s="1">
        <v>4.54</v>
      </c>
      <c r="AF19" s="1">
        <v>26.725</v>
      </c>
      <c r="AG19" s="1">
        <v>0.5474</v>
      </c>
      <c r="AH19" s="1">
        <v>0.0</v>
      </c>
      <c r="AI19" s="1">
        <v>1.58</v>
      </c>
      <c r="AJ19" s="1" t="s">
        <v>56</v>
      </c>
      <c r="AK19" s="1" t="s">
        <v>56</v>
      </c>
      <c r="AL19" s="3" t="s">
        <v>56</v>
      </c>
      <c r="AM19" s="3" t="s">
        <v>56</v>
      </c>
      <c r="AN19" s="3" t="s">
        <v>56</v>
      </c>
      <c r="AO19" s="1" t="s">
        <v>56</v>
      </c>
      <c r="AP19" s="1">
        <v>67.09589041</v>
      </c>
    </row>
    <row r="20" ht="12.75" customHeight="1">
      <c r="A20" s="1" t="s">
        <v>57</v>
      </c>
      <c r="B20" s="1">
        <v>3.0</v>
      </c>
      <c r="C20" s="1" t="s">
        <v>58</v>
      </c>
      <c r="D20" s="1" t="s">
        <v>55</v>
      </c>
      <c r="E20" s="1" t="s">
        <v>55</v>
      </c>
      <c r="F20" s="1">
        <v>192.0</v>
      </c>
      <c r="G20" s="1">
        <v>81.2</v>
      </c>
      <c r="H20" s="1">
        <v>13.0</v>
      </c>
      <c r="I20" s="1">
        <v>0.8987</v>
      </c>
      <c r="J20" s="1">
        <v>14.111</v>
      </c>
      <c r="K20" s="1">
        <v>24.0105</v>
      </c>
      <c r="L20" s="1">
        <v>0.3029</v>
      </c>
      <c r="M20" s="1">
        <v>0.0</v>
      </c>
      <c r="N20" s="1">
        <v>4.0048</v>
      </c>
      <c r="O20" s="1">
        <v>37.635</v>
      </c>
      <c r="P20" s="1">
        <v>0.4995</v>
      </c>
      <c r="Q20" s="1">
        <v>7.8435</v>
      </c>
      <c r="R20" s="1">
        <v>13.346</v>
      </c>
      <c r="S20" s="1">
        <v>0.1684</v>
      </c>
      <c r="T20" s="1">
        <v>0.0</v>
      </c>
      <c r="U20" s="1">
        <v>2.226</v>
      </c>
      <c r="V20" s="1">
        <v>39.818</v>
      </c>
      <c r="W20" s="1">
        <v>0.175</v>
      </c>
      <c r="X20" s="1">
        <v>8.02</v>
      </c>
      <c r="Y20" s="1">
        <v>890.47</v>
      </c>
      <c r="Z20" s="1">
        <v>29.75</v>
      </c>
      <c r="AA20" s="1">
        <v>4.04</v>
      </c>
      <c r="AB20" s="1">
        <v>34.55</v>
      </c>
      <c r="AC20" s="1">
        <v>0.1474</v>
      </c>
      <c r="AD20" s="1">
        <v>33.13</v>
      </c>
      <c r="AE20" s="1">
        <v>3.93</v>
      </c>
      <c r="AF20" s="1">
        <v>33.375</v>
      </c>
      <c r="AG20" s="1">
        <v>0.5563</v>
      </c>
      <c r="AH20" s="1">
        <v>0.0</v>
      </c>
      <c r="AI20" s="1">
        <v>2.9</v>
      </c>
      <c r="AJ20" s="1" t="s">
        <v>56</v>
      </c>
      <c r="AK20" s="1" t="s">
        <v>56</v>
      </c>
      <c r="AL20" s="3" t="s">
        <v>56</v>
      </c>
      <c r="AM20" s="3" t="s">
        <v>56</v>
      </c>
      <c r="AN20" s="3" t="s">
        <v>56</v>
      </c>
      <c r="AO20" s="1" t="s">
        <v>56</v>
      </c>
      <c r="AP20" s="1">
        <v>75.34534535</v>
      </c>
    </row>
    <row r="21" ht="12.75" customHeight="1">
      <c r="A21" s="1" t="s">
        <v>59</v>
      </c>
      <c r="B21" s="1">
        <v>3.0</v>
      </c>
      <c r="C21" s="1" t="s">
        <v>54</v>
      </c>
      <c r="D21" s="1" t="s">
        <v>55</v>
      </c>
      <c r="E21" s="1" t="s">
        <v>60</v>
      </c>
      <c r="F21" s="1">
        <v>242.0</v>
      </c>
      <c r="G21" s="1">
        <v>113.2</v>
      </c>
      <c r="H21" s="1">
        <v>18.1</v>
      </c>
      <c r="I21" s="1">
        <v>0.5162</v>
      </c>
      <c r="J21" s="1">
        <v>19.1719</v>
      </c>
      <c r="K21" s="1">
        <v>8.5162</v>
      </c>
      <c r="L21" s="1">
        <v>0.1759</v>
      </c>
      <c r="M21" s="1">
        <v>0.0036</v>
      </c>
      <c r="N21" s="1">
        <v>2.6082</v>
      </c>
      <c r="O21" s="1">
        <v>137.017</v>
      </c>
      <c r="P21" s="1">
        <v>0.9456</v>
      </c>
      <c r="Q21" s="1">
        <v>35.1218</v>
      </c>
      <c r="R21" s="1">
        <v>15.6012</v>
      </c>
      <c r="S21" s="1">
        <v>0.3222</v>
      </c>
      <c r="T21" s="1">
        <v>0.0066</v>
      </c>
      <c r="U21" s="1">
        <v>4.7781</v>
      </c>
      <c r="V21" s="1">
        <v>298.35</v>
      </c>
      <c r="W21" s="1">
        <v>0.0</v>
      </c>
      <c r="X21" s="1">
        <v>5.28</v>
      </c>
      <c r="Y21" s="1">
        <v>512.31</v>
      </c>
      <c r="Z21" s="1">
        <v>38.38</v>
      </c>
      <c r="AA21" s="1">
        <v>4.37</v>
      </c>
      <c r="AB21" s="1">
        <v>56.23</v>
      </c>
      <c r="AC21" s="1">
        <v>0.1594</v>
      </c>
      <c r="AD21" s="1">
        <v>55.63</v>
      </c>
      <c r="AE21" s="1">
        <v>5.13</v>
      </c>
      <c r="AF21" s="1">
        <v>58.125</v>
      </c>
      <c r="AG21" s="1">
        <v>0.5492</v>
      </c>
      <c r="AH21" s="1">
        <v>2.5</v>
      </c>
      <c r="AI21" s="1">
        <v>7.57</v>
      </c>
      <c r="AJ21" s="1">
        <v>75.7</v>
      </c>
      <c r="AK21" s="1">
        <v>59.9</v>
      </c>
      <c r="AL21" s="3">
        <f t="shared" ref="AL21:AL22" si="13">(O21-O19)/137*100</f>
        <v>89.28686131</v>
      </c>
      <c r="AM21" s="3">
        <f t="shared" ref="AM21:AM22" si="14">(P21-P19)/200*100</f>
        <v>0.3633</v>
      </c>
      <c r="AN21" s="3">
        <f t="shared" ref="AN21:AN22" si="15">(Q21-Q19)/72*100</f>
        <v>42.40472222</v>
      </c>
      <c r="AO21" s="1">
        <v>48.96871398</v>
      </c>
      <c r="AP21" s="1">
        <v>144.8995347</v>
      </c>
    </row>
    <row r="22" ht="12.75" customHeight="1">
      <c r="A22" s="1" t="s">
        <v>61</v>
      </c>
      <c r="B22" s="1">
        <v>3.0</v>
      </c>
      <c r="C22" s="1" t="s">
        <v>58</v>
      </c>
      <c r="D22" s="1" t="s">
        <v>55</v>
      </c>
      <c r="E22" s="1" t="s">
        <v>60</v>
      </c>
      <c r="F22" s="1">
        <v>261.0</v>
      </c>
      <c r="G22" s="1">
        <v>89.7</v>
      </c>
      <c r="H22" s="1">
        <v>14.3</v>
      </c>
      <c r="I22" s="1">
        <v>0.5844</v>
      </c>
      <c r="J22" s="1">
        <v>15.7243</v>
      </c>
      <c r="K22" s="1">
        <v>10.5573</v>
      </c>
      <c r="L22" s="1">
        <v>0.1079</v>
      </c>
      <c r="M22" s="1">
        <v>0.0</v>
      </c>
      <c r="N22" s="1">
        <v>2.4306</v>
      </c>
      <c r="O22" s="1">
        <v>135.7785</v>
      </c>
      <c r="P22" s="1">
        <v>1.4483</v>
      </c>
      <c r="Q22" s="1">
        <v>38.9679</v>
      </c>
      <c r="R22" s="1">
        <v>26.163</v>
      </c>
      <c r="S22" s="1">
        <v>0.2674</v>
      </c>
      <c r="T22" s="1">
        <v>0.0</v>
      </c>
      <c r="U22" s="1">
        <v>6.0235</v>
      </c>
      <c r="V22" s="1">
        <v>60.26</v>
      </c>
      <c r="W22" s="1">
        <v>1.74</v>
      </c>
      <c r="X22" s="1">
        <v>7.83</v>
      </c>
      <c r="Y22" s="1">
        <v>1201.2</v>
      </c>
      <c r="Z22" s="1">
        <v>39.38</v>
      </c>
      <c r="AA22" s="1">
        <v>4.74</v>
      </c>
      <c r="AB22" s="1">
        <v>56.98</v>
      </c>
      <c r="AC22" s="1">
        <v>0.1553</v>
      </c>
      <c r="AD22" s="1">
        <v>59.88</v>
      </c>
      <c r="AE22" s="1">
        <v>5.83</v>
      </c>
      <c r="AF22" s="1">
        <v>51.75</v>
      </c>
      <c r="AG22" s="1">
        <v>0.5408</v>
      </c>
      <c r="AH22" s="1">
        <v>2.5</v>
      </c>
      <c r="AI22" s="1">
        <v>9.5</v>
      </c>
      <c r="AJ22" s="1">
        <v>95.0</v>
      </c>
      <c r="AK22" s="1">
        <v>66.0</v>
      </c>
      <c r="AL22" s="3">
        <f t="shared" si="13"/>
        <v>71.63759124</v>
      </c>
      <c r="AM22" s="3">
        <f t="shared" si="14"/>
        <v>0.4744</v>
      </c>
      <c r="AN22" s="3">
        <f t="shared" si="15"/>
        <v>43.22833333</v>
      </c>
      <c r="AO22" s="1">
        <v>67.2484678</v>
      </c>
      <c r="AP22" s="1">
        <v>93.75025892</v>
      </c>
    </row>
    <row r="23" ht="12.75" customHeight="1">
      <c r="A23" s="1" t="s">
        <v>62</v>
      </c>
      <c r="B23" s="1">
        <v>3.0</v>
      </c>
      <c r="C23" s="1" t="s">
        <v>54</v>
      </c>
      <c r="D23" s="1" t="s">
        <v>63</v>
      </c>
      <c r="E23" s="1" t="s">
        <v>60</v>
      </c>
      <c r="F23" s="1">
        <v>234.0</v>
      </c>
      <c r="G23" s="1">
        <v>106.1</v>
      </c>
      <c r="H23" s="1">
        <v>17.0</v>
      </c>
      <c r="I23" s="1">
        <v>0.4816</v>
      </c>
      <c r="J23" s="1">
        <v>20.1361</v>
      </c>
      <c r="K23" s="1">
        <v>6.9876</v>
      </c>
      <c r="L23" s="1">
        <v>0.2059</v>
      </c>
      <c r="M23" s="1">
        <v>0.0016</v>
      </c>
      <c r="N23" s="1">
        <v>2.6175</v>
      </c>
      <c r="O23" s="1">
        <v>123.25</v>
      </c>
      <c r="P23" s="1">
        <v>0.817</v>
      </c>
      <c r="Q23" s="1">
        <v>34.1609</v>
      </c>
      <c r="R23" s="1">
        <v>11.8545</v>
      </c>
      <c r="S23" s="1">
        <v>0.3493</v>
      </c>
      <c r="T23" s="1">
        <v>0.0027</v>
      </c>
      <c r="U23" s="1">
        <v>4.4406</v>
      </c>
      <c r="V23" s="1">
        <v>417.35</v>
      </c>
      <c r="W23" s="1">
        <v>0.0</v>
      </c>
      <c r="X23" s="1">
        <v>5.51</v>
      </c>
      <c r="Y23" s="1">
        <v>1172.7</v>
      </c>
      <c r="Z23" s="1">
        <v>38.5</v>
      </c>
      <c r="AA23" s="1">
        <v>4.95</v>
      </c>
      <c r="AB23" s="1">
        <v>59.33</v>
      </c>
      <c r="AC23" s="1">
        <v>0.1608</v>
      </c>
      <c r="AD23" s="1">
        <v>58.13</v>
      </c>
      <c r="AE23" s="1">
        <v>5.51</v>
      </c>
      <c r="AF23" s="1">
        <v>61.7</v>
      </c>
      <c r="AG23" s="1">
        <v>0.5476</v>
      </c>
      <c r="AH23" s="1">
        <v>3.25</v>
      </c>
      <c r="AI23" s="1">
        <v>7.25</v>
      </c>
      <c r="AJ23" s="1">
        <v>72.5</v>
      </c>
      <c r="AK23" s="1">
        <v>56.7</v>
      </c>
      <c r="AL23" s="3">
        <f>(O23-O19)/137*100</f>
        <v>79.2379562</v>
      </c>
      <c r="AM23" s="3">
        <f>(P23-P19)/200*100</f>
        <v>0.299</v>
      </c>
      <c r="AN23" s="3">
        <f>(Q23-Q19)/72*100</f>
        <v>41.07013889</v>
      </c>
      <c r="AO23" s="1">
        <v>52.23110653</v>
      </c>
      <c r="AP23" s="1">
        <v>150.8567931</v>
      </c>
    </row>
    <row r="24" ht="12.75" customHeight="1">
      <c r="A24" s="1" t="s">
        <v>64</v>
      </c>
      <c r="B24" s="1">
        <v>3.0</v>
      </c>
      <c r="C24" s="1" t="s">
        <v>54</v>
      </c>
      <c r="D24" s="1" t="s">
        <v>65</v>
      </c>
      <c r="E24" s="1" t="s">
        <v>60</v>
      </c>
      <c r="F24" s="1">
        <v>232.0</v>
      </c>
      <c r="G24" s="1">
        <v>96.6</v>
      </c>
      <c r="H24" s="1">
        <v>15.5</v>
      </c>
      <c r="I24" s="1">
        <v>0.4747</v>
      </c>
      <c r="J24" s="1">
        <v>19.4925</v>
      </c>
      <c r="K24" s="1">
        <v>8.5988</v>
      </c>
      <c r="L24" s="1">
        <v>0.1006</v>
      </c>
      <c r="M24" s="1">
        <v>9.0E-4</v>
      </c>
      <c r="N24" s="1">
        <v>2.3257</v>
      </c>
      <c r="O24" s="1">
        <v>141.515</v>
      </c>
      <c r="P24" s="1">
        <v>1.0055</v>
      </c>
      <c r="Q24" s="1">
        <v>41.2882</v>
      </c>
      <c r="R24" s="1">
        <v>18.2136</v>
      </c>
      <c r="S24" s="1">
        <v>0.2131</v>
      </c>
      <c r="T24" s="1">
        <v>0.0019</v>
      </c>
      <c r="U24" s="1">
        <v>4.9262</v>
      </c>
      <c r="V24" s="1">
        <v>344.871</v>
      </c>
      <c r="W24" s="1">
        <v>0.0</v>
      </c>
      <c r="X24" s="1">
        <v>5.52</v>
      </c>
      <c r="Y24" s="1">
        <v>760.81</v>
      </c>
      <c r="Z24" s="1">
        <v>41.13</v>
      </c>
      <c r="AA24" s="1">
        <v>4.57</v>
      </c>
      <c r="AB24" s="1">
        <v>57.3</v>
      </c>
      <c r="AC24" s="1">
        <v>0.1547</v>
      </c>
      <c r="AD24" s="1">
        <v>56.75</v>
      </c>
      <c r="AE24" s="1">
        <v>5.38</v>
      </c>
      <c r="AF24" s="1">
        <v>63.9</v>
      </c>
      <c r="AG24" s="1">
        <v>0.5466</v>
      </c>
      <c r="AH24" s="1">
        <v>3.0</v>
      </c>
      <c r="AI24" s="1">
        <v>9.13</v>
      </c>
      <c r="AJ24" s="1">
        <v>91.3</v>
      </c>
      <c r="AK24" s="1">
        <v>75.5</v>
      </c>
      <c r="AL24" s="3">
        <f t="shared" ref="AL24:AL25" si="16">(O24-O19)/137*100</f>
        <v>92.57007299</v>
      </c>
      <c r="AM24" s="3">
        <f t="shared" ref="AM24:AM25" si="17">(P24-P19)/200*100</f>
        <v>0.39325</v>
      </c>
      <c r="AN24" s="3">
        <f t="shared" ref="AN24:AN25" si="18">(Q24-Q19)/72*100</f>
        <v>50.96916667</v>
      </c>
      <c r="AO24" s="1">
        <v>59.53272723</v>
      </c>
      <c r="AP24" s="1">
        <v>140.7409249</v>
      </c>
    </row>
    <row r="25" ht="12.75" customHeight="1">
      <c r="A25" s="1" t="s">
        <v>66</v>
      </c>
      <c r="B25" s="1">
        <v>3.0</v>
      </c>
      <c r="C25" s="1" t="s">
        <v>58</v>
      </c>
      <c r="D25" s="1" t="s">
        <v>63</v>
      </c>
      <c r="E25" s="1" t="s">
        <v>60</v>
      </c>
      <c r="F25" s="1">
        <v>253.0</v>
      </c>
      <c r="G25" s="1">
        <v>73.6</v>
      </c>
      <c r="H25" s="1">
        <v>11.8</v>
      </c>
      <c r="I25" s="1">
        <v>0.7385</v>
      </c>
      <c r="J25" s="1">
        <v>13.7302</v>
      </c>
      <c r="K25" s="1">
        <v>8.0013</v>
      </c>
      <c r="L25" s="1">
        <v>0.1004</v>
      </c>
      <c r="M25" s="1">
        <v>2.0E-4</v>
      </c>
      <c r="N25" s="1">
        <v>1.9888</v>
      </c>
      <c r="O25" s="1">
        <v>170.51</v>
      </c>
      <c r="P25" s="1">
        <v>2.6998</v>
      </c>
      <c r="Q25" s="1">
        <v>50.1956</v>
      </c>
      <c r="R25" s="1">
        <v>29.2516</v>
      </c>
      <c r="S25" s="1">
        <v>0.367</v>
      </c>
      <c r="T25" s="1">
        <v>7.0E-4</v>
      </c>
      <c r="U25" s="1">
        <v>7.2708</v>
      </c>
      <c r="V25" s="1">
        <v>59.85</v>
      </c>
      <c r="W25" s="1">
        <v>1.613</v>
      </c>
      <c r="X25" s="1">
        <v>7.62</v>
      </c>
      <c r="Y25" s="1">
        <v>1265.3</v>
      </c>
      <c r="Z25" s="1">
        <v>45.63</v>
      </c>
      <c r="AA25" s="1">
        <v>4.61</v>
      </c>
      <c r="AB25" s="1">
        <v>54.0</v>
      </c>
      <c r="AC25" s="1">
        <v>0.1353</v>
      </c>
      <c r="AD25" s="1">
        <v>66.38</v>
      </c>
      <c r="AE25" s="1">
        <v>5.74</v>
      </c>
      <c r="AF25" s="1">
        <v>51.45</v>
      </c>
      <c r="AG25" s="1">
        <v>0.5451</v>
      </c>
      <c r="AH25" s="1">
        <v>3.5</v>
      </c>
      <c r="AI25" s="1">
        <v>14.45</v>
      </c>
      <c r="AJ25" s="1">
        <v>144.5</v>
      </c>
      <c r="AK25" s="1">
        <v>115.55</v>
      </c>
      <c r="AL25" s="3">
        <f t="shared" si="16"/>
        <v>96.98905109</v>
      </c>
      <c r="AM25" s="3">
        <f t="shared" si="17"/>
        <v>1.10015</v>
      </c>
      <c r="AN25" s="3">
        <f t="shared" si="18"/>
        <v>58.82236111</v>
      </c>
      <c r="AO25" s="1">
        <v>86.92380056</v>
      </c>
      <c r="AP25" s="1">
        <v>63.15653011</v>
      </c>
    </row>
    <row r="26" ht="12.75" customHeight="1">
      <c r="A26" s="1" t="s">
        <v>67</v>
      </c>
      <c r="B26" s="1">
        <v>3.0</v>
      </c>
      <c r="C26" s="1" t="s">
        <v>58</v>
      </c>
      <c r="D26" s="1" t="s">
        <v>65</v>
      </c>
      <c r="E26" s="1" t="s">
        <v>60</v>
      </c>
      <c r="F26" s="1">
        <v>247.0</v>
      </c>
      <c r="G26" s="1">
        <v>58.3</v>
      </c>
      <c r="H26" s="1">
        <v>9.3</v>
      </c>
      <c r="I26" s="1">
        <v>0.5558</v>
      </c>
      <c r="J26" s="1">
        <v>16.6143</v>
      </c>
      <c r="K26" s="1">
        <v>8.331</v>
      </c>
      <c r="L26" s="1">
        <v>0.0886</v>
      </c>
      <c r="M26" s="1">
        <v>0.0</v>
      </c>
      <c r="N26" s="1">
        <v>2.1467</v>
      </c>
      <c r="O26" s="1">
        <v>89.187</v>
      </c>
      <c r="P26" s="1">
        <v>1.3165</v>
      </c>
      <c r="Q26" s="1">
        <v>39.3548</v>
      </c>
      <c r="R26" s="1">
        <v>19.7339</v>
      </c>
      <c r="S26" s="1">
        <v>0.2099</v>
      </c>
      <c r="T26" s="1">
        <v>0.0</v>
      </c>
      <c r="U26" s="1">
        <v>5.085</v>
      </c>
      <c r="V26" s="1">
        <v>70.35</v>
      </c>
      <c r="W26" s="1">
        <v>1.719</v>
      </c>
      <c r="X26" s="1">
        <v>8.06</v>
      </c>
      <c r="Y26" s="1">
        <v>901.52</v>
      </c>
      <c r="Z26" s="1">
        <v>40.75</v>
      </c>
      <c r="AA26" s="1">
        <v>4.79</v>
      </c>
      <c r="AB26" s="1">
        <v>54.78</v>
      </c>
      <c r="AC26" s="1">
        <v>0.1526</v>
      </c>
      <c r="AD26" s="1">
        <v>59.75</v>
      </c>
      <c r="AE26" s="1">
        <v>5.67</v>
      </c>
      <c r="AF26" s="1">
        <v>49.375</v>
      </c>
      <c r="AG26" s="1">
        <v>0.5387</v>
      </c>
      <c r="AH26" s="1">
        <v>3.5</v>
      </c>
      <c r="AI26" s="1">
        <v>9.59</v>
      </c>
      <c r="AJ26" s="1">
        <v>95.9</v>
      </c>
      <c r="AK26" s="1">
        <v>66.95</v>
      </c>
      <c r="AL26" s="3">
        <f>(O26-O20)/137*100</f>
        <v>37.62919708</v>
      </c>
      <c r="AM26" s="3">
        <f>(P26-P20)/200*100</f>
        <v>0.4085</v>
      </c>
      <c r="AN26" s="3">
        <f>(Q26-Q20)/72*100</f>
        <v>43.76569444</v>
      </c>
      <c r="AO26" s="1">
        <v>75.01093209</v>
      </c>
      <c r="AP26" s="1">
        <v>67.74553741</v>
      </c>
    </row>
    <row r="27" ht="12.75" customHeight="1">
      <c r="A27" s="1" t="s">
        <v>53</v>
      </c>
      <c r="B27" s="1">
        <v>4.0</v>
      </c>
      <c r="C27" s="1" t="s">
        <v>54</v>
      </c>
      <c r="D27" s="1" t="s">
        <v>55</v>
      </c>
      <c r="E27" s="1" t="s">
        <v>55</v>
      </c>
      <c r="F27" s="1">
        <v>221.0</v>
      </c>
      <c r="G27" s="1">
        <v>67.6</v>
      </c>
      <c r="H27" s="1">
        <v>10.8</v>
      </c>
      <c r="I27" s="1">
        <v>0.8199</v>
      </c>
      <c r="J27" s="1">
        <v>17.5883</v>
      </c>
      <c r="K27" s="1">
        <v>21.5178</v>
      </c>
      <c r="L27" s="1">
        <v>0.0714</v>
      </c>
      <c r="M27" s="1">
        <v>8.0E-4</v>
      </c>
      <c r="N27" s="1">
        <v>5.3349</v>
      </c>
      <c r="O27" s="1">
        <v>20.196</v>
      </c>
      <c r="P27" s="1">
        <v>0.3388</v>
      </c>
      <c r="Q27" s="1">
        <v>7.2687</v>
      </c>
      <c r="R27" s="1">
        <v>8.8927</v>
      </c>
      <c r="S27" s="1">
        <v>0.0295</v>
      </c>
      <c r="T27" s="1">
        <v>3.0E-4</v>
      </c>
      <c r="U27" s="1">
        <v>2.2048</v>
      </c>
      <c r="V27" s="1">
        <v>418.213</v>
      </c>
      <c r="W27" s="1">
        <v>0.479</v>
      </c>
      <c r="X27" s="1">
        <v>5.57</v>
      </c>
      <c r="Y27" s="1">
        <v>482.52</v>
      </c>
      <c r="Z27" s="1">
        <v>22.25</v>
      </c>
      <c r="AA27" s="1">
        <v>3.88</v>
      </c>
      <c r="AB27" s="1">
        <v>38.6</v>
      </c>
      <c r="AC27" s="1">
        <v>0.1374</v>
      </c>
      <c r="AD27" s="1">
        <v>30.13</v>
      </c>
      <c r="AE27" s="1">
        <v>3.81</v>
      </c>
      <c r="AF27" s="1">
        <v>27.6</v>
      </c>
      <c r="AG27" s="1">
        <v>0.556</v>
      </c>
      <c r="AH27" s="1">
        <v>0.0</v>
      </c>
      <c r="AI27" s="1">
        <v>1.87</v>
      </c>
      <c r="AJ27" s="1" t="s">
        <v>56</v>
      </c>
      <c r="AK27" s="1" t="s">
        <v>56</v>
      </c>
      <c r="AL27" s="3" t="s">
        <v>56</v>
      </c>
      <c r="AM27" s="3" t="s">
        <v>56</v>
      </c>
      <c r="AN27" s="3" t="s">
        <v>56</v>
      </c>
      <c r="AO27" s="1" t="s">
        <v>56</v>
      </c>
      <c r="AP27" s="1">
        <v>59.61038961</v>
      </c>
    </row>
    <row r="28" ht="12.75" customHeight="1">
      <c r="A28" s="1" t="s">
        <v>57</v>
      </c>
      <c r="B28" s="1">
        <v>4.0</v>
      </c>
      <c r="C28" s="1" t="s">
        <v>58</v>
      </c>
      <c r="D28" s="1" t="s">
        <v>55</v>
      </c>
      <c r="E28" s="1" t="s">
        <v>55</v>
      </c>
      <c r="F28" s="1">
        <v>207.0</v>
      </c>
      <c r="G28" s="1">
        <v>80.3</v>
      </c>
      <c r="H28" s="1">
        <v>12.9</v>
      </c>
      <c r="I28" s="1">
        <v>0.7719</v>
      </c>
      <c r="J28" s="1">
        <v>12.4366</v>
      </c>
      <c r="K28" s="1">
        <v>26.3509</v>
      </c>
      <c r="L28" s="1">
        <v>0.0978</v>
      </c>
      <c r="M28" s="1">
        <v>0.0</v>
      </c>
      <c r="N28" s="1">
        <v>4.0973</v>
      </c>
      <c r="O28" s="1">
        <v>47.9235</v>
      </c>
      <c r="P28" s="1">
        <v>0.5936</v>
      </c>
      <c r="Q28" s="1">
        <v>9.5638</v>
      </c>
      <c r="R28" s="1">
        <v>20.264</v>
      </c>
      <c r="S28" s="1">
        <v>0.0752</v>
      </c>
      <c r="T28" s="1">
        <v>0.0</v>
      </c>
      <c r="U28" s="1">
        <v>3.1508</v>
      </c>
      <c r="V28" s="1">
        <v>52.115</v>
      </c>
      <c r="W28" s="1">
        <v>3.781</v>
      </c>
      <c r="X28" s="1">
        <v>8.09</v>
      </c>
      <c r="Y28" s="1">
        <v>727.58</v>
      </c>
      <c r="Z28" s="1">
        <v>31.25</v>
      </c>
      <c r="AA28" s="1">
        <v>4.91</v>
      </c>
      <c r="AB28" s="1">
        <v>41.7</v>
      </c>
      <c r="AC28" s="1">
        <v>0.1416</v>
      </c>
      <c r="AD28" s="1">
        <v>44.25</v>
      </c>
      <c r="AE28" s="1">
        <v>4.97</v>
      </c>
      <c r="AF28" s="1">
        <v>43.725</v>
      </c>
      <c r="AG28" s="1">
        <v>0.5486</v>
      </c>
      <c r="AH28" s="1">
        <v>1.75</v>
      </c>
      <c r="AI28" s="1">
        <v>3.72</v>
      </c>
      <c r="AJ28" s="1" t="s">
        <v>56</v>
      </c>
      <c r="AK28" s="1" t="s">
        <v>56</v>
      </c>
      <c r="AL28" s="3" t="s">
        <v>56</v>
      </c>
      <c r="AM28" s="3" t="s">
        <v>56</v>
      </c>
      <c r="AN28" s="3" t="s">
        <v>56</v>
      </c>
      <c r="AO28" s="1" t="s">
        <v>56</v>
      </c>
      <c r="AP28" s="1">
        <v>80.73365903</v>
      </c>
    </row>
    <row r="29" ht="12.75" customHeight="1">
      <c r="A29" s="1" t="s">
        <v>59</v>
      </c>
      <c r="B29" s="1">
        <v>4.0</v>
      </c>
      <c r="C29" s="1" t="s">
        <v>54</v>
      </c>
      <c r="D29" s="1" t="s">
        <v>55</v>
      </c>
      <c r="E29" s="1" t="s">
        <v>60</v>
      </c>
      <c r="F29" s="1">
        <v>221.0</v>
      </c>
      <c r="G29" s="1">
        <v>97.3</v>
      </c>
      <c r="H29" s="1">
        <v>15.6</v>
      </c>
      <c r="I29" s="1">
        <v>0.4974</v>
      </c>
      <c r="J29" s="1">
        <v>15.3549</v>
      </c>
      <c r="K29" s="1">
        <v>5.2426</v>
      </c>
      <c r="L29" s="1">
        <v>0.0928</v>
      </c>
      <c r="M29" s="1">
        <v>0.0</v>
      </c>
      <c r="N29" s="1">
        <v>1.9987</v>
      </c>
      <c r="O29" s="1">
        <v>112.866</v>
      </c>
      <c r="P29" s="1">
        <v>0.7953</v>
      </c>
      <c r="Q29" s="1">
        <v>24.5515</v>
      </c>
      <c r="R29" s="1">
        <v>8.3826</v>
      </c>
      <c r="S29" s="1">
        <v>0.1484</v>
      </c>
      <c r="T29" s="1">
        <v>0.0</v>
      </c>
      <c r="U29" s="1">
        <v>3.1958</v>
      </c>
      <c r="V29" s="1">
        <v>443.15</v>
      </c>
      <c r="W29" s="1">
        <v>0.771</v>
      </c>
      <c r="X29" s="1">
        <v>5.28</v>
      </c>
      <c r="Y29" s="1">
        <v>679.45</v>
      </c>
      <c r="Z29" s="1">
        <v>41.13</v>
      </c>
      <c r="AA29" s="1">
        <v>4.53</v>
      </c>
      <c r="AB29" s="1">
        <v>64.15</v>
      </c>
      <c r="AC29" s="1">
        <v>0.1438</v>
      </c>
      <c r="AD29" s="1">
        <v>57.63</v>
      </c>
      <c r="AE29" s="1">
        <v>5.4</v>
      </c>
      <c r="AF29" s="1">
        <v>58.0</v>
      </c>
      <c r="AG29" s="1">
        <v>0.5314</v>
      </c>
      <c r="AH29" s="1">
        <v>3.75</v>
      </c>
      <c r="AI29" s="1">
        <v>7.24</v>
      </c>
      <c r="AJ29" s="1">
        <v>72.4</v>
      </c>
      <c r="AK29" s="1">
        <v>53.65</v>
      </c>
      <c r="AL29" s="3">
        <f t="shared" ref="AL29:AL30" si="19">(O29-O27)/137*100</f>
        <v>67.64233577</v>
      </c>
      <c r="AM29" s="3">
        <f t="shared" ref="AM29:AM30" si="20">(P29-P27)/200*100</f>
        <v>0.22825</v>
      </c>
      <c r="AN29" s="3">
        <f t="shared" ref="AN29:AN30" si="21">(Q29-Q27)/72*100</f>
        <v>24.00388889</v>
      </c>
      <c r="AO29" s="1">
        <v>57.94755584</v>
      </c>
      <c r="AP29" s="1">
        <v>141.916258</v>
      </c>
    </row>
    <row r="30" ht="12.75" customHeight="1">
      <c r="A30" s="1" t="s">
        <v>61</v>
      </c>
      <c r="B30" s="1">
        <v>4.0</v>
      </c>
      <c r="C30" s="1" t="s">
        <v>58</v>
      </c>
      <c r="D30" s="1" t="s">
        <v>55</v>
      </c>
      <c r="E30" s="1" t="s">
        <v>60</v>
      </c>
      <c r="F30" s="1">
        <v>247.0</v>
      </c>
      <c r="G30" s="1">
        <v>83.5</v>
      </c>
      <c r="H30" s="1">
        <v>13.4</v>
      </c>
      <c r="I30" s="1">
        <v>0.5181</v>
      </c>
      <c r="J30" s="1">
        <v>16.336</v>
      </c>
      <c r="K30" s="1">
        <v>10.9099</v>
      </c>
      <c r="L30" s="1">
        <v>0.139</v>
      </c>
      <c r="M30" s="1">
        <v>0.0</v>
      </c>
      <c r="N30" s="1">
        <v>2.5954</v>
      </c>
      <c r="O30" s="1">
        <v>125.424</v>
      </c>
      <c r="P30" s="1">
        <v>1.1978</v>
      </c>
      <c r="Q30" s="1">
        <v>37.7675</v>
      </c>
      <c r="R30" s="1">
        <v>25.2228</v>
      </c>
      <c r="S30" s="1">
        <v>0.3214</v>
      </c>
      <c r="T30" s="1">
        <v>0.0</v>
      </c>
      <c r="U30" s="1">
        <v>6.0004</v>
      </c>
      <c r="V30" s="1">
        <v>84.65</v>
      </c>
      <c r="W30" s="1">
        <v>3.927</v>
      </c>
      <c r="X30" s="1">
        <v>7.61</v>
      </c>
      <c r="Y30" s="1">
        <v>1478.1</v>
      </c>
      <c r="Z30" s="1">
        <v>38.0</v>
      </c>
      <c r="AA30" s="1">
        <v>4.63</v>
      </c>
      <c r="AB30" s="1">
        <v>56.28</v>
      </c>
      <c r="AC30" s="1">
        <v>0.1408</v>
      </c>
      <c r="AD30" s="1">
        <v>57.75</v>
      </c>
      <c r="AE30" s="1">
        <v>5.54</v>
      </c>
      <c r="AF30" s="1">
        <v>51.675</v>
      </c>
      <c r="AG30" s="1">
        <v>0.5465</v>
      </c>
      <c r="AH30" s="1">
        <v>3.5</v>
      </c>
      <c r="AI30" s="1">
        <v>9.36</v>
      </c>
      <c r="AJ30" s="1">
        <v>93.6</v>
      </c>
      <c r="AK30" s="1">
        <v>56.45</v>
      </c>
      <c r="AL30" s="3">
        <f t="shared" si="19"/>
        <v>56.56970803</v>
      </c>
      <c r="AM30" s="3">
        <f t="shared" si="20"/>
        <v>0.3021</v>
      </c>
      <c r="AN30" s="3">
        <f t="shared" si="21"/>
        <v>39.17180556</v>
      </c>
      <c r="AO30" s="1">
        <v>72.77372404</v>
      </c>
      <c r="AP30" s="1">
        <v>104.7119719</v>
      </c>
    </row>
    <row r="31" ht="12.75" customHeight="1">
      <c r="A31" s="1" t="s">
        <v>62</v>
      </c>
      <c r="B31" s="1">
        <v>4.0</v>
      </c>
      <c r="C31" s="1" t="s">
        <v>54</v>
      </c>
      <c r="D31" s="1" t="s">
        <v>63</v>
      </c>
      <c r="E31" s="1" t="s">
        <v>60</v>
      </c>
      <c r="F31" s="1">
        <v>237.0</v>
      </c>
      <c r="G31" s="1">
        <v>98.4</v>
      </c>
      <c r="H31" s="1">
        <v>15.7</v>
      </c>
      <c r="I31" s="1">
        <v>0.4881</v>
      </c>
      <c r="J31" s="1">
        <v>21.4526</v>
      </c>
      <c r="K31" s="1">
        <v>9.0964</v>
      </c>
      <c r="L31" s="1">
        <v>0.0798</v>
      </c>
      <c r="M31" s="1">
        <v>0.0012</v>
      </c>
      <c r="N31" s="1">
        <v>2.497</v>
      </c>
      <c r="O31" s="1">
        <v>129.996</v>
      </c>
      <c r="P31" s="1">
        <v>0.9578</v>
      </c>
      <c r="Q31" s="1">
        <v>42.0977</v>
      </c>
      <c r="R31" s="1">
        <v>17.8504</v>
      </c>
      <c r="S31" s="1">
        <v>0.1566</v>
      </c>
      <c r="T31" s="1">
        <v>0.0024</v>
      </c>
      <c r="U31" s="1">
        <v>4.9</v>
      </c>
      <c r="V31" s="1">
        <v>284.65</v>
      </c>
      <c r="W31" s="1">
        <v>0.698</v>
      </c>
      <c r="X31" s="1">
        <v>5.32</v>
      </c>
      <c r="Y31" s="1">
        <v>616.59</v>
      </c>
      <c r="Z31" s="1">
        <v>38.88</v>
      </c>
      <c r="AA31" s="1">
        <v>4.75</v>
      </c>
      <c r="AB31" s="1">
        <v>59.5</v>
      </c>
      <c r="AC31" s="1">
        <v>0.1431</v>
      </c>
      <c r="AD31" s="1">
        <v>58.38</v>
      </c>
      <c r="AE31" s="1">
        <v>5.47</v>
      </c>
      <c r="AF31" s="1">
        <v>52.25</v>
      </c>
      <c r="AG31" s="1">
        <v>0.5252</v>
      </c>
      <c r="AH31" s="1">
        <v>3.75</v>
      </c>
      <c r="AI31" s="1">
        <v>8.28</v>
      </c>
      <c r="AJ31" s="1">
        <v>82.8</v>
      </c>
      <c r="AK31" s="1">
        <v>64.1</v>
      </c>
      <c r="AL31" s="3">
        <f>(O31-O27)/137*100</f>
        <v>80.1459854</v>
      </c>
      <c r="AM31" s="3">
        <f>(P31-P27)/200*100</f>
        <v>0.3095</v>
      </c>
      <c r="AN31" s="3">
        <f>(Q31-Q27)/72*100</f>
        <v>48.37361111</v>
      </c>
      <c r="AO31" s="1">
        <v>58.37887067</v>
      </c>
      <c r="AP31" s="1">
        <v>135.7235331</v>
      </c>
    </row>
    <row r="32" ht="12.75" customHeight="1">
      <c r="A32" s="1" t="s">
        <v>64</v>
      </c>
      <c r="B32" s="1">
        <v>4.0</v>
      </c>
      <c r="C32" s="1" t="s">
        <v>54</v>
      </c>
      <c r="D32" s="1" t="s">
        <v>65</v>
      </c>
      <c r="E32" s="1" t="s">
        <v>60</v>
      </c>
      <c r="F32" s="1">
        <v>246.0</v>
      </c>
      <c r="G32" s="1">
        <v>85.4</v>
      </c>
      <c r="H32" s="1">
        <v>13.7</v>
      </c>
      <c r="I32" s="1">
        <v>0.5092</v>
      </c>
      <c r="J32" s="1">
        <v>21.6607</v>
      </c>
      <c r="K32" s="1">
        <v>6.497</v>
      </c>
      <c r="L32" s="1">
        <v>0.0847</v>
      </c>
      <c r="M32" s="1">
        <v>2.0E-4</v>
      </c>
      <c r="N32" s="1">
        <v>2.3475</v>
      </c>
      <c r="O32" s="1">
        <v>105.9695</v>
      </c>
      <c r="P32" s="1">
        <v>0.9689</v>
      </c>
      <c r="Q32" s="1">
        <v>41.2162</v>
      </c>
      <c r="R32" s="1">
        <v>12.3626</v>
      </c>
      <c r="S32" s="1">
        <v>0.1612</v>
      </c>
      <c r="T32" s="1">
        <v>4.0E-4</v>
      </c>
      <c r="U32" s="1">
        <v>4.4668</v>
      </c>
      <c r="V32" s="1">
        <v>329.479</v>
      </c>
      <c r="W32" s="1">
        <v>0.615</v>
      </c>
      <c r="X32" s="1">
        <v>5.89</v>
      </c>
      <c r="Y32" s="1">
        <v>791.45</v>
      </c>
      <c r="Z32" s="1">
        <v>40.13</v>
      </c>
      <c r="AA32" s="1">
        <v>4.32</v>
      </c>
      <c r="AB32" s="1">
        <v>57.45</v>
      </c>
      <c r="AC32" s="1">
        <v>0.1508</v>
      </c>
      <c r="AD32" s="1">
        <v>64.0</v>
      </c>
      <c r="AE32" s="1">
        <v>5.26</v>
      </c>
      <c r="AF32" s="1">
        <v>55.725</v>
      </c>
      <c r="AG32" s="1">
        <v>0.512</v>
      </c>
      <c r="AH32" s="1">
        <v>3.0</v>
      </c>
      <c r="AI32" s="1">
        <v>7.74</v>
      </c>
      <c r="AJ32" s="1">
        <v>77.4</v>
      </c>
      <c r="AK32" s="1">
        <v>58.65</v>
      </c>
      <c r="AL32" s="3">
        <f t="shared" ref="AL32:AL33" si="22">(O32-O27)/137*100</f>
        <v>62.60839416</v>
      </c>
      <c r="AM32" s="3">
        <f t="shared" ref="AM32:AM33" si="23">(P32-P27)/200*100</f>
        <v>0.31505</v>
      </c>
      <c r="AN32" s="3">
        <f t="shared" ref="AN32:AN33" si="24">(Q32-Q27)/72*100</f>
        <v>47.14930556</v>
      </c>
      <c r="AO32" s="1">
        <v>68.43605543</v>
      </c>
      <c r="AP32" s="1">
        <v>109.3709361</v>
      </c>
    </row>
    <row r="33" ht="12.75" customHeight="1">
      <c r="A33" s="1" t="s">
        <v>66</v>
      </c>
      <c r="B33" s="1">
        <v>4.0</v>
      </c>
      <c r="C33" s="1" t="s">
        <v>58</v>
      </c>
      <c r="D33" s="1" t="s">
        <v>63</v>
      </c>
      <c r="E33" s="1" t="s">
        <v>60</v>
      </c>
      <c r="F33" s="1">
        <v>253.0</v>
      </c>
      <c r="G33" s="1">
        <v>80.8</v>
      </c>
      <c r="H33" s="1">
        <v>12.9</v>
      </c>
      <c r="I33" s="1">
        <v>0.7214</v>
      </c>
      <c r="J33" s="1">
        <v>16.5743</v>
      </c>
      <c r="K33" s="1">
        <v>8.7509</v>
      </c>
      <c r="L33" s="1">
        <v>0.0625</v>
      </c>
      <c r="M33" s="1">
        <v>0.0</v>
      </c>
      <c r="N33" s="1">
        <v>2.0578</v>
      </c>
      <c r="O33" s="1">
        <v>184.9215</v>
      </c>
      <c r="P33" s="1">
        <v>2.6163</v>
      </c>
      <c r="Q33" s="1">
        <v>60.1109</v>
      </c>
      <c r="R33" s="1">
        <v>31.7374</v>
      </c>
      <c r="S33" s="1">
        <v>0.2267</v>
      </c>
      <c r="T33" s="1">
        <v>0.0</v>
      </c>
      <c r="U33" s="1">
        <v>7.4631</v>
      </c>
      <c r="V33" s="1">
        <v>67.15</v>
      </c>
      <c r="W33" s="1">
        <v>3.396</v>
      </c>
      <c r="X33" s="1">
        <v>7.65</v>
      </c>
      <c r="Y33" s="1">
        <v>1156.7</v>
      </c>
      <c r="Z33" s="1">
        <v>43.13</v>
      </c>
      <c r="AA33" s="1">
        <v>5.25</v>
      </c>
      <c r="AB33" s="1">
        <v>55.58</v>
      </c>
      <c r="AC33" s="1">
        <v>0.1471</v>
      </c>
      <c r="AD33" s="1">
        <v>66.25</v>
      </c>
      <c r="AE33" s="1">
        <v>5.97</v>
      </c>
      <c r="AF33" s="1">
        <v>53.025</v>
      </c>
      <c r="AG33" s="1">
        <v>0.5326</v>
      </c>
      <c r="AH33" s="1">
        <v>3.25</v>
      </c>
      <c r="AI33" s="1">
        <v>14.34</v>
      </c>
      <c r="AJ33" s="1">
        <v>143.4</v>
      </c>
      <c r="AK33" s="1">
        <v>106.2</v>
      </c>
      <c r="AL33" s="3">
        <f t="shared" si="22"/>
        <v>99.99854015</v>
      </c>
      <c r="AM33" s="3">
        <f t="shared" si="23"/>
        <v>1.01135</v>
      </c>
      <c r="AN33" s="3">
        <f t="shared" si="24"/>
        <v>70.20430556</v>
      </c>
      <c r="AO33" s="1">
        <v>77.51937984</v>
      </c>
      <c r="AP33" s="1">
        <v>70.68054122</v>
      </c>
    </row>
    <row r="34" ht="12.75" customHeight="1">
      <c r="A34" s="1" t="s">
        <v>67</v>
      </c>
      <c r="B34" s="1">
        <v>4.0</v>
      </c>
      <c r="C34" s="1" t="s">
        <v>58</v>
      </c>
      <c r="D34" s="1" t="s">
        <v>65</v>
      </c>
      <c r="E34" s="1" t="s">
        <v>60</v>
      </c>
      <c r="F34" s="1">
        <v>263.0</v>
      </c>
      <c r="G34" s="1">
        <v>84.1</v>
      </c>
      <c r="H34" s="1">
        <v>13.5</v>
      </c>
      <c r="I34" s="1">
        <v>0.5822</v>
      </c>
      <c r="J34" s="1">
        <v>17.3831</v>
      </c>
      <c r="K34" s="1">
        <v>9.0075</v>
      </c>
      <c r="L34" s="1">
        <v>0.0639</v>
      </c>
      <c r="M34" s="1">
        <v>0.0</v>
      </c>
      <c r="N34" s="1">
        <v>2.1649</v>
      </c>
      <c r="O34" s="1">
        <v>134.595</v>
      </c>
      <c r="P34" s="1">
        <v>1.5266</v>
      </c>
      <c r="Q34" s="1">
        <v>45.5804</v>
      </c>
      <c r="R34" s="1">
        <v>23.6187</v>
      </c>
      <c r="S34" s="1">
        <v>0.1676</v>
      </c>
      <c r="T34" s="1">
        <v>0.0</v>
      </c>
      <c r="U34" s="1">
        <v>5.6766</v>
      </c>
      <c r="V34" s="1">
        <v>71.65</v>
      </c>
      <c r="W34" s="1">
        <v>4.271</v>
      </c>
      <c r="X34" s="1">
        <v>7.94</v>
      </c>
      <c r="Y34" s="1">
        <v>1284.2</v>
      </c>
      <c r="Z34" s="1">
        <v>38.0</v>
      </c>
      <c r="AA34" s="1">
        <v>4.47</v>
      </c>
      <c r="AB34" s="1">
        <v>51.75</v>
      </c>
      <c r="AC34" s="1">
        <v>0.1523</v>
      </c>
      <c r="AD34" s="1">
        <v>62.0</v>
      </c>
      <c r="AE34" s="1">
        <v>5.45</v>
      </c>
      <c r="AF34" s="1">
        <v>50.375</v>
      </c>
      <c r="AG34" s="1">
        <v>0.5276</v>
      </c>
      <c r="AH34" s="1">
        <v>3.5</v>
      </c>
      <c r="AI34" s="1">
        <v>9.97</v>
      </c>
      <c r="AJ34" s="1">
        <v>99.7</v>
      </c>
      <c r="AK34" s="1">
        <v>62.55</v>
      </c>
      <c r="AL34" s="3">
        <f>(O34-O28)/137*100</f>
        <v>63.26386861</v>
      </c>
      <c r="AM34" s="3">
        <f>(P34-P28)/200*100</f>
        <v>0.4665</v>
      </c>
      <c r="AN34" s="3">
        <f>(Q34-Q28)/72*100</f>
        <v>50.02305556</v>
      </c>
      <c r="AO34" s="1">
        <v>46.43560311</v>
      </c>
      <c r="AP34" s="1">
        <v>88.16651382</v>
      </c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ht="12.75" customHeight="1">
      <c r="A47" s="1"/>
      <c r="B47" s="1"/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1" t="s">
        <v>37</v>
      </c>
      <c r="I47" s="1" t="s">
        <v>38</v>
      </c>
      <c r="J47" s="1" t="s">
        <v>39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ht="12.75" customHeight="1">
      <c r="A48" s="1"/>
      <c r="B48" s="1"/>
      <c r="C48" s="1"/>
      <c r="D48" s="1"/>
      <c r="E48" s="1"/>
      <c r="F48" s="1"/>
      <c r="G48" s="1"/>
      <c r="H48" s="1" t="s">
        <v>51</v>
      </c>
      <c r="I48" s="1" t="s">
        <v>51</v>
      </c>
      <c r="J48" s="1" t="s">
        <v>51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ht="12.75" customHeight="1">
      <c r="A49" s="1"/>
      <c r="B49" s="1"/>
      <c r="C49" s="1" t="s">
        <v>53</v>
      </c>
      <c r="D49" s="1">
        <v>1.0</v>
      </c>
      <c r="E49" s="1" t="s">
        <v>54</v>
      </c>
      <c r="F49" s="1" t="s">
        <v>55</v>
      </c>
      <c r="G49" s="1" t="s">
        <v>55</v>
      </c>
      <c r="H49" s="1" t="s">
        <v>56</v>
      </c>
      <c r="I49" s="1" t="s">
        <v>56</v>
      </c>
      <c r="J49" s="1" t="s">
        <v>56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ht="12.75" customHeight="1">
      <c r="A50" s="1"/>
      <c r="B50" s="1"/>
      <c r="C50" s="1" t="s">
        <v>57</v>
      </c>
      <c r="D50" s="1">
        <v>1.0</v>
      </c>
      <c r="E50" s="1" t="s">
        <v>58</v>
      </c>
      <c r="F50" s="1" t="s">
        <v>55</v>
      </c>
      <c r="G50" s="1" t="s">
        <v>55</v>
      </c>
      <c r="H50" s="1" t="s">
        <v>56</v>
      </c>
      <c r="I50" s="1" t="s">
        <v>56</v>
      </c>
      <c r="J50" s="1" t="s">
        <v>56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2.75" customHeight="1">
      <c r="A51" s="1"/>
      <c r="B51" s="1"/>
      <c r="C51" s="1" t="s">
        <v>59</v>
      </c>
      <c r="D51" s="1">
        <v>1.0</v>
      </c>
      <c r="E51" s="1" t="s">
        <v>54</v>
      </c>
      <c r="F51" s="1" t="s">
        <v>55</v>
      </c>
      <c r="G51" s="1" t="s">
        <v>60</v>
      </c>
      <c r="H51" s="1">
        <v>31.968999999999998</v>
      </c>
      <c r="I51" s="1">
        <v>0.7081500000000001</v>
      </c>
      <c r="J51" s="1">
        <v>27.894055555555553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ht="12.75" customHeight="1">
      <c r="A52" s="1"/>
      <c r="B52" s="1"/>
      <c r="C52" s="1" t="s">
        <v>61</v>
      </c>
      <c r="D52" s="1">
        <v>1.0</v>
      </c>
      <c r="E52" s="1" t="s">
        <v>58</v>
      </c>
      <c r="F52" s="1" t="s">
        <v>55</v>
      </c>
      <c r="G52" s="1" t="s">
        <v>60</v>
      </c>
      <c r="H52" s="1">
        <v>35.1816</v>
      </c>
      <c r="I52" s="1">
        <v>0.40005000000000007</v>
      </c>
      <c r="J52" s="1">
        <v>16.107777777777777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ht="12.75" customHeight="1">
      <c r="A53" s="1"/>
      <c r="B53" s="1"/>
      <c r="C53" s="1" t="s">
        <v>62</v>
      </c>
      <c r="D53" s="1">
        <v>1.0</v>
      </c>
      <c r="E53" s="1" t="s">
        <v>54</v>
      </c>
      <c r="F53" s="1" t="s">
        <v>63</v>
      </c>
      <c r="G53" s="1" t="s">
        <v>60</v>
      </c>
      <c r="H53" s="1">
        <v>42.93379999999999</v>
      </c>
      <c r="I53" s="1">
        <v>0.4500500000000001</v>
      </c>
      <c r="J53" s="1">
        <v>21.771333333333335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ht="12.75" customHeight="1">
      <c r="A54" s="1"/>
      <c r="B54" s="1"/>
      <c r="C54" s="1" t="s">
        <v>64</v>
      </c>
      <c r="D54" s="1">
        <v>1.0</v>
      </c>
      <c r="E54" s="1" t="s">
        <v>54</v>
      </c>
      <c r="F54" s="1" t="s">
        <v>65</v>
      </c>
      <c r="G54" s="1" t="s">
        <v>60</v>
      </c>
      <c r="H54" s="1">
        <v>37.408199999999994</v>
      </c>
      <c r="I54" s="1">
        <v>0.20980000000000001</v>
      </c>
      <c r="J54" s="1">
        <v>11.752444444444444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ht="12.75" customHeight="1">
      <c r="A55" s="1"/>
      <c r="B55" s="1"/>
      <c r="C55" s="1" t="s">
        <v>66</v>
      </c>
      <c r="D55" s="1">
        <v>1.0</v>
      </c>
      <c r="E55" s="1" t="s">
        <v>58</v>
      </c>
      <c r="F55" s="1" t="s">
        <v>63</v>
      </c>
      <c r="G55" s="1" t="s">
        <v>60</v>
      </c>
      <c r="H55" s="1">
        <v>62.1498</v>
      </c>
      <c r="I55" s="1">
        <v>0.9563999999999999</v>
      </c>
      <c r="J55" s="1">
        <v>28.254388888888887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ht="12.75" customHeight="1">
      <c r="A56" s="1"/>
      <c r="B56" s="1"/>
      <c r="C56" s="1" t="s">
        <v>67</v>
      </c>
      <c r="D56" s="1">
        <v>1.0</v>
      </c>
      <c r="E56" s="1" t="s">
        <v>58</v>
      </c>
      <c r="F56" s="1" t="s">
        <v>65</v>
      </c>
      <c r="G56" s="1" t="s">
        <v>60</v>
      </c>
      <c r="H56" s="1">
        <v>41.186600000000006</v>
      </c>
      <c r="I56" s="1">
        <v>0.39465000000000006</v>
      </c>
      <c r="J56" s="1">
        <v>18.851555555555557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2.75" customHeight="1">
      <c r="A57" s="1"/>
      <c r="B57" s="1"/>
      <c r="C57" s="1" t="s">
        <v>53</v>
      </c>
      <c r="D57" s="1">
        <v>2.0</v>
      </c>
      <c r="E57" s="1" t="s">
        <v>54</v>
      </c>
      <c r="F57" s="1" t="s">
        <v>55</v>
      </c>
      <c r="G57" s="1" t="s">
        <v>55</v>
      </c>
      <c r="H57" s="1" t="s">
        <v>56</v>
      </c>
      <c r="I57" s="1" t="s">
        <v>56</v>
      </c>
      <c r="J57" s="1" t="s">
        <v>56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2.75" customHeight="1">
      <c r="A58" s="1"/>
      <c r="B58" s="1"/>
      <c r="C58" s="1" t="s">
        <v>57</v>
      </c>
      <c r="D58" s="1">
        <v>2.0</v>
      </c>
      <c r="E58" s="1" t="s">
        <v>58</v>
      </c>
      <c r="F58" s="1" t="s">
        <v>55</v>
      </c>
      <c r="G58" s="1" t="s">
        <v>55</v>
      </c>
      <c r="H58" s="1" t="s">
        <v>56</v>
      </c>
      <c r="I58" s="1" t="s">
        <v>56</v>
      </c>
      <c r="J58" s="1" t="s">
        <v>56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2.75" customHeight="1">
      <c r="A59" s="1"/>
      <c r="B59" s="1"/>
      <c r="C59" s="1" t="s">
        <v>59</v>
      </c>
      <c r="D59" s="1">
        <v>2.0</v>
      </c>
      <c r="E59" s="1" t="s">
        <v>54</v>
      </c>
      <c r="F59" s="1" t="s">
        <v>55</v>
      </c>
      <c r="G59" s="1" t="s">
        <v>60</v>
      </c>
      <c r="H59" s="1">
        <v>36.1068</v>
      </c>
      <c r="I59" s="1">
        <v>0.38615</v>
      </c>
      <c r="J59" s="1">
        <v>12.630333333333333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2.75" customHeight="1">
      <c r="A60" s="1"/>
      <c r="B60" s="1"/>
      <c r="C60" s="1" t="s">
        <v>61</v>
      </c>
      <c r="D60" s="1">
        <v>2.0</v>
      </c>
      <c r="E60" s="1" t="s">
        <v>58</v>
      </c>
      <c r="F60" s="1" t="s">
        <v>55</v>
      </c>
      <c r="G60" s="1" t="s">
        <v>60</v>
      </c>
      <c r="H60" s="1">
        <v>30.942000000000004</v>
      </c>
      <c r="I60" s="1">
        <v>0.45625000000000004</v>
      </c>
      <c r="J60" s="1">
        <v>16.424444444444443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2.75" customHeight="1">
      <c r="A61" s="1"/>
      <c r="B61" s="1"/>
      <c r="C61" s="1" t="s">
        <v>62</v>
      </c>
      <c r="D61" s="1">
        <v>2.0</v>
      </c>
      <c r="E61" s="1" t="s">
        <v>54</v>
      </c>
      <c r="F61" s="1" t="s">
        <v>63</v>
      </c>
      <c r="G61" s="1" t="s">
        <v>60</v>
      </c>
      <c r="H61" s="1">
        <v>42.846000000000004</v>
      </c>
      <c r="I61" s="1">
        <v>0.5354</v>
      </c>
      <c r="J61" s="1">
        <v>22.098277777777778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2.75" customHeight="1">
      <c r="A62" s="1"/>
      <c r="B62" s="1"/>
      <c r="C62" s="1" t="s">
        <v>64</v>
      </c>
      <c r="D62" s="1">
        <v>2.0</v>
      </c>
      <c r="E62" s="1" t="s">
        <v>54</v>
      </c>
      <c r="F62" s="1" t="s">
        <v>65</v>
      </c>
      <c r="G62" s="1" t="s">
        <v>60</v>
      </c>
      <c r="H62" s="1" t="e">
        <v>#VALUE!</v>
      </c>
      <c r="I62" s="1">
        <v>0.5504</v>
      </c>
      <c r="J62" s="1">
        <v>24.465555555555557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2.75" customHeight="1">
      <c r="A63" s="1"/>
      <c r="B63" s="1"/>
      <c r="C63" s="1" t="s">
        <v>66</v>
      </c>
      <c r="D63" s="1">
        <v>2.0</v>
      </c>
      <c r="E63" s="1" t="s">
        <v>58</v>
      </c>
      <c r="F63" s="1" t="s">
        <v>63</v>
      </c>
      <c r="G63" s="1" t="s">
        <v>60</v>
      </c>
      <c r="H63" s="1">
        <v>42.6598</v>
      </c>
      <c r="I63" s="1">
        <v>0.47019999999999995</v>
      </c>
      <c r="J63" s="1">
        <v>17.596666666666668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2.75" customHeight="1">
      <c r="A64" s="1"/>
      <c r="B64" s="1"/>
      <c r="C64" s="1" t="s">
        <v>67</v>
      </c>
      <c r="D64" s="1">
        <v>2.0</v>
      </c>
      <c r="E64" s="1" t="s">
        <v>58</v>
      </c>
      <c r="F64" s="1" t="s">
        <v>65</v>
      </c>
      <c r="G64" s="1" t="s">
        <v>60</v>
      </c>
      <c r="H64" s="1">
        <v>28.892</v>
      </c>
      <c r="I64" s="1">
        <v>0.6718</v>
      </c>
      <c r="J64" s="1">
        <v>22.919055555555556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2.75" customHeight="1">
      <c r="A65" s="1"/>
      <c r="B65" s="1"/>
      <c r="C65" s="1" t="s">
        <v>53</v>
      </c>
      <c r="D65" s="1">
        <v>3.0</v>
      </c>
      <c r="E65" s="1" t="s">
        <v>54</v>
      </c>
      <c r="F65" s="1" t="s">
        <v>55</v>
      </c>
      <c r="G65" s="1" t="s">
        <v>55</v>
      </c>
      <c r="H65" s="1" t="s">
        <v>56</v>
      </c>
      <c r="I65" s="1" t="s">
        <v>56</v>
      </c>
      <c r="J65" s="1" t="s">
        <v>56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2.75" customHeight="1">
      <c r="A66" s="1"/>
      <c r="B66" s="1"/>
      <c r="C66" s="1" t="s">
        <v>57</v>
      </c>
      <c r="D66" s="1">
        <v>3.0</v>
      </c>
      <c r="E66" s="1" t="s">
        <v>58</v>
      </c>
      <c r="F66" s="1" t="s">
        <v>55</v>
      </c>
      <c r="G66" s="1" t="s">
        <v>55</v>
      </c>
      <c r="H66" s="1" t="s">
        <v>56</v>
      </c>
      <c r="I66" s="1" t="s">
        <v>56</v>
      </c>
      <c r="J66" s="1" t="s">
        <v>56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2.75" customHeight="1">
      <c r="A67" s="1"/>
      <c r="B67" s="1"/>
      <c r="C67" s="1" t="s">
        <v>59</v>
      </c>
      <c r="D67" s="1">
        <v>3.0</v>
      </c>
      <c r="E67" s="1" t="s">
        <v>54</v>
      </c>
      <c r="F67" s="1" t="s">
        <v>55</v>
      </c>
      <c r="G67" s="1" t="s">
        <v>60</v>
      </c>
      <c r="H67" s="1">
        <v>48.929199999999994</v>
      </c>
      <c r="I67" s="1">
        <v>0.3633</v>
      </c>
      <c r="J67" s="1">
        <v>16.96188888888889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2.75" customHeight="1">
      <c r="A68" s="1"/>
      <c r="B68" s="1"/>
      <c r="C68" s="1" t="s">
        <v>61</v>
      </c>
      <c r="D68" s="1">
        <v>3.0</v>
      </c>
      <c r="E68" s="1" t="s">
        <v>58</v>
      </c>
      <c r="F68" s="1" t="s">
        <v>55</v>
      </c>
      <c r="G68" s="1" t="s">
        <v>60</v>
      </c>
      <c r="H68" s="1">
        <v>39.25740000000001</v>
      </c>
      <c r="I68" s="1">
        <v>0.47439999999999993</v>
      </c>
      <c r="J68" s="1">
        <v>17.291333333333334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2.75" customHeight="1">
      <c r="A69" s="1"/>
      <c r="B69" s="1"/>
      <c r="C69" s="1" t="s">
        <v>62</v>
      </c>
      <c r="D69" s="1">
        <v>3.0</v>
      </c>
      <c r="E69" s="1" t="s">
        <v>54</v>
      </c>
      <c r="F69" s="1" t="s">
        <v>63</v>
      </c>
      <c r="G69" s="1" t="s">
        <v>60</v>
      </c>
      <c r="H69" s="1">
        <v>43.4224</v>
      </c>
      <c r="I69" s="1">
        <v>0.299</v>
      </c>
      <c r="J69" s="1">
        <v>16.428055555555552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2.75" customHeight="1">
      <c r="A70" s="1"/>
      <c r="B70" s="1"/>
      <c r="C70" s="1" t="s">
        <v>64</v>
      </c>
      <c r="D70" s="1">
        <v>3.0</v>
      </c>
      <c r="E70" s="1" t="s">
        <v>54</v>
      </c>
      <c r="F70" s="1" t="s">
        <v>65</v>
      </c>
      <c r="G70" s="1" t="s">
        <v>60</v>
      </c>
      <c r="H70" s="1">
        <v>50.72839999999999</v>
      </c>
      <c r="I70" s="1">
        <v>0.39325000000000004</v>
      </c>
      <c r="J70" s="1">
        <v>20.387666666666668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2.75" customHeight="1">
      <c r="A71" s="1"/>
      <c r="B71" s="1"/>
      <c r="C71" s="1" t="s">
        <v>66</v>
      </c>
      <c r="D71" s="1">
        <v>3.0</v>
      </c>
      <c r="E71" s="1" t="s">
        <v>58</v>
      </c>
      <c r="F71" s="1" t="s">
        <v>63</v>
      </c>
      <c r="G71" s="1" t="s">
        <v>60</v>
      </c>
      <c r="H71" s="1">
        <v>53.15</v>
      </c>
      <c r="I71" s="1">
        <v>1.1001500000000002</v>
      </c>
      <c r="J71" s="1">
        <v>23.528944444444445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2.75" customHeight="1">
      <c r="A72" s="1"/>
      <c r="B72" s="1"/>
      <c r="C72" s="1" t="s">
        <v>67</v>
      </c>
      <c r="D72" s="1">
        <v>3.0</v>
      </c>
      <c r="E72" s="1" t="s">
        <v>58</v>
      </c>
      <c r="F72" s="1" t="s">
        <v>65</v>
      </c>
      <c r="G72" s="1" t="s">
        <v>60</v>
      </c>
      <c r="H72" s="1">
        <v>20.6208</v>
      </c>
      <c r="I72" s="1">
        <v>0.40850000000000003</v>
      </c>
      <c r="J72" s="1">
        <v>17.506277777777775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2.75" customHeight="1">
      <c r="A73" s="1"/>
      <c r="B73" s="1"/>
      <c r="C73" s="1" t="s">
        <v>53</v>
      </c>
      <c r="D73" s="1">
        <v>4.0</v>
      </c>
      <c r="E73" s="1" t="s">
        <v>54</v>
      </c>
      <c r="F73" s="1" t="s">
        <v>55</v>
      </c>
      <c r="G73" s="1" t="s">
        <v>55</v>
      </c>
      <c r="H73" s="1" t="s">
        <v>56</v>
      </c>
      <c r="I73" s="1" t="s">
        <v>56</v>
      </c>
      <c r="J73" s="1" t="s">
        <v>56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2.75" customHeight="1">
      <c r="A74" s="1"/>
      <c r="B74" s="1"/>
      <c r="C74" s="1" t="s">
        <v>57</v>
      </c>
      <c r="D74" s="1">
        <v>4.0</v>
      </c>
      <c r="E74" s="1" t="s">
        <v>58</v>
      </c>
      <c r="F74" s="1" t="s">
        <v>55</v>
      </c>
      <c r="G74" s="1" t="s">
        <v>55</v>
      </c>
      <c r="H74" s="1" t="s">
        <v>56</v>
      </c>
      <c r="I74" s="1" t="s">
        <v>56</v>
      </c>
      <c r="J74" s="1" t="s">
        <v>56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2.75" customHeight="1">
      <c r="A75" s="1"/>
      <c r="B75" s="1"/>
      <c r="C75" s="1" t="s">
        <v>59</v>
      </c>
      <c r="D75" s="1">
        <v>4.0</v>
      </c>
      <c r="E75" s="1" t="s">
        <v>54</v>
      </c>
      <c r="F75" s="1" t="s">
        <v>55</v>
      </c>
      <c r="G75" s="1" t="s">
        <v>60</v>
      </c>
      <c r="H75" s="1">
        <v>37.068</v>
      </c>
      <c r="I75" s="1">
        <v>0.22825000000000004</v>
      </c>
      <c r="J75" s="1">
        <v>9.601555555555557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2.75" customHeight="1">
      <c r="A76" s="1"/>
      <c r="B76" s="1"/>
      <c r="C76" s="1" t="s">
        <v>61</v>
      </c>
      <c r="D76" s="1">
        <v>4.0</v>
      </c>
      <c r="E76" s="1" t="s">
        <v>58</v>
      </c>
      <c r="F76" s="1" t="s">
        <v>55</v>
      </c>
      <c r="G76" s="1" t="s">
        <v>60</v>
      </c>
      <c r="H76" s="1">
        <v>31.000200000000007</v>
      </c>
      <c r="I76" s="1">
        <v>0.3021</v>
      </c>
      <c r="J76" s="1">
        <v>15.66872222222222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2.75" customHeight="1">
      <c r="A77" s="1"/>
      <c r="B77" s="1"/>
      <c r="C77" s="1" t="s">
        <v>62</v>
      </c>
      <c r="D77" s="1">
        <v>4.0</v>
      </c>
      <c r="E77" s="1" t="s">
        <v>54</v>
      </c>
      <c r="F77" s="1" t="s">
        <v>63</v>
      </c>
      <c r="G77" s="1" t="s">
        <v>60</v>
      </c>
      <c r="H77" s="1">
        <v>43.92</v>
      </c>
      <c r="I77" s="1">
        <v>0.3095</v>
      </c>
      <c r="J77" s="1">
        <v>19.349444444444444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2.75" customHeight="1">
      <c r="A78" s="1"/>
      <c r="B78" s="1"/>
      <c r="C78" s="1" t="s">
        <v>64</v>
      </c>
      <c r="D78" s="1">
        <v>4.0</v>
      </c>
      <c r="E78" s="1" t="s">
        <v>54</v>
      </c>
      <c r="F78" s="1" t="s">
        <v>65</v>
      </c>
      <c r="G78" s="1" t="s">
        <v>60</v>
      </c>
      <c r="H78" s="1">
        <v>34.309400000000004</v>
      </c>
      <c r="I78" s="1">
        <v>0.31505</v>
      </c>
      <c r="J78" s="1">
        <v>18.85972222222222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2.75" customHeight="1">
      <c r="A79" s="1"/>
      <c r="B79" s="1"/>
      <c r="C79" s="1" t="s">
        <v>66</v>
      </c>
      <c r="D79" s="1">
        <v>4.0</v>
      </c>
      <c r="E79" s="1" t="s">
        <v>58</v>
      </c>
      <c r="F79" s="1" t="s">
        <v>63</v>
      </c>
      <c r="G79" s="1" t="s">
        <v>60</v>
      </c>
      <c r="H79" s="1">
        <v>54.799200000000006</v>
      </c>
      <c r="I79" s="1">
        <v>1.01135</v>
      </c>
      <c r="J79" s="1">
        <v>28.081722222222222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2.75" customHeight="1">
      <c r="A80" s="1"/>
      <c r="B80" s="1"/>
      <c r="C80" s="1" t="s">
        <v>67</v>
      </c>
      <c r="D80" s="1">
        <v>4.0</v>
      </c>
      <c r="E80" s="1" t="s">
        <v>58</v>
      </c>
      <c r="F80" s="1" t="s">
        <v>65</v>
      </c>
      <c r="G80" s="1" t="s">
        <v>60</v>
      </c>
      <c r="H80" s="1">
        <v>34.668600000000005</v>
      </c>
      <c r="I80" s="1">
        <v>0.46649999999999997</v>
      </c>
      <c r="J80" s="1">
        <v>20.00922222222222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8.63"/>
    <col customWidth="1" min="7" max="17" width="7.63"/>
    <col customWidth="1" min="18" max="18" width="18.88"/>
    <col customWidth="1" min="19" max="42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1"/>
      <c r="B2" s="1"/>
      <c r="C2" s="1"/>
      <c r="D2" s="1"/>
      <c r="E2" s="1"/>
      <c r="F2" s="1"/>
      <c r="G2" s="1"/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44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/>
      <c r="AC2" s="1"/>
      <c r="AD2" s="1" t="s">
        <v>47</v>
      </c>
      <c r="AE2" s="1" t="s">
        <v>48</v>
      </c>
      <c r="AF2" s="1"/>
      <c r="AG2" s="1"/>
      <c r="AH2" s="1"/>
      <c r="AI2" s="1" t="s">
        <v>49</v>
      </c>
      <c r="AJ2" s="1" t="s">
        <v>50</v>
      </c>
      <c r="AK2" s="1" t="s">
        <v>50</v>
      </c>
      <c r="AL2" s="1" t="s">
        <v>51</v>
      </c>
      <c r="AM2" s="1" t="s">
        <v>51</v>
      </c>
      <c r="AN2" s="1" t="s">
        <v>51</v>
      </c>
      <c r="AO2" s="1" t="s">
        <v>52</v>
      </c>
      <c r="AP2" s="1"/>
    </row>
    <row r="3" ht="12.75" customHeight="1">
      <c r="A3" s="1" t="s">
        <v>53</v>
      </c>
      <c r="B3" s="1">
        <v>1.0</v>
      </c>
      <c r="C3" s="1" t="s">
        <v>54</v>
      </c>
      <c r="D3" s="1" t="s">
        <v>55</v>
      </c>
      <c r="E3" s="1" t="s">
        <v>55</v>
      </c>
      <c r="F3" s="4"/>
      <c r="G3" s="4"/>
      <c r="H3" s="1">
        <v>11.1</v>
      </c>
      <c r="I3" s="1">
        <v>0.9069</v>
      </c>
      <c r="J3" s="1">
        <v>15.0195</v>
      </c>
      <c r="K3" s="1">
        <v>22.2515</v>
      </c>
      <c r="L3" s="1">
        <v>0.1853</v>
      </c>
      <c r="M3" s="1">
        <v>0.0228</v>
      </c>
      <c r="N3" s="1">
        <v>5.1288</v>
      </c>
      <c r="O3" s="1">
        <v>17.4825</v>
      </c>
      <c r="P3" s="1">
        <v>0.2585</v>
      </c>
      <c r="Q3" s="1">
        <v>4.2817</v>
      </c>
      <c r="R3" s="1">
        <v>6.3433</v>
      </c>
      <c r="S3" s="1">
        <v>0.0528</v>
      </c>
      <c r="T3" s="1">
        <v>0.0065</v>
      </c>
      <c r="U3" s="1">
        <v>1.4621</v>
      </c>
      <c r="V3" s="1">
        <v>317.85</v>
      </c>
      <c r="W3" s="1">
        <v>2.104</v>
      </c>
      <c r="X3" s="1">
        <v>5.46</v>
      </c>
      <c r="Y3" s="1">
        <v>544.44</v>
      </c>
      <c r="Z3" s="1">
        <v>25.88</v>
      </c>
      <c r="AA3" s="1">
        <v>4.27</v>
      </c>
      <c r="AB3" s="1">
        <v>38.25</v>
      </c>
      <c r="AC3" s="1">
        <v>0.3022</v>
      </c>
      <c r="AD3" s="1">
        <v>33.63</v>
      </c>
      <c r="AE3" s="1">
        <v>4.65</v>
      </c>
      <c r="AF3" s="1">
        <v>28.7</v>
      </c>
      <c r="AG3" s="1">
        <v>0.4248</v>
      </c>
      <c r="AH3" s="1">
        <v>0.0</v>
      </c>
      <c r="AI3" s="1">
        <v>1.58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s="1" t="s">
        <v>56</v>
      </c>
      <c r="AP3" s="1">
        <v>67.63056093</v>
      </c>
    </row>
    <row r="4" ht="12.75" customHeight="1">
      <c r="A4" s="1" t="s">
        <v>57</v>
      </c>
      <c r="B4" s="1">
        <v>1.0</v>
      </c>
      <c r="C4" s="1" t="s">
        <v>58</v>
      </c>
      <c r="D4" s="1" t="s">
        <v>55</v>
      </c>
      <c r="E4" s="1" t="s">
        <v>55</v>
      </c>
      <c r="F4" s="4"/>
      <c r="G4" s="4"/>
      <c r="H4" s="1">
        <v>12.3</v>
      </c>
      <c r="I4" s="1">
        <v>0.9025</v>
      </c>
      <c r="J4" s="1">
        <v>12.8675</v>
      </c>
      <c r="K4" s="1">
        <v>30.7503</v>
      </c>
      <c r="L4" s="1">
        <v>0.3114</v>
      </c>
      <c r="M4" s="1">
        <v>0.0095</v>
      </c>
      <c r="N4" s="1">
        <v>4.6493</v>
      </c>
      <c r="O4" s="1">
        <v>33.5175</v>
      </c>
      <c r="P4" s="1">
        <v>0.4845</v>
      </c>
      <c r="Q4" s="1">
        <v>6.9076</v>
      </c>
      <c r="R4" s="1">
        <v>16.5075</v>
      </c>
      <c r="S4" s="1">
        <v>0.1672</v>
      </c>
      <c r="T4" s="1">
        <v>0.0051</v>
      </c>
      <c r="U4" s="1">
        <v>2.4959</v>
      </c>
      <c r="V4" s="1">
        <v>71.6</v>
      </c>
      <c r="W4" s="1">
        <v>4.188</v>
      </c>
      <c r="X4" s="1">
        <v>7.74</v>
      </c>
      <c r="Y4" s="1">
        <v>897.75</v>
      </c>
      <c r="Z4" s="1">
        <v>28.25</v>
      </c>
      <c r="AA4" s="1">
        <v>4.65</v>
      </c>
      <c r="AB4" s="1">
        <v>40.8</v>
      </c>
      <c r="AC4" s="1">
        <v>0.3047</v>
      </c>
      <c r="AD4" s="1">
        <v>37.63</v>
      </c>
      <c r="AE4" s="1">
        <v>4.73</v>
      </c>
      <c r="AF4" s="1">
        <v>35.875</v>
      </c>
      <c r="AG4" s="1">
        <v>0.4182</v>
      </c>
      <c r="AH4" s="1">
        <v>0.0</v>
      </c>
      <c r="AI4" s="1">
        <v>2.73</v>
      </c>
      <c r="AJ4" s="1" t="s">
        <v>56</v>
      </c>
      <c r="AK4" s="1" t="s">
        <v>56</v>
      </c>
      <c r="AL4" s="1" t="s">
        <v>56</v>
      </c>
      <c r="AM4" s="1" t="s">
        <v>56</v>
      </c>
      <c r="AN4" s="1" t="s">
        <v>56</v>
      </c>
      <c r="AO4" s="1" t="s">
        <v>56</v>
      </c>
      <c r="AP4" s="1">
        <v>69.17956656</v>
      </c>
    </row>
    <row r="5" ht="12.75" customHeight="1">
      <c r="A5" s="1" t="s">
        <v>59</v>
      </c>
      <c r="B5" s="1">
        <v>1.0</v>
      </c>
      <c r="C5" s="1" t="s">
        <v>54</v>
      </c>
      <c r="D5" s="1" t="s">
        <v>55</v>
      </c>
      <c r="E5" s="1" t="s">
        <v>60</v>
      </c>
      <c r="F5" s="4"/>
      <c r="G5" s="4"/>
      <c r="H5" s="1">
        <v>12.1</v>
      </c>
      <c r="I5" s="1">
        <v>0.5432</v>
      </c>
      <c r="J5" s="1">
        <v>17.6738</v>
      </c>
      <c r="K5" s="1">
        <v>8.5449</v>
      </c>
      <c r="L5" s="1">
        <v>0.2967</v>
      </c>
      <c r="M5" s="1">
        <v>0.009</v>
      </c>
      <c r="N5" s="1">
        <v>2.6812</v>
      </c>
      <c r="O5" s="1">
        <v>97.405</v>
      </c>
      <c r="P5" s="1">
        <v>1.6748</v>
      </c>
      <c r="Q5" s="1">
        <v>54.491</v>
      </c>
      <c r="R5" s="1">
        <v>26.3452</v>
      </c>
      <c r="S5" s="1">
        <v>0.9148</v>
      </c>
      <c r="T5" s="1">
        <v>0.0277</v>
      </c>
      <c r="U5" s="1">
        <v>8.2665</v>
      </c>
      <c r="V5" s="1">
        <v>367.85</v>
      </c>
      <c r="W5" s="1">
        <v>2.427</v>
      </c>
      <c r="X5" s="1">
        <v>5.13</v>
      </c>
      <c r="Y5" s="1">
        <v>583.98</v>
      </c>
      <c r="Z5" s="1">
        <v>36.75</v>
      </c>
      <c r="AA5" s="1">
        <v>4.94</v>
      </c>
      <c r="AB5" s="1">
        <v>58.9</v>
      </c>
      <c r="AC5" s="1">
        <v>0.2883</v>
      </c>
      <c r="AD5" s="1">
        <v>57.38</v>
      </c>
      <c r="AE5" s="1">
        <v>5.3</v>
      </c>
      <c r="AF5" s="1">
        <v>64.6</v>
      </c>
      <c r="AG5" s="1">
        <v>0.436</v>
      </c>
      <c r="AH5" s="1">
        <v>3.25</v>
      </c>
      <c r="AI5" s="1">
        <v>8.05</v>
      </c>
      <c r="AJ5" s="1">
        <v>80.5</v>
      </c>
      <c r="AK5" s="1">
        <v>64.75</v>
      </c>
      <c r="AL5" s="3">
        <f t="shared" ref="AL5:AL6" si="1">(O5-O3)/250*100</f>
        <v>31.969</v>
      </c>
      <c r="AM5" s="3">
        <f t="shared" ref="AM5:AM6" si="2">(P5-P3)/200*100</f>
        <v>0.70815</v>
      </c>
      <c r="AN5" s="3">
        <f t="shared" ref="AN5:AN6" si="3">(Q5-Q3)/180*100</f>
        <v>27.89405556</v>
      </c>
      <c r="AO5" s="1">
        <v>80.95342363</v>
      </c>
      <c r="AP5" s="1">
        <v>58.15918319</v>
      </c>
    </row>
    <row r="6" ht="12.75" customHeight="1">
      <c r="A6" s="1" t="s">
        <v>61</v>
      </c>
      <c r="B6" s="1">
        <v>1.0</v>
      </c>
      <c r="C6" s="1" t="s">
        <v>58</v>
      </c>
      <c r="D6" s="1" t="s">
        <v>55</v>
      </c>
      <c r="E6" s="1" t="s">
        <v>60</v>
      </c>
      <c r="F6" s="4"/>
      <c r="G6" s="4"/>
      <c r="H6" s="1">
        <v>14.1</v>
      </c>
      <c r="I6" s="1">
        <v>0.5735</v>
      </c>
      <c r="J6" s="1">
        <v>16.0282</v>
      </c>
      <c r="K6" s="1">
        <v>10.5817</v>
      </c>
      <c r="L6" s="1">
        <v>0.2272</v>
      </c>
      <c r="M6" s="1">
        <v>0.0056</v>
      </c>
      <c r="N6" s="1">
        <v>2.352</v>
      </c>
      <c r="O6" s="1">
        <v>121.4715</v>
      </c>
      <c r="P6" s="1">
        <v>1.2846</v>
      </c>
      <c r="Q6" s="1">
        <v>35.9016</v>
      </c>
      <c r="R6" s="1">
        <v>23.7019</v>
      </c>
      <c r="S6" s="1">
        <v>0.5089</v>
      </c>
      <c r="T6" s="1">
        <v>0.0125</v>
      </c>
      <c r="U6" s="1">
        <v>5.2682</v>
      </c>
      <c r="V6" s="1">
        <v>63.85</v>
      </c>
      <c r="W6" s="1">
        <v>5.031</v>
      </c>
      <c r="X6" s="1">
        <v>7.76</v>
      </c>
      <c r="Y6" s="1">
        <v>1119.2</v>
      </c>
      <c r="Z6" s="1">
        <v>38.88</v>
      </c>
      <c r="AA6" s="1">
        <v>5.21</v>
      </c>
      <c r="AB6" s="1">
        <v>53.95</v>
      </c>
      <c r="AC6" s="1">
        <v>0.2884</v>
      </c>
      <c r="AD6" s="1">
        <v>57.38</v>
      </c>
      <c r="AE6" s="1">
        <v>5.44</v>
      </c>
      <c r="AF6" s="1">
        <v>61.175</v>
      </c>
      <c r="AG6" s="1">
        <v>0.4484</v>
      </c>
      <c r="AH6" s="1">
        <v>3.75</v>
      </c>
      <c r="AI6" s="1">
        <v>8.62</v>
      </c>
      <c r="AJ6" s="1">
        <v>86.2</v>
      </c>
      <c r="AK6" s="1">
        <v>58.9</v>
      </c>
      <c r="AL6" s="3">
        <f t="shared" si="1"/>
        <v>35.1816</v>
      </c>
      <c r="AM6" s="3">
        <f t="shared" si="2"/>
        <v>0.40005</v>
      </c>
      <c r="AN6" s="3">
        <f t="shared" si="3"/>
        <v>16.10777778</v>
      </c>
      <c r="AO6" s="1">
        <v>66.96682357</v>
      </c>
      <c r="AP6" s="1">
        <v>94.55978515</v>
      </c>
    </row>
    <row r="7" ht="12.75" customHeight="1">
      <c r="A7" s="1" t="s">
        <v>62</v>
      </c>
      <c r="B7" s="1">
        <v>1.0</v>
      </c>
      <c r="C7" s="1" t="s">
        <v>54</v>
      </c>
      <c r="D7" s="1" t="s">
        <v>63</v>
      </c>
      <c r="E7" s="1" t="s">
        <v>60</v>
      </c>
      <c r="F7" s="4"/>
      <c r="G7" s="4"/>
      <c r="H7" s="1">
        <v>15.4</v>
      </c>
      <c r="I7" s="1">
        <v>0.5695</v>
      </c>
      <c r="J7" s="1">
        <v>21.368</v>
      </c>
      <c r="K7" s="1">
        <v>6.028</v>
      </c>
      <c r="L7" s="1">
        <v>0.195</v>
      </c>
      <c r="M7" s="1">
        <v>0.0063</v>
      </c>
      <c r="N7" s="1">
        <v>2.3447</v>
      </c>
      <c r="O7" s="1">
        <v>124.817</v>
      </c>
      <c r="P7" s="1">
        <v>1.1586</v>
      </c>
      <c r="Q7" s="1">
        <v>43.4701</v>
      </c>
      <c r="R7" s="1">
        <v>12.2631</v>
      </c>
      <c r="S7" s="1">
        <v>0.3967</v>
      </c>
      <c r="T7" s="1">
        <v>0.0128</v>
      </c>
      <c r="U7" s="1">
        <v>4.77</v>
      </c>
      <c r="V7" s="1">
        <v>368.068</v>
      </c>
      <c r="W7" s="1">
        <v>2.271</v>
      </c>
      <c r="X7" s="1">
        <v>5.3</v>
      </c>
      <c r="Y7" s="1">
        <v>923.07</v>
      </c>
      <c r="Z7" s="1">
        <v>38.75</v>
      </c>
      <c r="AA7" s="1">
        <v>4.52</v>
      </c>
      <c r="AB7" s="1">
        <v>58.0</v>
      </c>
      <c r="AC7" s="1">
        <v>0.2451</v>
      </c>
      <c r="AD7" s="1">
        <v>57.75</v>
      </c>
      <c r="AE7" s="1">
        <v>5.36</v>
      </c>
      <c r="AF7" s="1">
        <v>53.225</v>
      </c>
      <c r="AG7" s="1">
        <v>0.4994</v>
      </c>
      <c r="AH7" s="1">
        <v>2.5</v>
      </c>
      <c r="AI7" s="1">
        <v>8.11</v>
      </c>
      <c r="AJ7" s="1">
        <v>81.1</v>
      </c>
      <c r="AK7" s="1">
        <v>65.3</v>
      </c>
      <c r="AL7" s="3">
        <f>(O7-O3)/250*100</f>
        <v>42.9338</v>
      </c>
      <c r="AM7" s="3">
        <f>(P7-P3)/200*100</f>
        <v>0.45005</v>
      </c>
      <c r="AN7" s="3">
        <f>(Q7-Q3)/180*100</f>
        <v>21.77133333</v>
      </c>
      <c r="AO7" s="1">
        <v>60.83784804</v>
      </c>
      <c r="AP7" s="1">
        <v>107.7308821</v>
      </c>
    </row>
    <row r="8" ht="12.75" customHeight="1">
      <c r="A8" s="1" t="s">
        <v>64</v>
      </c>
      <c r="B8" s="1">
        <v>1.0</v>
      </c>
      <c r="C8" s="1" t="s">
        <v>54</v>
      </c>
      <c r="D8" s="1" t="s">
        <v>65</v>
      </c>
      <c r="E8" s="1" t="s">
        <v>60</v>
      </c>
      <c r="F8" s="4"/>
      <c r="G8" s="4"/>
      <c r="H8" s="1">
        <v>16.3</v>
      </c>
      <c r="I8" s="1">
        <v>0.6594</v>
      </c>
      <c r="J8" s="1">
        <v>24.7358</v>
      </c>
      <c r="K8" s="1">
        <v>9.6444</v>
      </c>
      <c r="L8" s="1">
        <v>0.1578</v>
      </c>
      <c r="M8" s="1">
        <v>0.0061</v>
      </c>
      <c r="N8" s="1">
        <v>2.7304</v>
      </c>
      <c r="O8" s="1">
        <v>111.003</v>
      </c>
      <c r="P8" s="1">
        <v>0.6781</v>
      </c>
      <c r="Q8" s="1">
        <v>25.4361</v>
      </c>
      <c r="R8" s="1">
        <v>9.9174</v>
      </c>
      <c r="S8" s="1">
        <v>0.1623</v>
      </c>
      <c r="T8" s="1">
        <v>0.0063</v>
      </c>
      <c r="U8" s="1">
        <v>2.8077</v>
      </c>
      <c r="V8" s="1">
        <v>291.6</v>
      </c>
      <c r="W8" s="1">
        <v>2.063</v>
      </c>
      <c r="X8" s="1">
        <v>5.76</v>
      </c>
      <c r="Y8" s="1">
        <v>977.44</v>
      </c>
      <c r="Z8" s="1">
        <v>37.88</v>
      </c>
      <c r="AA8" s="1">
        <v>4.73</v>
      </c>
      <c r="AB8" s="1">
        <v>58.73</v>
      </c>
      <c r="AC8" s="1">
        <v>0.2411</v>
      </c>
      <c r="AD8" s="1">
        <v>61.5</v>
      </c>
      <c r="AE8" s="1">
        <v>5.47</v>
      </c>
      <c r="AF8" s="1">
        <v>53.425</v>
      </c>
      <c r="AG8" s="1">
        <v>0.5102</v>
      </c>
      <c r="AH8" s="1">
        <v>3.0</v>
      </c>
      <c r="AI8" s="1">
        <v>6.81</v>
      </c>
      <c r="AJ8" s="1">
        <v>68.1</v>
      </c>
      <c r="AK8" s="1">
        <v>52.35</v>
      </c>
      <c r="AL8" s="3">
        <f t="shared" ref="AL8:AL9" si="4">(O8-O3)/250*100</f>
        <v>37.4082</v>
      </c>
      <c r="AM8" s="3">
        <f t="shared" ref="AM8:AM9" si="5">(P8-P3)/200*100</f>
        <v>0.2098</v>
      </c>
      <c r="AN8" s="3">
        <f t="shared" ref="AN8:AN9" si="6">(Q8-Q3)/180*100</f>
        <v>11.75244444</v>
      </c>
      <c r="AO8" s="1">
        <v>55.92356756</v>
      </c>
      <c r="AP8" s="1">
        <v>163.6970948</v>
      </c>
    </row>
    <row r="9" ht="12.75" customHeight="1">
      <c r="A9" s="1" t="s">
        <v>66</v>
      </c>
      <c r="B9" s="1">
        <v>1.0</v>
      </c>
      <c r="C9" s="1" t="s">
        <v>58</v>
      </c>
      <c r="D9" s="1" t="s">
        <v>63</v>
      </c>
      <c r="E9" s="1" t="s">
        <v>60</v>
      </c>
      <c r="F9" s="4"/>
      <c r="G9" s="4"/>
      <c r="H9" s="1">
        <v>13.2</v>
      </c>
      <c r="I9" s="1">
        <v>0.6755</v>
      </c>
      <c r="J9" s="1">
        <v>16.2771</v>
      </c>
      <c r="K9" s="1">
        <v>8.4463</v>
      </c>
      <c r="L9" s="1">
        <v>0.1142</v>
      </c>
      <c r="M9" s="1">
        <v>0.0035</v>
      </c>
      <c r="N9" s="1">
        <v>1.9926</v>
      </c>
      <c r="O9" s="1">
        <v>188.892</v>
      </c>
      <c r="P9" s="1">
        <v>2.3973</v>
      </c>
      <c r="Q9" s="1">
        <v>57.7655</v>
      </c>
      <c r="R9" s="1">
        <v>29.9749</v>
      </c>
      <c r="S9" s="1">
        <v>0.4053</v>
      </c>
      <c r="T9" s="1">
        <v>0.0124</v>
      </c>
      <c r="U9" s="1">
        <v>7.0715</v>
      </c>
      <c r="V9" s="1">
        <v>68.85</v>
      </c>
      <c r="W9" s="1">
        <v>2.833</v>
      </c>
      <c r="X9" s="1">
        <v>7.84</v>
      </c>
      <c r="Y9" s="1">
        <v>953.76</v>
      </c>
      <c r="Z9" s="1">
        <v>43.75</v>
      </c>
      <c r="AA9" s="1">
        <v>4.89</v>
      </c>
      <c r="AB9" s="1">
        <v>56.03</v>
      </c>
      <c r="AC9" s="1">
        <v>0.2447</v>
      </c>
      <c r="AD9" s="1">
        <v>63.88</v>
      </c>
      <c r="AE9" s="1">
        <v>5.76</v>
      </c>
      <c r="AF9" s="1">
        <v>52.625</v>
      </c>
      <c r="AG9" s="1">
        <v>0.4951</v>
      </c>
      <c r="AH9" s="1">
        <v>3.75</v>
      </c>
      <c r="AI9" s="1">
        <v>14.31</v>
      </c>
      <c r="AJ9" s="1">
        <v>143.1</v>
      </c>
      <c r="AK9" s="1">
        <v>115.85</v>
      </c>
      <c r="AL9" s="3">
        <f t="shared" si="4"/>
        <v>62.1498</v>
      </c>
      <c r="AM9" s="3">
        <f t="shared" si="5"/>
        <v>0.9564</v>
      </c>
      <c r="AN9" s="3">
        <f t="shared" si="6"/>
        <v>28.25438889</v>
      </c>
      <c r="AO9" s="1">
        <v>74.52960428</v>
      </c>
      <c r="AP9" s="1">
        <v>78.79364285</v>
      </c>
    </row>
    <row r="10" ht="12.75" customHeight="1">
      <c r="A10" s="1" t="s">
        <v>67</v>
      </c>
      <c r="B10" s="1">
        <v>1.0</v>
      </c>
      <c r="C10" s="1" t="s">
        <v>58</v>
      </c>
      <c r="D10" s="1" t="s">
        <v>65</v>
      </c>
      <c r="E10" s="1" t="s">
        <v>60</v>
      </c>
      <c r="F10" s="4"/>
      <c r="G10" s="4"/>
      <c r="H10" s="1">
        <v>14.9</v>
      </c>
      <c r="I10" s="1">
        <v>0.5676</v>
      </c>
      <c r="J10" s="1">
        <v>18.1982</v>
      </c>
      <c r="K10" s="1">
        <v>11.1464</v>
      </c>
      <c r="L10" s="1">
        <v>0.1116</v>
      </c>
      <c r="M10" s="1">
        <v>0.0036</v>
      </c>
      <c r="N10" s="1">
        <v>2.5137</v>
      </c>
      <c r="O10" s="1">
        <v>136.484</v>
      </c>
      <c r="P10" s="1">
        <v>1.2738</v>
      </c>
      <c r="Q10" s="1">
        <v>40.8404</v>
      </c>
      <c r="R10" s="1">
        <v>25.0148</v>
      </c>
      <c r="S10" s="1">
        <v>0.2505</v>
      </c>
      <c r="T10" s="1">
        <v>0.0081</v>
      </c>
      <c r="U10" s="1">
        <v>5.6412</v>
      </c>
      <c r="V10" s="1">
        <v>62.311</v>
      </c>
      <c r="W10" s="1">
        <v>2.875</v>
      </c>
      <c r="X10" s="1">
        <v>7.87</v>
      </c>
      <c r="Y10" s="1">
        <v>1379.6</v>
      </c>
      <c r="Z10" s="1">
        <v>39.88</v>
      </c>
      <c r="AA10" s="1">
        <v>5.04</v>
      </c>
      <c r="AB10" s="1">
        <v>60.65</v>
      </c>
      <c r="AC10" s="1">
        <v>0.2411</v>
      </c>
      <c r="AD10" s="1">
        <v>61.75</v>
      </c>
      <c r="AE10" s="1">
        <v>5.84</v>
      </c>
      <c r="AF10" s="1">
        <v>58.85</v>
      </c>
      <c r="AG10" s="1">
        <v>0.4783</v>
      </c>
      <c r="AH10" s="1">
        <v>2.75</v>
      </c>
      <c r="AI10" s="1">
        <v>9.16</v>
      </c>
      <c r="AJ10" s="1">
        <v>91.6</v>
      </c>
      <c r="AK10" s="1">
        <v>64.35</v>
      </c>
      <c r="AL10" s="3">
        <f>(O10-O4)/250*100</f>
        <v>41.1866</v>
      </c>
      <c r="AM10" s="3">
        <f>(P10-P4)/200*100</f>
        <v>0.39465</v>
      </c>
      <c r="AN10" s="3">
        <f>(Q10-Q4)/180*100</f>
        <v>18.85155556</v>
      </c>
      <c r="AO10" s="1">
        <v>47.11174936</v>
      </c>
      <c r="AP10" s="1">
        <v>107.1471189</v>
      </c>
    </row>
    <row r="11" ht="12.75" customHeight="1">
      <c r="A11" s="1" t="s">
        <v>53</v>
      </c>
      <c r="B11" s="1">
        <v>2.0</v>
      </c>
      <c r="C11" s="1" t="s">
        <v>54</v>
      </c>
      <c r="D11" s="1" t="s">
        <v>55</v>
      </c>
      <c r="E11" s="1" t="s">
        <v>55</v>
      </c>
      <c r="F11" s="4"/>
      <c r="G11" s="4"/>
      <c r="H11" s="1">
        <v>10.9</v>
      </c>
      <c r="I11" s="1">
        <v>0.9035</v>
      </c>
      <c r="J11" s="1">
        <v>16.8284</v>
      </c>
      <c r="K11" s="1">
        <v>23.5699</v>
      </c>
      <c r="L11" s="1">
        <v>0.0596</v>
      </c>
      <c r="M11" s="1">
        <v>0.003</v>
      </c>
      <c r="N11" s="1">
        <v>5.7191</v>
      </c>
      <c r="O11" s="1">
        <v>14.061</v>
      </c>
      <c r="P11" s="1">
        <v>0.19</v>
      </c>
      <c r="Q11" s="1">
        <v>3.5385</v>
      </c>
      <c r="R11" s="1">
        <v>4.956</v>
      </c>
      <c r="S11" s="1">
        <v>0.0125</v>
      </c>
      <c r="T11" s="1">
        <v>6.0E-4</v>
      </c>
      <c r="U11" s="1">
        <v>1.2026</v>
      </c>
      <c r="V11" s="1">
        <v>433.85</v>
      </c>
      <c r="W11" s="1">
        <v>2.625</v>
      </c>
      <c r="X11" s="1">
        <v>5.32</v>
      </c>
      <c r="Y11" s="1">
        <v>414.54</v>
      </c>
      <c r="Z11" s="1">
        <v>24.63</v>
      </c>
      <c r="AA11" s="1">
        <v>3.99</v>
      </c>
      <c r="AB11" s="1">
        <v>36.38</v>
      </c>
      <c r="AC11" s="1">
        <v>0.1612</v>
      </c>
      <c r="AD11" s="1">
        <v>32.75</v>
      </c>
      <c r="AE11" s="1">
        <v>4.12</v>
      </c>
      <c r="AF11" s="1">
        <v>28.4</v>
      </c>
      <c r="AG11" s="1">
        <v>0.5726</v>
      </c>
      <c r="AH11" s="1">
        <v>0.75</v>
      </c>
      <c r="AI11" s="1">
        <v>1.29</v>
      </c>
      <c r="AJ11" s="1" t="s">
        <v>56</v>
      </c>
      <c r="AK11" s="1" t="s">
        <v>56</v>
      </c>
      <c r="AL11" s="3" t="s">
        <v>56</v>
      </c>
      <c r="AM11" s="3" t="s">
        <v>56</v>
      </c>
      <c r="AN11" s="3" t="s">
        <v>56</v>
      </c>
      <c r="AO11" s="1" t="s">
        <v>56</v>
      </c>
      <c r="AP11" s="1">
        <v>74.00526316</v>
      </c>
    </row>
    <row r="12" ht="12.75" customHeight="1">
      <c r="A12" s="1" t="s">
        <v>57</v>
      </c>
      <c r="B12" s="1">
        <v>2.0</v>
      </c>
      <c r="C12" s="1" t="s">
        <v>58</v>
      </c>
      <c r="D12" s="1" t="s">
        <v>55</v>
      </c>
      <c r="E12" s="1" t="s">
        <v>55</v>
      </c>
      <c r="F12" s="4"/>
      <c r="G12" s="4"/>
      <c r="H12" s="1">
        <v>12.5</v>
      </c>
      <c r="I12" s="1">
        <v>0.8305</v>
      </c>
      <c r="J12" s="1">
        <v>11.5887</v>
      </c>
      <c r="K12" s="1">
        <v>26.112</v>
      </c>
      <c r="L12" s="1">
        <v>0.1313</v>
      </c>
      <c r="M12" s="1">
        <v>0.001</v>
      </c>
      <c r="N12" s="1">
        <v>4.6368</v>
      </c>
      <c r="O12" s="1">
        <v>35.625</v>
      </c>
      <c r="P12" s="1">
        <v>0.4355</v>
      </c>
      <c r="Q12" s="1">
        <v>6.0771</v>
      </c>
      <c r="R12" s="1">
        <v>13.6931</v>
      </c>
      <c r="S12" s="1">
        <v>0.0689</v>
      </c>
      <c r="T12" s="1">
        <v>5.0E-4</v>
      </c>
      <c r="U12" s="1">
        <v>2.4315</v>
      </c>
      <c r="V12" s="1">
        <v>128.727</v>
      </c>
      <c r="W12" s="1">
        <v>4.272</v>
      </c>
      <c r="X12" s="1">
        <v>8.18</v>
      </c>
      <c r="Y12" s="1">
        <v>745.65</v>
      </c>
      <c r="Z12" s="1">
        <v>28.38</v>
      </c>
      <c r="AA12" s="1">
        <v>4.33</v>
      </c>
      <c r="AB12" s="1">
        <v>41.23</v>
      </c>
      <c r="AC12" s="1">
        <v>0.1747</v>
      </c>
      <c r="AD12" s="1">
        <v>38.38</v>
      </c>
      <c r="AE12" s="1">
        <v>4.71</v>
      </c>
      <c r="AF12" s="1">
        <v>39.55</v>
      </c>
      <c r="AG12" s="1">
        <v>0.5413</v>
      </c>
      <c r="AH12" s="1">
        <v>1.75</v>
      </c>
      <c r="AI12" s="1">
        <v>2.85</v>
      </c>
      <c r="AJ12" s="1" t="s">
        <v>56</v>
      </c>
      <c r="AK12" s="1" t="s">
        <v>56</v>
      </c>
      <c r="AL12" s="3" t="s">
        <v>56</v>
      </c>
      <c r="AM12" s="3" t="s">
        <v>56</v>
      </c>
      <c r="AN12" s="3" t="s">
        <v>56</v>
      </c>
      <c r="AO12" s="1" t="s">
        <v>56</v>
      </c>
      <c r="AP12" s="1">
        <v>81.80252583</v>
      </c>
    </row>
    <row r="13" ht="12.75" customHeight="1">
      <c r="A13" s="1" t="s">
        <v>59</v>
      </c>
      <c r="B13" s="1">
        <v>2.0</v>
      </c>
      <c r="C13" s="1" t="s">
        <v>54</v>
      </c>
      <c r="D13" s="1" t="s">
        <v>55</v>
      </c>
      <c r="E13" s="1" t="s">
        <v>60</v>
      </c>
      <c r="F13" s="4"/>
      <c r="G13" s="4"/>
      <c r="H13" s="1">
        <v>16.2</v>
      </c>
      <c r="I13" s="1">
        <v>0.6731</v>
      </c>
      <c r="J13" s="1">
        <v>18.3769</v>
      </c>
      <c r="K13" s="1">
        <v>10.0061</v>
      </c>
      <c r="L13" s="1">
        <v>0.1598</v>
      </c>
      <c r="M13" s="1">
        <v>0.0022</v>
      </c>
      <c r="N13" s="1">
        <v>2.858</v>
      </c>
      <c r="O13" s="1">
        <v>104.328</v>
      </c>
      <c r="P13" s="1">
        <v>0.9623</v>
      </c>
      <c r="Q13" s="1">
        <v>26.2731</v>
      </c>
      <c r="R13" s="1">
        <v>14.3055</v>
      </c>
      <c r="S13" s="1">
        <v>0.2285</v>
      </c>
      <c r="T13" s="1">
        <v>0.0031</v>
      </c>
      <c r="U13" s="1">
        <v>4.086</v>
      </c>
      <c r="V13" s="1">
        <v>316.6</v>
      </c>
      <c r="W13" s="1">
        <v>0.406</v>
      </c>
      <c r="X13" s="1">
        <v>5.25</v>
      </c>
      <c r="Y13" s="1">
        <v>486.4</v>
      </c>
      <c r="Z13" s="1">
        <v>35.88</v>
      </c>
      <c r="AA13" s="1">
        <v>4.92</v>
      </c>
      <c r="AB13" s="1">
        <v>53.83</v>
      </c>
      <c r="AC13" s="1">
        <v>0.1518</v>
      </c>
      <c r="AD13" s="1">
        <v>55.13</v>
      </c>
      <c r="AE13" s="1">
        <v>5.29</v>
      </c>
      <c r="AF13" s="1">
        <v>47.775</v>
      </c>
      <c r="AG13" s="1">
        <v>0.5693</v>
      </c>
      <c r="AH13" s="1">
        <v>2.5</v>
      </c>
      <c r="AI13" s="1">
        <v>6.44</v>
      </c>
      <c r="AJ13" s="1">
        <v>64.4</v>
      </c>
      <c r="AK13" s="1">
        <v>51.5</v>
      </c>
      <c r="AL13" s="3">
        <f t="shared" ref="AL13:AL14" si="7">(O13-O11)/250*100</f>
        <v>36.1068</v>
      </c>
      <c r="AM13" s="3">
        <f t="shared" ref="AM13:AM14" si="8">(P13-P11)/200*100</f>
        <v>0.38615</v>
      </c>
      <c r="AN13" s="3">
        <f t="shared" ref="AN13:AN14" si="9">(Q13-Q11)/180*100</f>
        <v>12.63033333</v>
      </c>
      <c r="AO13" s="1">
        <v>57.05296509</v>
      </c>
      <c r="AP13" s="1">
        <v>108.4152551</v>
      </c>
    </row>
    <row r="14" ht="12.75" customHeight="1">
      <c r="A14" s="1" t="s">
        <v>61</v>
      </c>
      <c r="B14" s="1">
        <v>2.0</v>
      </c>
      <c r="C14" s="1" t="s">
        <v>58</v>
      </c>
      <c r="D14" s="1" t="s">
        <v>55</v>
      </c>
      <c r="E14" s="1" t="s">
        <v>60</v>
      </c>
      <c r="F14" s="4"/>
      <c r="G14" s="4"/>
      <c r="H14" s="1">
        <v>12.0</v>
      </c>
      <c r="I14" s="1">
        <v>0.5868</v>
      </c>
      <c r="J14" s="1">
        <v>15.5146</v>
      </c>
      <c r="K14" s="1">
        <v>11.799</v>
      </c>
      <c r="L14" s="1">
        <v>0.1769</v>
      </c>
      <c r="M14" s="1">
        <v>4.0E-4</v>
      </c>
      <c r="N14" s="1">
        <v>2.4946</v>
      </c>
      <c r="O14" s="1">
        <v>112.98</v>
      </c>
      <c r="P14" s="1">
        <v>1.348</v>
      </c>
      <c r="Q14" s="1">
        <v>35.6411</v>
      </c>
      <c r="R14" s="1">
        <v>27.1054</v>
      </c>
      <c r="S14" s="1">
        <v>0.4064</v>
      </c>
      <c r="T14" s="1">
        <v>9.0E-4</v>
      </c>
      <c r="U14" s="1">
        <v>5.7307</v>
      </c>
      <c r="V14" s="1">
        <v>94.661</v>
      </c>
      <c r="W14" s="1">
        <v>2.698</v>
      </c>
      <c r="X14" s="1">
        <v>7.66</v>
      </c>
      <c r="Y14" s="1">
        <v>1330.7</v>
      </c>
      <c r="Z14" s="1">
        <v>36.0</v>
      </c>
      <c r="AA14" s="1">
        <v>4.28</v>
      </c>
      <c r="AB14" s="1">
        <v>51.65</v>
      </c>
      <c r="AC14" s="1">
        <v>0.1576</v>
      </c>
      <c r="AD14" s="1">
        <v>60.0</v>
      </c>
      <c r="AE14" s="1">
        <v>5.22</v>
      </c>
      <c r="AF14" s="1">
        <v>53.675</v>
      </c>
      <c r="AG14" s="1">
        <v>0.5591</v>
      </c>
      <c r="AH14" s="1">
        <v>3.0</v>
      </c>
      <c r="AI14" s="1">
        <v>9.42</v>
      </c>
      <c r="AJ14" s="1">
        <v>94.2</v>
      </c>
      <c r="AK14" s="1">
        <v>65.65</v>
      </c>
      <c r="AL14" s="3">
        <f t="shared" si="7"/>
        <v>30.942</v>
      </c>
      <c r="AM14" s="3">
        <f t="shared" si="8"/>
        <v>0.45625</v>
      </c>
      <c r="AN14" s="3">
        <f t="shared" si="9"/>
        <v>16.42444444</v>
      </c>
      <c r="AO14" s="1">
        <v>84.93310064</v>
      </c>
      <c r="AP14" s="1">
        <v>83.81305638</v>
      </c>
    </row>
    <row r="15" ht="12.75" customHeight="1">
      <c r="A15" s="1" t="s">
        <v>62</v>
      </c>
      <c r="B15" s="1">
        <v>2.0</v>
      </c>
      <c r="C15" s="1" t="s">
        <v>54</v>
      </c>
      <c r="D15" s="1" t="s">
        <v>63</v>
      </c>
      <c r="E15" s="1" t="s">
        <v>60</v>
      </c>
      <c r="F15" s="4"/>
      <c r="G15" s="4"/>
      <c r="H15" s="1">
        <v>13.6</v>
      </c>
      <c r="I15" s="1">
        <v>0.5896</v>
      </c>
      <c r="J15" s="1">
        <v>20.256</v>
      </c>
      <c r="K15" s="1">
        <v>6.3776</v>
      </c>
      <c r="L15" s="1">
        <v>0.0616</v>
      </c>
      <c r="M15" s="1">
        <v>0.0011</v>
      </c>
      <c r="N15" s="1">
        <v>2.1761</v>
      </c>
      <c r="O15" s="1">
        <v>121.176</v>
      </c>
      <c r="P15" s="1">
        <v>1.2608</v>
      </c>
      <c r="Q15" s="1">
        <v>43.3154</v>
      </c>
      <c r="R15" s="1">
        <v>13.6379</v>
      </c>
      <c r="S15" s="1">
        <v>0.1317</v>
      </c>
      <c r="T15" s="1">
        <v>0.0024</v>
      </c>
      <c r="U15" s="1">
        <v>4.6534</v>
      </c>
      <c r="V15" s="1">
        <v>412.85</v>
      </c>
      <c r="W15" s="1">
        <v>0.76</v>
      </c>
      <c r="X15" s="1">
        <v>5.62</v>
      </c>
      <c r="Y15" s="1">
        <v>661.5</v>
      </c>
      <c r="Z15" s="1">
        <v>39.13</v>
      </c>
      <c r="AA15" s="1">
        <v>4.52</v>
      </c>
      <c r="AB15" s="1">
        <v>55.38</v>
      </c>
      <c r="AC15" s="1">
        <v>0.1537</v>
      </c>
      <c r="AD15" s="1">
        <v>59.75</v>
      </c>
      <c r="AE15" s="1">
        <v>5.52</v>
      </c>
      <c r="AF15" s="1">
        <v>55.825</v>
      </c>
      <c r="AG15" s="1">
        <v>0.5532</v>
      </c>
      <c r="AH15" s="1">
        <v>3.5</v>
      </c>
      <c r="AI15" s="1">
        <v>8.91</v>
      </c>
      <c r="AJ15" s="1">
        <v>89.1</v>
      </c>
      <c r="AK15" s="1">
        <v>76.2</v>
      </c>
      <c r="AL15" s="3">
        <f>(O15-O11)/250*100</f>
        <v>42.846</v>
      </c>
      <c r="AM15" s="3">
        <f>(P15-P11)/200*100</f>
        <v>0.5354</v>
      </c>
      <c r="AN15" s="3">
        <f>(Q15-Q11)/180*100</f>
        <v>22.09827778</v>
      </c>
      <c r="AO15" s="1">
        <v>71.13849601</v>
      </c>
      <c r="AP15" s="1">
        <v>96.11040609</v>
      </c>
    </row>
    <row r="16" ht="12.75" customHeight="1">
      <c r="A16" s="1" t="s">
        <v>64</v>
      </c>
      <c r="B16" s="1">
        <v>2.0</v>
      </c>
      <c r="C16" s="1" t="s">
        <v>54</v>
      </c>
      <c r="D16" s="1" t="s">
        <v>65</v>
      </c>
      <c r="E16" s="1" t="s">
        <v>60</v>
      </c>
      <c r="F16" s="4"/>
      <c r="G16" s="4"/>
      <c r="H16" s="1" t="s">
        <v>56</v>
      </c>
      <c r="I16" s="1">
        <v>0.5534</v>
      </c>
      <c r="J16" s="1">
        <v>20.3979</v>
      </c>
      <c r="K16" s="1">
        <v>6.7737</v>
      </c>
      <c r="L16" s="1">
        <v>0.3421</v>
      </c>
      <c r="M16" s="1">
        <v>6.0E-4</v>
      </c>
      <c r="N16" s="1">
        <v>2.2238</v>
      </c>
      <c r="O16" s="1" t="s">
        <v>56</v>
      </c>
      <c r="P16" s="1">
        <v>1.2908</v>
      </c>
      <c r="Q16" s="1">
        <v>47.5765</v>
      </c>
      <c r="R16" s="1">
        <v>15.7991</v>
      </c>
      <c r="S16" s="1">
        <v>0.7979</v>
      </c>
      <c r="T16" s="1">
        <v>0.0014</v>
      </c>
      <c r="U16" s="1">
        <v>5.1868</v>
      </c>
      <c r="V16" s="1">
        <v>300.222</v>
      </c>
      <c r="W16" s="1">
        <v>0.51</v>
      </c>
      <c r="X16" s="1">
        <v>6.12</v>
      </c>
      <c r="Y16" s="1">
        <v>918.22</v>
      </c>
      <c r="Z16" s="1">
        <v>36.0</v>
      </c>
      <c r="AA16" s="1">
        <v>4.61</v>
      </c>
      <c r="AB16" s="1">
        <v>59.03</v>
      </c>
      <c r="AC16" s="1">
        <v>0.159</v>
      </c>
      <c r="AD16" s="1">
        <v>58.25</v>
      </c>
      <c r="AE16" s="1">
        <v>5.22</v>
      </c>
      <c r="AF16" s="1">
        <v>52.225</v>
      </c>
      <c r="AG16" s="1">
        <v>0.5497</v>
      </c>
      <c r="AH16" s="1">
        <v>3.0</v>
      </c>
      <c r="AI16" s="1">
        <v>8.39</v>
      </c>
      <c r="AJ16" s="1">
        <v>83.9</v>
      </c>
      <c r="AK16" s="1">
        <v>71.0</v>
      </c>
      <c r="AL16" s="3" t="str">
        <f t="shared" ref="AL16:AL17" si="10">(O16-O11)/250*100</f>
        <v>#VALUE!</v>
      </c>
      <c r="AM16" s="3">
        <f t="shared" ref="AM16:AM17" si="11">(P16-P11)/200*100</f>
        <v>0.5504</v>
      </c>
      <c r="AN16" s="3">
        <f t="shared" ref="AN16:AN17" si="12">(Q16-Q11)/180*100</f>
        <v>24.46555556</v>
      </c>
      <c r="AO16" s="1" t="s">
        <v>56</v>
      </c>
      <c r="AP16" s="1" t="s">
        <v>56</v>
      </c>
    </row>
    <row r="17" ht="12.75" customHeight="1">
      <c r="A17" s="1" t="s">
        <v>66</v>
      </c>
      <c r="B17" s="1">
        <v>2.0</v>
      </c>
      <c r="C17" s="1" t="s">
        <v>58</v>
      </c>
      <c r="D17" s="1" t="s">
        <v>63</v>
      </c>
      <c r="E17" s="1" t="s">
        <v>60</v>
      </c>
      <c r="F17" s="4"/>
      <c r="G17" s="4"/>
      <c r="H17" s="1">
        <v>13.7</v>
      </c>
      <c r="I17" s="1">
        <v>0.5614</v>
      </c>
      <c r="J17" s="1">
        <v>15.4032</v>
      </c>
      <c r="K17" s="1">
        <v>10.3118</v>
      </c>
      <c r="L17" s="1">
        <v>0.1191</v>
      </c>
      <c r="M17" s="1">
        <v>0.0</v>
      </c>
      <c r="N17" s="1">
        <v>2.1904</v>
      </c>
      <c r="O17" s="1">
        <v>142.2745</v>
      </c>
      <c r="P17" s="1">
        <v>1.3759</v>
      </c>
      <c r="Q17" s="1">
        <v>37.7511</v>
      </c>
      <c r="R17" s="1">
        <v>25.2728</v>
      </c>
      <c r="S17" s="1">
        <v>0.2919</v>
      </c>
      <c r="T17" s="1">
        <v>0.0</v>
      </c>
      <c r="U17" s="1">
        <v>5.3684</v>
      </c>
      <c r="V17" s="1">
        <v>64.35</v>
      </c>
      <c r="W17" s="1">
        <v>2.854</v>
      </c>
      <c r="X17" s="1">
        <v>7.95</v>
      </c>
      <c r="Y17" s="1">
        <v>938.39</v>
      </c>
      <c r="Z17" s="1">
        <v>43.63</v>
      </c>
      <c r="AA17" s="1">
        <v>5.28</v>
      </c>
      <c r="AB17" s="1">
        <v>57.65</v>
      </c>
      <c r="AC17" s="1">
        <v>0.1455</v>
      </c>
      <c r="AD17" s="1">
        <v>60.88</v>
      </c>
      <c r="AE17" s="1">
        <v>6.45</v>
      </c>
      <c r="AF17" s="1">
        <v>54.35</v>
      </c>
      <c r="AG17" s="1">
        <v>0.5526</v>
      </c>
      <c r="AH17" s="1">
        <v>4.25</v>
      </c>
      <c r="AI17" s="1">
        <v>10.39</v>
      </c>
      <c r="AJ17" s="1">
        <v>103.9</v>
      </c>
      <c r="AK17" s="1">
        <v>75.35</v>
      </c>
      <c r="AL17" s="3">
        <f t="shared" si="10"/>
        <v>42.6598</v>
      </c>
      <c r="AM17" s="3">
        <f t="shared" si="11"/>
        <v>0.4702</v>
      </c>
      <c r="AN17" s="3">
        <f t="shared" si="12"/>
        <v>17.59666667</v>
      </c>
      <c r="AO17" s="1">
        <v>70.6988781</v>
      </c>
      <c r="AP17" s="1">
        <v>103.4046806</v>
      </c>
    </row>
    <row r="18" ht="12.75" customHeight="1">
      <c r="A18" s="1" t="s">
        <v>67</v>
      </c>
      <c r="B18" s="1">
        <v>2.0</v>
      </c>
      <c r="C18" s="1" t="s">
        <v>58</v>
      </c>
      <c r="D18" s="1" t="s">
        <v>65</v>
      </c>
      <c r="E18" s="1" t="s">
        <v>60</v>
      </c>
      <c r="F18" s="4"/>
      <c r="G18" s="4"/>
      <c r="H18" s="1">
        <v>10.6</v>
      </c>
      <c r="I18" s="1">
        <v>0.65</v>
      </c>
      <c r="J18" s="1">
        <v>17.2927</v>
      </c>
      <c r="K18" s="1">
        <v>8.1007</v>
      </c>
      <c r="L18" s="1">
        <v>0.1388</v>
      </c>
      <c r="M18" s="1">
        <v>0.0</v>
      </c>
      <c r="N18" s="1">
        <v>2.3167</v>
      </c>
      <c r="O18" s="1">
        <v>107.855</v>
      </c>
      <c r="P18" s="1">
        <v>1.7791</v>
      </c>
      <c r="Q18" s="1">
        <v>47.3314</v>
      </c>
      <c r="R18" s="1">
        <v>22.1722</v>
      </c>
      <c r="S18" s="1">
        <v>0.3799</v>
      </c>
      <c r="T18" s="1">
        <v>0.0</v>
      </c>
      <c r="U18" s="1">
        <v>6.341</v>
      </c>
      <c r="V18" s="1">
        <v>74.35</v>
      </c>
      <c r="W18" s="1">
        <v>2.917</v>
      </c>
      <c r="X18" s="1">
        <v>7.94</v>
      </c>
      <c r="Y18" s="1">
        <v>1063.8</v>
      </c>
      <c r="Z18" s="1">
        <v>41.0</v>
      </c>
      <c r="AA18" s="1">
        <v>4.98</v>
      </c>
      <c r="AB18" s="1">
        <v>54.13</v>
      </c>
      <c r="AC18" s="1">
        <v>0.1554</v>
      </c>
      <c r="AD18" s="1">
        <v>59.75</v>
      </c>
      <c r="AE18" s="1">
        <v>5.7</v>
      </c>
      <c r="AF18" s="1">
        <v>51.725</v>
      </c>
      <c r="AG18" s="1">
        <v>0.5458</v>
      </c>
      <c r="AH18" s="1">
        <v>2.0</v>
      </c>
      <c r="AI18" s="1">
        <v>10.18</v>
      </c>
      <c r="AJ18" s="1">
        <v>101.8</v>
      </c>
      <c r="AK18" s="1">
        <v>73.25</v>
      </c>
      <c r="AL18" s="3">
        <f>(O18-O12)/250*100</f>
        <v>28.892</v>
      </c>
      <c r="AM18" s="3">
        <f>(P18-P12)/200*100</f>
        <v>0.6718</v>
      </c>
      <c r="AN18" s="3">
        <f>(Q18-Q12)/180*100</f>
        <v>22.91905556</v>
      </c>
      <c r="AO18" s="1">
        <v>67.96161513</v>
      </c>
      <c r="AP18" s="1">
        <v>60.62334888</v>
      </c>
    </row>
    <row r="19" ht="12.75" customHeight="1">
      <c r="A19" s="1" t="s">
        <v>53</v>
      </c>
      <c r="B19" s="1">
        <v>3.0</v>
      </c>
      <c r="C19" s="1" t="s">
        <v>54</v>
      </c>
      <c r="D19" s="1" t="s">
        <v>55</v>
      </c>
      <c r="E19" s="1" t="s">
        <v>55</v>
      </c>
      <c r="F19" s="4"/>
      <c r="G19" s="4"/>
      <c r="H19" s="1">
        <v>9.3</v>
      </c>
      <c r="I19" s="1">
        <v>0.7144</v>
      </c>
      <c r="J19" s="1">
        <v>14.9758</v>
      </c>
      <c r="K19" s="1">
        <v>21.5247</v>
      </c>
      <c r="L19" s="1">
        <v>0.0564</v>
      </c>
      <c r="M19" s="1">
        <v>2.0E-4</v>
      </c>
      <c r="N19" s="1">
        <v>5.0178</v>
      </c>
      <c r="O19" s="1">
        <v>14.694</v>
      </c>
      <c r="P19" s="1">
        <v>0.219</v>
      </c>
      <c r="Q19" s="1">
        <v>4.5904</v>
      </c>
      <c r="R19" s="1">
        <v>6.5978</v>
      </c>
      <c r="S19" s="1">
        <v>0.0173</v>
      </c>
      <c r="T19" s="1">
        <v>1.0E-4</v>
      </c>
      <c r="U19" s="1">
        <v>1.5381</v>
      </c>
      <c r="V19" s="1">
        <v>288.35</v>
      </c>
      <c r="W19" s="1">
        <v>0.0</v>
      </c>
      <c r="X19" s="1">
        <v>5.43</v>
      </c>
      <c r="Y19" s="1">
        <v>337.61</v>
      </c>
      <c r="Z19" s="1">
        <v>25.63</v>
      </c>
      <c r="AA19" s="1">
        <v>4.55</v>
      </c>
      <c r="AB19" s="1">
        <v>38.53</v>
      </c>
      <c r="AC19" s="1">
        <v>0.154</v>
      </c>
      <c r="AD19" s="1">
        <v>32.0</v>
      </c>
      <c r="AE19" s="1">
        <v>4.54</v>
      </c>
      <c r="AF19" s="1">
        <v>26.725</v>
      </c>
      <c r="AG19" s="1">
        <v>0.5474</v>
      </c>
      <c r="AH19" s="1">
        <v>0.0</v>
      </c>
      <c r="AI19" s="1">
        <v>1.58</v>
      </c>
      <c r="AJ19" s="1" t="s">
        <v>56</v>
      </c>
      <c r="AK19" s="1" t="s">
        <v>56</v>
      </c>
      <c r="AL19" s="3" t="s">
        <v>56</v>
      </c>
      <c r="AM19" s="3" t="s">
        <v>56</v>
      </c>
      <c r="AN19" s="3" t="s">
        <v>56</v>
      </c>
      <c r="AO19" s="1" t="s">
        <v>56</v>
      </c>
      <c r="AP19" s="1">
        <v>67.09589041</v>
      </c>
    </row>
    <row r="20" ht="12.75" customHeight="1">
      <c r="A20" s="1" t="s">
        <v>57</v>
      </c>
      <c r="B20" s="1">
        <v>3.0</v>
      </c>
      <c r="C20" s="1" t="s">
        <v>58</v>
      </c>
      <c r="D20" s="1" t="s">
        <v>55</v>
      </c>
      <c r="E20" s="1" t="s">
        <v>55</v>
      </c>
      <c r="F20" s="4"/>
      <c r="G20" s="4"/>
      <c r="H20" s="1">
        <v>13.0</v>
      </c>
      <c r="I20" s="1">
        <v>0.8987</v>
      </c>
      <c r="J20" s="1">
        <v>14.111</v>
      </c>
      <c r="K20" s="1">
        <v>24.0105</v>
      </c>
      <c r="L20" s="1">
        <v>0.3029</v>
      </c>
      <c r="M20" s="1">
        <v>0.0</v>
      </c>
      <c r="N20" s="1">
        <v>4.0048</v>
      </c>
      <c r="O20" s="1">
        <v>37.635</v>
      </c>
      <c r="P20" s="1">
        <v>0.4995</v>
      </c>
      <c r="Q20" s="1">
        <v>7.8435</v>
      </c>
      <c r="R20" s="1">
        <v>13.346</v>
      </c>
      <c r="S20" s="1">
        <v>0.1684</v>
      </c>
      <c r="T20" s="1">
        <v>0.0</v>
      </c>
      <c r="U20" s="1">
        <v>2.226</v>
      </c>
      <c r="V20" s="1">
        <v>39.818</v>
      </c>
      <c r="W20" s="1">
        <v>0.175</v>
      </c>
      <c r="X20" s="1">
        <v>8.02</v>
      </c>
      <c r="Y20" s="1">
        <v>890.47</v>
      </c>
      <c r="Z20" s="1">
        <v>29.75</v>
      </c>
      <c r="AA20" s="1">
        <v>4.04</v>
      </c>
      <c r="AB20" s="1">
        <v>34.55</v>
      </c>
      <c r="AC20" s="1">
        <v>0.1474</v>
      </c>
      <c r="AD20" s="1">
        <v>33.13</v>
      </c>
      <c r="AE20" s="1">
        <v>3.93</v>
      </c>
      <c r="AF20" s="1">
        <v>33.375</v>
      </c>
      <c r="AG20" s="1">
        <v>0.5563</v>
      </c>
      <c r="AH20" s="1">
        <v>0.0</v>
      </c>
      <c r="AI20" s="1">
        <v>2.9</v>
      </c>
      <c r="AJ20" s="1" t="s">
        <v>56</v>
      </c>
      <c r="AK20" s="1" t="s">
        <v>56</v>
      </c>
      <c r="AL20" s="3" t="s">
        <v>56</v>
      </c>
      <c r="AM20" s="3" t="s">
        <v>56</v>
      </c>
      <c r="AN20" s="3" t="s">
        <v>56</v>
      </c>
      <c r="AO20" s="1" t="s">
        <v>56</v>
      </c>
      <c r="AP20" s="1">
        <v>75.34534535</v>
      </c>
    </row>
    <row r="21" ht="12.75" customHeight="1">
      <c r="A21" s="1" t="s">
        <v>59</v>
      </c>
      <c r="B21" s="1">
        <v>3.0</v>
      </c>
      <c r="C21" s="1" t="s">
        <v>54</v>
      </c>
      <c r="D21" s="1" t="s">
        <v>55</v>
      </c>
      <c r="E21" s="1" t="s">
        <v>60</v>
      </c>
      <c r="F21" s="4"/>
      <c r="G21" s="4"/>
      <c r="H21" s="1">
        <v>18.1</v>
      </c>
      <c r="I21" s="1">
        <v>0.5162</v>
      </c>
      <c r="J21" s="1">
        <v>19.1719</v>
      </c>
      <c r="K21" s="1">
        <v>8.5162</v>
      </c>
      <c r="L21" s="1">
        <v>0.1759</v>
      </c>
      <c r="M21" s="1">
        <v>0.0036</v>
      </c>
      <c r="N21" s="1">
        <v>2.6082</v>
      </c>
      <c r="O21" s="1">
        <v>137.017</v>
      </c>
      <c r="P21" s="1">
        <v>0.9456</v>
      </c>
      <c r="Q21" s="1">
        <v>35.1218</v>
      </c>
      <c r="R21" s="1">
        <v>15.6012</v>
      </c>
      <c r="S21" s="1">
        <v>0.3222</v>
      </c>
      <c r="T21" s="1">
        <v>0.0066</v>
      </c>
      <c r="U21" s="1">
        <v>4.7781</v>
      </c>
      <c r="V21" s="1">
        <v>298.35</v>
      </c>
      <c r="W21" s="1">
        <v>0.0</v>
      </c>
      <c r="X21" s="1">
        <v>5.28</v>
      </c>
      <c r="Y21" s="1">
        <v>512.31</v>
      </c>
      <c r="Z21" s="1">
        <v>38.38</v>
      </c>
      <c r="AA21" s="1">
        <v>4.37</v>
      </c>
      <c r="AB21" s="1">
        <v>56.23</v>
      </c>
      <c r="AC21" s="1">
        <v>0.1594</v>
      </c>
      <c r="AD21" s="1">
        <v>55.63</v>
      </c>
      <c r="AE21" s="1">
        <v>5.13</v>
      </c>
      <c r="AF21" s="1">
        <v>58.125</v>
      </c>
      <c r="AG21" s="1">
        <v>0.5492</v>
      </c>
      <c r="AH21" s="1">
        <v>2.5</v>
      </c>
      <c r="AI21" s="1">
        <v>7.57</v>
      </c>
      <c r="AJ21" s="1">
        <v>75.7</v>
      </c>
      <c r="AK21" s="1">
        <v>59.9</v>
      </c>
      <c r="AL21" s="3">
        <f t="shared" ref="AL21:AL22" si="13">(O21-O19)/250*100</f>
        <v>48.9292</v>
      </c>
      <c r="AM21" s="3">
        <f t="shared" ref="AM21:AM22" si="14">(P21-P19)/200*100</f>
        <v>0.3633</v>
      </c>
      <c r="AN21" s="3">
        <f t="shared" ref="AN21:AN22" si="15">(Q21-Q19)/180*100</f>
        <v>16.96188889</v>
      </c>
      <c r="AO21" s="1">
        <v>48.96871398</v>
      </c>
      <c r="AP21" s="1">
        <v>144.8995347</v>
      </c>
    </row>
    <row r="22" ht="12.75" customHeight="1">
      <c r="A22" s="1" t="s">
        <v>61</v>
      </c>
      <c r="B22" s="1">
        <v>3.0</v>
      </c>
      <c r="C22" s="1" t="s">
        <v>58</v>
      </c>
      <c r="D22" s="1" t="s">
        <v>55</v>
      </c>
      <c r="E22" s="1" t="s">
        <v>60</v>
      </c>
      <c r="F22" s="4"/>
      <c r="G22" s="4"/>
      <c r="H22" s="1">
        <v>14.3</v>
      </c>
      <c r="I22" s="1">
        <v>0.5844</v>
      </c>
      <c r="J22" s="1">
        <v>15.7243</v>
      </c>
      <c r="K22" s="1">
        <v>10.5573</v>
      </c>
      <c r="L22" s="1">
        <v>0.1079</v>
      </c>
      <c r="M22" s="1">
        <v>0.0</v>
      </c>
      <c r="N22" s="1">
        <v>2.4306</v>
      </c>
      <c r="O22" s="1">
        <v>135.7785</v>
      </c>
      <c r="P22" s="1">
        <v>1.4483</v>
      </c>
      <c r="Q22" s="1">
        <v>38.9679</v>
      </c>
      <c r="R22" s="1">
        <v>26.163</v>
      </c>
      <c r="S22" s="1">
        <v>0.2674</v>
      </c>
      <c r="T22" s="1">
        <v>0.0</v>
      </c>
      <c r="U22" s="1">
        <v>6.0235</v>
      </c>
      <c r="V22" s="1">
        <v>60.26</v>
      </c>
      <c r="W22" s="1">
        <v>1.74</v>
      </c>
      <c r="X22" s="1">
        <v>7.83</v>
      </c>
      <c r="Y22" s="1">
        <v>1201.2</v>
      </c>
      <c r="Z22" s="1">
        <v>39.38</v>
      </c>
      <c r="AA22" s="1">
        <v>4.74</v>
      </c>
      <c r="AB22" s="1">
        <v>56.98</v>
      </c>
      <c r="AC22" s="1">
        <v>0.1553</v>
      </c>
      <c r="AD22" s="1">
        <v>59.88</v>
      </c>
      <c r="AE22" s="1">
        <v>5.83</v>
      </c>
      <c r="AF22" s="1">
        <v>51.75</v>
      </c>
      <c r="AG22" s="1">
        <v>0.5408</v>
      </c>
      <c r="AH22" s="1">
        <v>2.5</v>
      </c>
      <c r="AI22" s="1">
        <v>9.5</v>
      </c>
      <c r="AJ22" s="1">
        <v>95.0</v>
      </c>
      <c r="AK22" s="1">
        <v>66.0</v>
      </c>
      <c r="AL22" s="3">
        <f t="shared" si="13"/>
        <v>39.2574</v>
      </c>
      <c r="AM22" s="3">
        <f t="shared" si="14"/>
        <v>0.4744</v>
      </c>
      <c r="AN22" s="3">
        <f t="shared" si="15"/>
        <v>17.29133333</v>
      </c>
      <c r="AO22" s="1">
        <v>67.2484678</v>
      </c>
      <c r="AP22" s="1">
        <v>93.75025892</v>
      </c>
    </row>
    <row r="23" ht="12.75" customHeight="1">
      <c r="A23" s="1" t="s">
        <v>62</v>
      </c>
      <c r="B23" s="1">
        <v>3.0</v>
      </c>
      <c r="C23" s="1" t="s">
        <v>54</v>
      </c>
      <c r="D23" s="1" t="s">
        <v>63</v>
      </c>
      <c r="E23" s="1" t="s">
        <v>60</v>
      </c>
      <c r="F23" s="4"/>
      <c r="G23" s="4"/>
      <c r="H23" s="1">
        <v>17.0</v>
      </c>
      <c r="I23" s="1">
        <v>0.4816</v>
      </c>
      <c r="J23" s="1">
        <v>20.1361</v>
      </c>
      <c r="K23" s="1">
        <v>6.9876</v>
      </c>
      <c r="L23" s="1">
        <v>0.2059</v>
      </c>
      <c r="M23" s="1">
        <v>0.0016</v>
      </c>
      <c r="N23" s="1">
        <v>2.6175</v>
      </c>
      <c r="O23" s="1">
        <v>123.25</v>
      </c>
      <c r="P23" s="1">
        <v>0.817</v>
      </c>
      <c r="Q23" s="1">
        <v>34.1609</v>
      </c>
      <c r="R23" s="1">
        <v>11.8545</v>
      </c>
      <c r="S23" s="1">
        <v>0.3493</v>
      </c>
      <c r="T23" s="1">
        <v>0.0027</v>
      </c>
      <c r="U23" s="1">
        <v>4.4406</v>
      </c>
      <c r="V23" s="1">
        <v>417.35</v>
      </c>
      <c r="W23" s="1">
        <v>0.0</v>
      </c>
      <c r="X23" s="1">
        <v>5.51</v>
      </c>
      <c r="Y23" s="1">
        <v>1172.7</v>
      </c>
      <c r="Z23" s="1">
        <v>38.5</v>
      </c>
      <c r="AA23" s="1">
        <v>4.95</v>
      </c>
      <c r="AB23" s="1">
        <v>59.33</v>
      </c>
      <c r="AC23" s="1">
        <v>0.1608</v>
      </c>
      <c r="AD23" s="1">
        <v>58.13</v>
      </c>
      <c r="AE23" s="1">
        <v>5.51</v>
      </c>
      <c r="AF23" s="1">
        <v>61.7</v>
      </c>
      <c r="AG23" s="1">
        <v>0.5476</v>
      </c>
      <c r="AH23" s="1">
        <v>3.25</v>
      </c>
      <c r="AI23" s="1">
        <v>7.25</v>
      </c>
      <c r="AJ23" s="1">
        <v>72.5</v>
      </c>
      <c r="AK23" s="1">
        <v>56.7</v>
      </c>
      <c r="AL23" s="3">
        <f>(O23-O19)/250*100</f>
        <v>43.4224</v>
      </c>
      <c r="AM23" s="3">
        <f>(P23-P19)/200*100</f>
        <v>0.299</v>
      </c>
      <c r="AN23" s="3">
        <f>(Q23-Q19)/180*100</f>
        <v>16.42805556</v>
      </c>
      <c r="AO23" s="1">
        <v>52.23110653</v>
      </c>
      <c r="AP23" s="1">
        <v>150.8567931</v>
      </c>
    </row>
    <row r="24" ht="12.75" customHeight="1">
      <c r="A24" s="1" t="s">
        <v>64</v>
      </c>
      <c r="B24" s="1">
        <v>3.0</v>
      </c>
      <c r="C24" s="1" t="s">
        <v>54</v>
      </c>
      <c r="D24" s="1" t="s">
        <v>65</v>
      </c>
      <c r="E24" s="1" t="s">
        <v>60</v>
      </c>
      <c r="F24" s="4"/>
      <c r="G24" s="4"/>
      <c r="H24" s="1">
        <v>15.5</v>
      </c>
      <c r="I24" s="1">
        <v>0.4747</v>
      </c>
      <c r="J24" s="1">
        <v>19.4925</v>
      </c>
      <c r="K24" s="1">
        <v>8.5988</v>
      </c>
      <c r="L24" s="1">
        <v>0.1006</v>
      </c>
      <c r="M24" s="1">
        <v>9.0E-4</v>
      </c>
      <c r="N24" s="1">
        <v>2.3257</v>
      </c>
      <c r="O24" s="1">
        <v>141.515</v>
      </c>
      <c r="P24" s="1">
        <v>1.0055</v>
      </c>
      <c r="Q24" s="1">
        <v>41.2882</v>
      </c>
      <c r="R24" s="1">
        <v>18.2136</v>
      </c>
      <c r="S24" s="1">
        <v>0.2131</v>
      </c>
      <c r="T24" s="1">
        <v>0.0019</v>
      </c>
      <c r="U24" s="1">
        <v>4.9262</v>
      </c>
      <c r="V24" s="1">
        <v>344.871</v>
      </c>
      <c r="W24" s="1">
        <v>0.0</v>
      </c>
      <c r="X24" s="1">
        <v>5.52</v>
      </c>
      <c r="Y24" s="1">
        <v>760.81</v>
      </c>
      <c r="Z24" s="1">
        <v>41.13</v>
      </c>
      <c r="AA24" s="1">
        <v>4.57</v>
      </c>
      <c r="AB24" s="1">
        <v>57.3</v>
      </c>
      <c r="AC24" s="1">
        <v>0.1547</v>
      </c>
      <c r="AD24" s="1">
        <v>56.75</v>
      </c>
      <c r="AE24" s="1">
        <v>5.38</v>
      </c>
      <c r="AF24" s="1">
        <v>63.9</v>
      </c>
      <c r="AG24" s="1">
        <v>0.5466</v>
      </c>
      <c r="AH24" s="1">
        <v>3.0</v>
      </c>
      <c r="AI24" s="1">
        <v>9.13</v>
      </c>
      <c r="AJ24" s="1">
        <v>91.3</v>
      </c>
      <c r="AK24" s="1">
        <v>75.5</v>
      </c>
      <c r="AL24" s="3">
        <f t="shared" ref="AL24:AL25" si="16">(O24-O19)/250*100</f>
        <v>50.7284</v>
      </c>
      <c r="AM24" s="3">
        <f t="shared" ref="AM24:AM25" si="17">(P24-P19)/200*100</f>
        <v>0.39325</v>
      </c>
      <c r="AN24" s="3">
        <f t="shared" ref="AN24:AN25" si="18">(Q24-Q19)/180*100</f>
        <v>20.38766667</v>
      </c>
      <c r="AO24" s="1">
        <v>59.53272723</v>
      </c>
      <c r="AP24" s="1">
        <v>140.7409249</v>
      </c>
    </row>
    <row r="25" ht="12.75" customHeight="1">
      <c r="A25" s="1" t="s">
        <v>66</v>
      </c>
      <c r="B25" s="1">
        <v>3.0</v>
      </c>
      <c r="C25" s="1" t="s">
        <v>58</v>
      </c>
      <c r="D25" s="1" t="s">
        <v>63</v>
      </c>
      <c r="E25" s="1" t="s">
        <v>60</v>
      </c>
      <c r="F25" s="4"/>
      <c r="G25" s="4"/>
      <c r="H25" s="1">
        <v>11.8</v>
      </c>
      <c r="I25" s="1">
        <v>0.7385</v>
      </c>
      <c r="J25" s="1">
        <v>13.7302</v>
      </c>
      <c r="K25" s="1">
        <v>8.0013</v>
      </c>
      <c r="L25" s="1">
        <v>0.1004</v>
      </c>
      <c r="M25" s="1">
        <v>2.0E-4</v>
      </c>
      <c r="N25" s="1">
        <v>1.9888</v>
      </c>
      <c r="O25" s="1">
        <v>170.51</v>
      </c>
      <c r="P25" s="1">
        <v>2.6998</v>
      </c>
      <c r="Q25" s="1">
        <v>50.1956</v>
      </c>
      <c r="R25" s="1">
        <v>29.2516</v>
      </c>
      <c r="S25" s="1">
        <v>0.367</v>
      </c>
      <c r="T25" s="1">
        <v>7.0E-4</v>
      </c>
      <c r="U25" s="1">
        <v>7.2708</v>
      </c>
      <c r="V25" s="1">
        <v>59.85</v>
      </c>
      <c r="W25" s="1">
        <v>1.613</v>
      </c>
      <c r="X25" s="1">
        <v>7.62</v>
      </c>
      <c r="Y25" s="1">
        <v>1265.3</v>
      </c>
      <c r="Z25" s="1">
        <v>45.63</v>
      </c>
      <c r="AA25" s="1">
        <v>4.61</v>
      </c>
      <c r="AB25" s="1">
        <v>54.0</v>
      </c>
      <c r="AC25" s="1">
        <v>0.1353</v>
      </c>
      <c r="AD25" s="1">
        <v>66.38</v>
      </c>
      <c r="AE25" s="1">
        <v>5.74</v>
      </c>
      <c r="AF25" s="1">
        <v>51.45</v>
      </c>
      <c r="AG25" s="1">
        <v>0.5451</v>
      </c>
      <c r="AH25" s="1">
        <v>3.5</v>
      </c>
      <c r="AI25" s="1">
        <v>14.45</v>
      </c>
      <c r="AJ25" s="1">
        <v>144.5</v>
      </c>
      <c r="AK25" s="1">
        <v>115.55</v>
      </c>
      <c r="AL25" s="3">
        <f t="shared" si="16"/>
        <v>53.15</v>
      </c>
      <c r="AM25" s="3">
        <f t="shared" si="17"/>
        <v>1.10015</v>
      </c>
      <c r="AN25" s="3">
        <f t="shared" si="18"/>
        <v>23.52894444</v>
      </c>
      <c r="AO25" s="1">
        <v>86.92380056</v>
      </c>
      <c r="AP25" s="1">
        <v>63.15653011</v>
      </c>
    </row>
    <row r="26" ht="12.75" customHeight="1">
      <c r="A26" s="1" t="s">
        <v>67</v>
      </c>
      <c r="B26" s="1">
        <v>3.0</v>
      </c>
      <c r="C26" s="1" t="s">
        <v>58</v>
      </c>
      <c r="D26" s="1" t="s">
        <v>65</v>
      </c>
      <c r="E26" s="1" t="s">
        <v>60</v>
      </c>
      <c r="F26" s="4"/>
      <c r="G26" s="4"/>
      <c r="H26" s="1">
        <v>9.3</v>
      </c>
      <c r="I26" s="1">
        <v>0.5558</v>
      </c>
      <c r="J26" s="1">
        <v>16.6143</v>
      </c>
      <c r="K26" s="1">
        <v>8.331</v>
      </c>
      <c r="L26" s="1">
        <v>0.0886</v>
      </c>
      <c r="M26" s="1">
        <v>0.0</v>
      </c>
      <c r="N26" s="1">
        <v>2.1467</v>
      </c>
      <c r="O26" s="1">
        <v>89.187</v>
      </c>
      <c r="P26" s="1">
        <v>1.3165</v>
      </c>
      <c r="Q26" s="1">
        <v>39.3548</v>
      </c>
      <c r="R26" s="1">
        <v>19.7339</v>
      </c>
      <c r="S26" s="1">
        <v>0.2099</v>
      </c>
      <c r="T26" s="1">
        <v>0.0</v>
      </c>
      <c r="U26" s="1">
        <v>5.085</v>
      </c>
      <c r="V26" s="1">
        <v>70.35</v>
      </c>
      <c r="W26" s="1">
        <v>1.719</v>
      </c>
      <c r="X26" s="1">
        <v>8.06</v>
      </c>
      <c r="Y26" s="1">
        <v>901.52</v>
      </c>
      <c r="Z26" s="1">
        <v>40.75</v>
      </c>
      <c r="AA26" s="1">
        <v>4.79</v>
      </c>
      <c r="AB26" s="1">
        <v>54.78</v>
      </c>
      <c r="AC26" s="1">
        <v>0.1526</v>
      </c>
      <c r="AD26" s="1">
        <v>59.75</v>
      </c>
      <c r="AE26" s="1">
        <v>5.67</v>
      </c>
      <c r="AF26" s="1">
        <v>49.375</v>
      </c>
      <c r="AG26" s="1">
        <v>0.5387</v>
      </c>
      <c r="AH26" s="1">
        <v>3.5</v>
      </c>
      <c r="AI26" s="1">
        <v>9.59</v>
      </c>
      <c r="AJ26" s="1">
        <v>95.9</v>
      </c>
      <c r="AK26" s="1">
        <v>66.95</v>
      </c>
      <c r="AL26" s="3">
        <f>(O26-O20)/250*100</f>
        <v>20.6208</v>
      </c>
      <c r="AM26" s="3">
        <f>(P26-P20)/200*100</f>
        <v>0.4085</v>
      </c>
      <c r="AN26" s="3">
        <f>(Q26-Q20)/180*100</f>
        <v>17.50627778</v>
      </c>
      <c r="AO26" s="1">
        <v>75.01093209</v>
      </c>
      <c r="AP26" s="1">
        <v>67.74553741</v>
      </c>
    </row>
    <row r="27" ht="12.75" customHeight="1">
      <c r="A27" s="1" t="s">
        <v>53</v>
      </c>
      <c r="B27" s="1">
        <v>4.0</v>
      </c>
      <c r="C27" s="1" t="s">
        <v>54</v>
      </c>
      <c r="D27" s="1" t="s">
        <v>55</v>
      </c>
      <c r="E27" s="1" t="s">
        <v>55</v>
      </c>
      <c r="F27" s="4"/>
      <c r="G27" s="4"/>
      <c r="H27" s="1">
        <v>10.8</v>
      </c>
      <c r="I27" s="1">
        <v>0.8199</v>
      </c>
      <c r="J27" s="1">
        <v>17.5883</v>
      </c>
      <c r="K27" s="1">
        <v>21.5178</v>
      </c>
      <c r="L27" s="1">
        <v>0.0714</v>
      </c>
      <c r="M27" s="1">
        <v>8.0E-4</v>
      </c>
      <c r="N27" s="1">
        <v>5.3349</v>
      </c>
      <c r="O27" s="1">
        <v>20.196</v>
      </c>
      <c r="P27" s="1">
        <v>0.3388</v>
      </c>
      <c r="Q27" s="1">
        <v>7.2687</v>
      </c>
      <c r="R27" s="1">
        <v>8.8927</v>
      </c>
      <c r="S27" s="1">
        <v>0.0295</v>
      </c>
      <c r="T27" s="1">
        <v>3.0E-4</v>
      </c>
      <c r="U27" s="1">
        <v>2.2048</v>
      </c>
      <c r="V27" s="1">
        <v>418.213</v>
      </c>
      <c r="W27" s="1">
        <v>0.479</v>
      </c>
      <c r="X27" s="1">
        <v>5.57</v>
      </c>
      <c r="Y27" s="1">
        <v>482.52</v>
      </c>
      <c r="Z27" s="1">
        <v>22.25</v>
      </c>
      <c r="AA27" s="1">
        <v>3.88</v>
      </c>
      <c r="AB27" s="1">
        <v>38.6</v>
      </c>
      <c r="AC27" s="1">
        <v>0.1374</v>
      </c>
      <c r="AD27" s="1">
        <v>30.13</v>
      </c>
      <c r="AE27" s="1">
        <v>3.81</v>
      </c>
      <c r="AF27" s="1">
        <v>27.6</v>
      </c>
      <c r="AG27" s="1">
        <v>0.556</v>
      </c>
      <c r="AH27" s="1">
        <v>0.0</v>
      </c>
      <c r="AI27" s="1">
        <v>1.87</v>
      </c>
      <c r="AJ27" s="1" t="s">
        <v>56</v>
      </c>
      <c r="AK27" s="1" t="s">
        <v>56</v>
      </c>
      <c r="AL27" s="3" t="s">
        <v>56</v>
      </c>
      <c r="AM27" s="3" t="s">
        <v>56</v>
      </c>
      <c r="AN27" s="3" t="s">
        <v>56</v>
      </c>
      <c r="AO27" s="1" t="s">
        <v>56</v>
      </c>
      <c r="AP27" s="1">
        <v>59.61038961</v>
      </c>
    </row>
    <row r="28" ht="12.75" customHeight="1">
      <c r="A28" s="1" t="s">
        <v>57</v>
      </c>
      <c r="B28" s="1">
        <v>4.0</v>
      </c>
      <c r="C28" s="1" t="s">
        <v>58</v>
      </c>
      <c r="D28" s="1" t="s">
        <v>55</v>
      </c>
      <c r="E28" s="1" t="s">
        <v>55</v>
      </c>
      <c r="F28" s="4"/>
      <c r="G28" s="4"/>
      <c r="H28" s="1">
        <v>12.9</v>
      </c>
      <c r="I28" s="1">
        <v>0.7719</v>
      </c>
      <c r="J28" s="1">
        <v>12.4366</v>
      </c>
      <c r="K28" s="1">
        <v>26.3509</v>
      </c>
      <c r="L28" s="1">
        <v>0.0978</v>
      </c>
      <c r="M28" s="1">
        <v>0.0</v>
      </c>
      <c r="N28" s="1">
        <v>4.0973</v>
      </c>
      <c r="O28" s="1">
        <v>47.9235</v>
      </c>
      <c r="P28" s="1">
        <v>0.5936</v>
      </c>
      <c r="Q28" s="1">
        <v>9.5638</v>
      </c>
      <c r="R28" s="1">
        <v>20.264</v>
      </c>
      <c r="S28" s="1">
        <v>0.0752</v>
      </c>
      <c r="T28" s="1">
        <v>0.0</v>
      </c>
      <c r="U28" s="1">
        <v>3.1508</v>
      </c>
      <c r="V28" s="1">
        <v>52.115</v>
      </c>
      <c r="W28" s="1">
        <v>3.781</v>
      </c>
      <c r="X28" s="1">
        <v>8.09</v>
      </c>
      <c r="Y28" s="1">
        <v>727.58</v>
      </c>
      <c r="Z28" s="1">
        <v>31.25</v>
      </c>
      <c r="AA28" s="1">
        <v>4.91</v>
      </c>
      <c r="AB28" s="1">
        <v>41.7</v>
      </c>
      <c r="AC28" s="1">
        <v>0.1416</v>
      </c>
      <c r="AD28" s="1">
        <v>44.25</v>
      </c>
      <c r="AE28" s="1">
        <v>4.97</v>
      </c>
      <c r="AF28" s="1">
        <v>43.725</v>
      </c>
      <c r="AG28" s="1">
        <v>0.5486</v>
      </c>
      <c r="AH28" s="1">
        <v>1.75</v>
      </c>
      <c r="AI28" s="1">
        <v>3.72</v>
      </c>
      <c r="AJ28" s="1" t="s">
        <v>56</v>
      </c>
      <c r="AK28" s="1" t="s">
        <v>56</v>
      </c>
      <c r="AL28" s="3" t="s">
        <v>56</v>
      </c>
      <c r="AM28" s="3" t="s">
        <v>56</v>
      </c>
      <c r="AN28" s="3" t="s">
        <v>56</v>
      </c>
      <c r="AO28" s="1" t="s">
        <v>56</v>
      </c>
      <c r="AP28" s="1">
        <v>80.73365903</v>
      </c>
    </row>
    <row r="29" ht="12.75" customHeight="1">
      <c r="A29" s="1" t="s">
        <v>59</v>
      </c>
      <c r="B29" s="1">
        <v>4.0</v>
      </c>
      <c r="C29" s="1" t="s">
        <v>54</v>
      </c>
      <c r="D29" s="1" t="s">
        <v>55</v>
      </c>
      <c r="E29" s="1" t="s">
        <v>60</v>
      </c>
      <c r="F29" s="4"/>
      <c r="G29" s="4"/>
      <c r="H29" s="1">
        <v>15.6</v>
      </c>
      <c r="I29" s="1">
        <v>0.4974</v>
      </c>
      <c r="J29" s="1">
        <v>15.3549</v>
      </c>
      <c r="K29" s="1">
        <v>5.2426</v>
      </c>
      <c r="L29" s="1">
        <v>0.0928</v>
      </c>
      <c r="M29" s="1">
        <v>0.0</v>
      </c>
      <c r="N29" s="1">
        <v>1.9987</v>
      </c>
      <c r="O29" s="1">
        <v>112.866</v>
      </c>
      <c r="P29" s="1">
        <v>0.7953</v>
      </c>
      <c r="Q29" s="1">
        <v>24.5515</v>
      </c>
      <c r="R29" s="1">
        <v>8.3826</v>
      </c>
      <c r="S29" s="1">
        <v>0.1484</v>
      </c>
      <c r="T29" s="1">
        <v>0.0</v>
      </c>
      <c r="U29" s="1">
        <v>3.1958</v>
      </c>
      <c r="V29" s="1">
        <v>443.15</v>
      </c>
      <c r="W29" s="1">
        <v>0.771</v>
      </c>
      <c r="X29" s="1">
        <v>5.28</v>
      </c>
      <c r="Y29" s="1">
        <v>679.45</v>
      </c>
      <c r="Z29" s="1">
        <v>41.13</v>
      </c>
      <c r="AA29" s="1">
        <v>4.53</v>
      </c>
      <c r="AB29" s="1">
        <v>64.15</v>
      </c>
      <c r="AC29" s="1">
        <v>0.1438</v>
      </c>
      <c r="AD29" s="1">
        <v>57.63</v>
      </c>
      <c r="AE29" s="1">
        <v>5.4</v>
      </c>
      <c r="AF29" s="1">
        <v>58.0</v>
      </c>
      <c r="AG29" s="1">
        <v>0.5314</v>
      </c>
      <c r="AH29" s="1">
        <v>3.75</v>
      </c>
      <c r="AI29" s="1">
        <v>7.24</v>
      </c>
      <c r="AJ29" s="1">
        <v>72.4</v>
      </c>
      <c r="AK29" s="1">
        <v>53.65</v>
      </c>
      <c r="AL29" s="3">
        <f t="shared" ref="AL29:AL30" si="19">(O29-O27)/250*100</f>
        <v>37.068</v>
      </c>
      <c r="AM29" s="3">
        <f t="shared" ref="AM29:AM30" si="20">(P29-P27)/200*100</f>
        <v>0.22825</v>
      </c>
      <c r="AN29" s="3">
        <f t="shared" ref="AN29:AN30" si="21">(Q29-Q27)/180*100</f>
        <v>9.601555556</v>
      </c>
      <c r="AO29" s="1">
        <v>57.94755584</v>
      </c>
      <c r="AP29" s="1">
        <v>141.916258</v>
      </c>
    </row>
    <row r="30" ht="12.75" customHeight="1">
      <c r="A30" s="1" t="s">
        <v>61</v>
      </c>
      <c r="B30" s="1">
        <v>4.0</v>
      </c>
      <c r="C30" s="1" t="s">
        <v>58</v>
      </c>
      <c r="D30" s="1" t="s">
        <v>55</v>
      </c>
      <c r="E30" s="1" t="s">
        <v>60</v>
      </c>
      <c r="F30" s="4"/>
      <c r="G30" s="4"/>
      <c r="H30" s="1">
        <v>13.4</v>
      </c>
      <c r="I30" s="1">
        <v>0.5181</v>
      </c>
      <c r="J30" s="1">
        <v>16.336</v>
      </c>
      <c r="K30" s="1">
        <v>10.9099</v>
      </c>
      <c r="L30" s="1">
        <v>0.139</v>
      </c>
      <c r="M30" s="1">
        <v>0.0</v>
      </c>
      <c r="N30" s="1">
        <v>2.5954</v>
      </c>
      <c r="O30" s="1">
        <v>125.424</v>
      </c>
      <c r="P30" s="1">
        <v>1.1978</v>
      </c>
      <c r="Q30" s="1">
        <v>37.7675</v>
      </c>
      <c r="R30" s="1">
        <v>25.2228</v>
      </c>
      <c r="S30" s="1">
        <v>0.3214</v>
      </c>
      <c r="T30" s="1">
        <v>0.0</v>
      </c>
      <c r="U30" s="1">
        <v>6.0004</v>
      </c>
      <c r="V30" s="1">
        <v>84.65</v>
      </c>
      <c r="W30" s="1">
        <v>3.927</v>
      </c>
      <c r="X30" s="1">
        <v>7.61</v>
      </c>
      <c r="Y30" s="1">
        <v>1478.1</v>
      </c>
      <c r="Z30" s="1">
        <v>38.0</v>
      </c>
      <c r="AA30" s="1">
        <v>4.63</v>
      </c>
      <c r="AB30" s="1">
        <v>56.28</v>
      </c>
      <c r="AC30" s="1">
        <v>0.1408</v>
      </c>
      <c r="AD30" s="1">
        <v>57.75</v>
      </c>
      <c r="AE30" s="1">
        <v>5.54</v>
      </c>
      <c r="AF30" s="1">
        <v>51.675</v>
      </c>
      <c r="AG30" s="1">
        <v>0.5465</v>
      </c>
      <c r="AH30" s="1">
        <v>3.5</v>
      </c>
      <c r="AI30" s="1">
        <v>9.36</v>
      </c>
      <c r="AJ30" s="1">
        <v>93.6</v>
      </c>
      <c r="AK30" s="1">
        <v>56.45</v>
      </c>
      <c r="AL30" s="3">
        <f t="shared" si="19"/>
        <v>31.0002</v>
      </c>
      <c r="AM30" s="3">
        <f t="shared" si="20"/>
        <v>0.3021</v>
      </c>
      <c r="AN30" s="3">
        <f t="shared" si="21"/>
        <v>15.66872222</v>
      </c>
      <c r="AO30" s="1">
        <v>72.77372404</v>
      </c>
      <c r="AP30" s="1">
        <v>104.7119719</v>
      </c>
    </row>
    <row r="31" ht="12.75" customHeight="1">
      <c r="A31" s="1" t="s">
        <v>62</v>
      </c>
      <c r="B31" s="1">
        <v>4.0</v>
      </c>
      <c r="C31" s="1" t="s">
        <v>54</v>
      </c>
      <c r="D31" s="1" t="s">
        <v>63</v>
      </c>
      <c r="E31" s="1" t="s">
        <v>60</v>
      </c>
      <c r="F31" s="4"/>
      <c r="G31" s="4"/>
      <c r="H31" s="1">
        <v>15.7</v>
      </c>
      <c r="I31" s="1">
        <v>0.4881</v>
      </c>
      <c r="J31" s="1">
        <v>21.4526</v>
      </c>
      <c r="K31" s="1">
        <v>9.0964</v>
      </c>
      <c r="L31" s="1">
        <v>0.0798</v>
      </c>
      <c r="M31" s="1">
        <v>0.0012</v>
      </c>
      <c r="N31" s="1">
        <v>2.497</v>
      </c>
      <c r="O31" s="1">
        <v>129.996</v>
      </c>
      <c r="P31" s="1">
        <v>0.9578</v>
      </c>
      <c r="Q31" s="1">
        <v>42.0977</v>
      </c>
      <c r="R31" s="1">
        <v>17.8504</v>
      </c>
      <c r="S31" s="1">
        <v>0.1566</v>
      </c>
      <c r="T31" s="1">
        <v>0.0024</v>
      </c>
      <c r="U31" s="1">
        <v>4.9</v>
      </c>
      <c r="V31" s="1">
        <v>284.65</v>
      </c>
      <c r="W31" s="1">
        <v>0.698</v>
      </c>
      <c r="X31" s="1">
        <v>5.32</v>
      </c>
      <c r="Y31" s="1">
        <v>616.59</v>
      </c>
      <c r="Z31" s="1">
        <v>38.88</v>
      </c>
      <c r="AA31" s="1">
        <v>4.75</v>
      </c>
      <c r="AB31" s="1">
        <v>59.5</v>
      </c>
      <c r="AC31" s="1">
        <v>0.1431</v>
      </c>
      <c r="AD31" s="1">
        <v>58.38</v>
      </c>
      <c r="AE31" s="1">
        <v>5.47</v>
      </c>
      <c r="AF31" s="1">
        <v>52.25</v>
      </c>
      <c r="AG31" s="1">
        <v>0.5252</v>
      </c>
      <c r="AH31" s="1">
        <v>3.75</v>
      </c>
      <c r="AI31" s="1">
        <v>8.28</v>
      </c>
      <c r="AJ31" s="1">
        <v>82.8</v>
      </c>
      <c r="AK31" s="1">
        <v>64.1</v>
      </c>
      <c r="AL31" s="3">
        <f>(O31-O27)/250*100</f>
        <v>43.92</v>
      </c>
      <c r="AM31" s="3">
        <f>(P31-P27)/200*100</f>
        <v>0.3095</v>
      </c>
      <c r="AN31" s="3">
        <f>(Q31-Q27)/180*100</f>
        <v>19.34944444</v>
      </c>
      <c r="AO31" s="1">
        <v>58.37887067</v>
      </c>
      <c r="AP31" s="1">
        <v>135.7235331</v>
      </c>
    </row>
    <row r="32" ht="12.75" customHeight="1">
      <c r="A32" s="1" t="s">
        <v>64</v>
      </c>
      <c r="B32" s="1">
        <v>4.0</v>
      </c>
      <c r="C32" s="1" t="s">
        <v>54</v>
      </c>
      <c r="D32" s="1" t="s">
        <v>65</v>
      </c>
      <c r="E32" s="1" t="s">
        <v>60</v>
      </c>
      <c r="F32" s="4"/>
      <c r="G32" s="4"/>
      <c r="H32" s="1">
        <v>13.7</v>
      </c>
      <c r="I32" s="1">
        <v>0.5092</v>
      </c>
      <c r="J32" s="1">
        <v>21.6607</v>
      </c>
      <c r="K32" s="1">
        <v>6.497</v>
      </c>
      <c r="L32" s="1">
        <v>0.0847</v>
      </c>
      <c r="M32" s="1">
        <v>2.0E-4</v>
      </c>
      <c r="N32" s="1">
        <v>2.3475</v>
      </c>
      <c r="O32" s="1">
        <v>105.9695</v>
      </c>
      <c r="P32" s="1">
        <v>0.9689</v>
      </c>
      <c r="Q32" s="1">
        <v>41.2162</v>
      </c>
      <c r="R32" s="1">
        <v>12.3626</v>
      </c>
      <c r="S32" s="1">
        <v>0.1612</v>
      </c>
      <c r="T32" s="1">
        <v>4.0E-4</v>
      </c>
      <c r="U32" s="1">
        <v>4.4668</v>
      </c>
      <c r="V32" s="1">
        <v>329.479</v>
      </c>
      <c r="W32" s="1">
        <v>0.615</v>
      </c>
      <c r="X32" s="1">
        <v>5.89</v>
      </c>
      <c r="Y32" s="1">
        <v>791.45</v>
      </c>
      <c r="Z32" s="1">
        <v>40.13</v>
      </c>
      <c r="AA32" s="1">
        <v>4.32</v>
      </c>
      <c r="AB32" s="1">
        <v>57.45</v>
      </c>
      <c r="AC32" s="1">
        <v>0.1508</v>
      </c>
      <c r="AD32" s="1">
        <v>64.0</v>
      </c>
      <c r="AE32" s="1">
        <v>5.26</v>
      </c>
      <c r="AF32" s="1">
        <v>55.725</v>
      </c>
      <c r="AG32" s="1">
        <v>0.512</v>
      </c>
      <c r="AH32" s="1">
        <v>3.0</v>
      </c>
      <c r="AI32" s="1">
        <v>7.74</v>
      </c>
      <c r="AJ32" s="1">
        <v>77.4</v>
      </c>
      <c r="AK32" s="1">
        <v>58.65</v>
      </c>
      <c r="AL32" s="3">
        <f t="shared" ref="AL32:AL33" si="22">(O32-O27)/250*100</f>
        <v>34.3094</v>
      </c>
      <c r="AM32" s="3">
        <f t="shared" ref="AM32:AM33" si="23">(P32-P27)/200*100</f>
        <v>0.31505</v>
      </c>
      <c r="AN32" s="3">
        <f t="shared" ref="AN32:AN33" si="24">(Q32-Q27)/180*100</f>
        <v>18.85972222</v>
      </c>
      <c r="AO32" s="1">
        <v>68.43605543</v>
      </c>
      <c r="AP32" s="1">
        <v>109.3709361</v>
      </c>
    </row>
    <row r="33" ht="12.75" customHeight="1">
      <c r="A33" s="1" t="s">
        <v>66</v>
      </c>
      <c r="B33" s="1">
        <v>4.0</v>
      </c>
      <c r="C33" s="1" t="s">
        <v>58</v>
      </c>
      <c r="D33" s="1" t="s">
        <v>63</v>
      </c>
      <c r="E33" s="1" t="s">
        <v>60</v>
      </c>
      <c r="F33" s="4"/>
      <c r="G33" s="4"/>
      <c r="H33" s="1">
        <v>12.9</v>
      </c>
      <c r="I33" s="1">
        <v>0.7214</v>
      </c>
      <c r="J33" s="1">
        <v>16.5743</v>
      </c>
      <c r="K33" s="1">
        <v>8.7509</v>
      </c>
      <c r="L33" s="1">
        <v>0.0625</v>
      </c>
      <c r="M33" s="1">
        <v>0.0</v>
      </c>
      <c r="N33" s="1">
        <v>2.0578</v>
      </c>
      <c r="O33" s="1">
        <v>184.9215</v>
      </c>
      <c r="P33" s="1">
        <v>2.6163</v>
      </c>
      <c r="Q33" s="1">
        <v>60.1109</v>
      </c>
      <c r="R33" s="1">
        <v>31.7374</v>
      </c>
      <c r="S33" s="1">
        <v>0.2267</v>
      </c>
      <c r="T33" s="1">
        <v>0.0</v>
      </c>
      <c r="U33" s="1">
        <v>7.4631</v>
      </c>
      <c r="V33" s="1">
        <v>67.15</v>
      </c>
      <c r="W33" s="1">
        <v>3.396</v>
      </c>
      <c r="X33" s="1">
        <v>7.65</v>
      </c>
      <c r="Y33" s="1">
        <v>1156.7</v>
      </c>
      <c r="Z33" s="1">
        <v>43.13</v>
      </c>
      <c r="AA33" s="1">
        <v>5.25</v>
      </c>
      <c r="AB33" s="1">
        <v>55.58</v>
      </c>
      <c r="AC33" s="1">
        <v>0.1471</v>
      </c>
      <c r="AD33" s="1">
        <v>66.25</v>
      </c>
      <c r="AE33" s="1">
        <v>5.97</v>
      </c>
      <c r="AF33" s="1">
        <v>53.025</v>
      </c>
      <c r="AG33" s="1">
        <v>0.5326</v>
      </c>
      <c r="AH33" s="1">
        <v>3.25</v>
      </c>
      <c r="AI33" s="1">
        <v>14.34</v>
      </c>
      <c r="AJ33" s="1">
        <v>143.4</v>
      </c>
      <c r="AK33" s="1">
        <v>106.2</v>
      </c>
      <c r="AL33" s="3">
        <f t="shared" si="22"/>
        <v>54.7992</v>
      </c>
      <c r="AM33" s="3">
        <f t="shared" si="23"/>
        <v>1.01135</v>
      </c>
      <c r="AN33" s="3">
        <f t="shared" si="24"/>
        <v>28.08172222</v>
      </c>
      <c r="AO33" s="1">
        <v>77.51937984</v>
      </c>
      <c r="AP33" s="1">
        <v>70.68054122</v>
      </c>
    </row>
    <row r="34" ht="12.75" customHeight="1">
      <c r="A34" s="1" t="s">
        <v>67</v>
      </c>
      <c r="B34" s="1">
        <v>4.0</v>
      </c>
      <c r="C34" s="1" t="s">
        <v>58</v>
      </c>
      <c r="D34" s="1" t="s">
        <v>65</v>
      </c>
      <c r="E34" s="1" t="s">
        <v>60</v>
      </c>
      <c r="F34" s="4"/>
      <c r="G34" s="4"/>
      <c r="H34" s="1">
        <v>13.5</v>
      </c>
      <c r="I34" s="1">
        <v>0.5822</v>
      </c>
      <c r="J34" s="1">
        <v>17.3831</v>
      </c>
      <c r="K34" s="1">
        <v>9.0075</v>
      </c>
      <c r="L34" s="1">
        <v>0.0639</v>
      </c>
      <c r="M34" s="1">
        <v>0.0</v>
      </c>
      <c r="N34" s="1">
        <v>2.1649</v>
      </c>
      <c r="O34" s="1">
        <v>134.595</v>
      </c>
      <c r="P34" s="1">
        <v>1.5266</v>
      </c>
      <c r="Q34" s="1">
        <v>45.5804</v>
      </c>
      <c r="R34" s="1">
        <v>23.6187</v>
      </c>
      <c r="S34" s="1">
        <v>0.1676</v>
      </c>
      <c r="T34" s="1">
        <v>0.0</v>
      </c>
      <c r="U34" s="1">
        <v>5.6766</v>
      </c>
      <c r="V34" s="1">
        <v>71.65</v>
      </c>
      <c r="W34" s="1">
        <v>4.271</v>
      </c>
      <c r="X34" s="1">
        <v>7.94</v>
      </c>
      <c r="Y34" s="1">
        <v>1284.2</v>
      </c>
      <c r="Z34" s="1">
        <v>38.0</v>
      </c>
      <c r="AA34" s="1">
        <v>4.47</v>
      </c>
      <c r="AB34" s="1">
        <v>51.75</v>
      </c>
      <c r="AC34" s="1">
        <v>0.1523</v>
      </c>
      <c r="AD34" s="1">
        <v>62.0</v>
      </c>
      <c r="AE34" s="1">
        <v>5.45</v>
      </c>
      <c r="AF34" s="1">
        <v>50.375</v>
      </c>
      <c r="AG34" s="1">
        <v>0.5276</v>
      </c>
      <c r="AH34" s="1">
        <v>3.5</v>
      </c>
      <c r="AI34" s="1">
        <v>9.97</v>
      </c>
      <c r="AJ34" s="1">
        <v>99.7</v>
      </c>
      <c r="AK34" s="1">
        <v>62.55</v>
      </c>
      <c r="AL34" s="3">
        <f>(O34-O28)/250*100</f>
        <v>34.6686</v>
      </c>
      <c r="AM34" s="3">
        <f>(P34-P28)/200*100</f>
        <v>0.4665</v>
      </c>
      <c r="AN34" s="3">
        <f>(Q34-Q28)/180*100</f>
        <v>20.00922222</v>
      </c>
      <c r="AO34" s="1">
        <v>46.43560311</v>
      </c>
      <c r="AP34" s="1">
        <v>88.16651382</v>
      </c>
    </row>
    <row r="35" ht="12.75" customHeight="1"/>
    <row r="36" ht="12.75" customHeight="1"/>
    <row r="37" ht="12.75" customHeight="1">
      <c r="AH37" s="4"/>
    </row>
    <row r="38" ht="12.75" customHeight="1">
      <c r="H38" s="5">
        <f t="shared" ref="H38:AP38" si="25">(H3/H3 -1)*100</f>
        <v>0</v>
      </c>
      <c r="I38" s="5">
        <f t="shared" si="25"/>
        <v>0</v>
      </c>
      <c r="J38" s="5">
        <f t="shared" si="25"/>
        <v>0</v>
      </c>
      <c r="K38" s="5">
        <f t="shared" si="25"/>
        <v>0</v>
      </c>
      <c r="L38" s="5">
        <f t="shared" si="25"/>
        <v>0</v>
      </c>
      <c r="M38" s="5">
        <f t="shared" si="25"/>
        <v>0</v>
      </c>
      <c r="N38" s="5">
        <f t="shared" si="25"/>
        <v>0</v>
      </c>
      <c r="O38" s="5">
        <f t="shared" si="25"/>
        <v>0</v>
      </c>
      <c r="P38" s="5">
        <f t="shared" si="25"/>
        <v>0</v>
      </c>
      <c r="Q38" s="5">
        <f t="shared" si="25"/>
        <v>0</v>
      </c>
      <c r="R38" s="5">
        <f t="shared" si="25"/>
        <v>0</v>
      </c>
      <c r="S38" s="5">
        <f t="shared" si="25"/>
        <v>0</v>
      </c>
      <c r="T38" s="5">
        <f t="shared" si="25"/>
        <v>0</v>
      </c>
      <c r="U38" s="5">
        <f t="shared" si="25"/>
        <v>0</v>
      </c>
      <c r="V38" s="5">
        <f t="shared" si="25"/>
        <v>0</v>
      </c>
      <c r="W38" s="5">
        <f t="shared" si="25"/>
        <v>0</v>
      </c>
      <c r="X38" s="5">
        <f t="shared" si="25"/>
        <v>0</v>
      </c>
      <c r="Y38" s="5">
        <f t="shared" si="25"/>
        <v>0</v>
      </c>
      <c r="Z38" s="5">
        <f t="shared" si="25"/>
        <v>0</v>
      </c>
      <c r="AA38" s="5">
        <f t="shared" si="25"/>
        <v>0</v>
      </c>
      <c r="AB38" s="5">
        <f t="shared" si="25"/>
        <v>0</v>
      </c>
      <c r="AC38" s="5">
        <f t="shared" si="25"/>
        <v>0</v>
      </c>
      <c r="AD38" s="5">
        <f t="shared" si="25"/>
        <v>0</v>
      </c>
      <c r="AE38" s="5">
        <f t="shared" si="25"/>
        <v>0</v>
      </c>
      <c r="AF38" s="5">
        <f t="shared" si="25"/>
        <v>0</v>
      </c>
      <c r="AG38" s="5">
        <f t="shared" si="25"/>
        <v>0</v>
      </c>
      <c r="AH38" s="5" t="str">
        <f t="shared" si="25"/>
        <v>#DIV/0!</v>
      </c>
      <c r="AI38" s="5">
        <f t="shared" si="25"/>
        <v>0</v>
      </c>
      <c r="AJ38" s="5" t="str">
        <f t="shared" si="25"/>
        <v>#VALUE!</v>
      </c>
      <c r="AK38" s="5" t="str">
        <f t="shared" si="25"/>
        <v>#VALUE!</v>
      </c>
      <c r="AL38" s="5" t="str">
        <f t="shared" si="25"/>
        <v>#VALUE!</v>
      </c>
      <c r="AM38" s="5" t="str">
        <f t="shared" si="25"/>
        <v>#VALUE!</v>
      </c>
      <c r="AN38" s="5" t="str">
        <f t="shared" si="25"/>
        <v>#VALUE!</v>
      </c>
      <c r="AO38" s="5" t="str">
        <f t="shared" si="25"/>
        <v>#VALUE!</v>
      </c>
      <c r="AP38" s="5">
        <f t="shared" si="25"/>
        <v>0</v>
      </c>
    </row>
    <row r="39" ht="12.75" customHeight="1">
      <c r="H39" s="5">
        <f t="shared" ref="H39:AP39" si="26">(H4/H4 -1)*100</f>
        <v>0</v>
      </c>
      <c r="I39" s="5">
        <f t="shared" si="26"/>
        <v>0</v>
      </c>
      <c r="J39" s="5">
        <f t="shared" si="26"/>
        <v>0</v>
      </c>
      <c r="K39" s="5">
        <f t="shared" si="26"/>
        <v>0</v>
      </c>
      <c r="L39" s="5">
        <f t="shared" si="26"/>
        <v>0</v>
      </c>
      <c r="M39" s="5">
        <f t="shared" si="26"/>
        <v>0</v>
      </c>
      <c r="N39" s="5">
        <f t="shared" si="26"/>
        <v>0</v>
      </c>
      <c r="O39" s="5">
        <f t="shared" si="26"/>
        <v>0</v>
      </c>
      <c r="P39" s="5">
        <f t="shared" si="26"/>
        <v>0</v>
      </c>
      <c r="Q39" s="5">
        <f t="shared" si="26"/>
        <v>0</v>
      </c>
      <c r="R39" s="5">
        <f t="shared" si="26"/>
        <v>0</v>
      </c>
      <c r="S39" s="5">
        <f t="shared" si="26"/>
        <v>0</v>
      </c>
      <c r="T39" s="5">
        <f t="shared" si="26"/>
        <v>0</v>
      </c>
      <c r="U39" s="5">
        <f t="shared" si="26"/>
        <v>0</v>
      </c>
      <c r="V39" s="5">
        <f t="shared" si="26"/>
        <v>0</v>
      </c>
      <c r="W39" s="5">
        <f t="shared" si="26"/>
        <v>0</v>
      </c>
      <c r="X39" s="5">
        <f t="shared" si="26"/>
        <v>0</v>
      </c>
      <c r="Y39" s="5">
        <f t="shared" si="26"/>
        <v>0</v>
      </c>
      <c r="Z39" s="5">
        <f t="shared" si="26"/>
        <v>0</v>
      </c>
      <c r="AA39" s="5">
        <f t="shared" si="26"/>
        <v>0</v>
      </c>
      <c r="AB39" s="5">
        <f t="shared" si="26"/>
        <v>0</v>
      </c>
      <c r="AC39" s="5">
        <f t="shared" si="26"/>
        <v>0</v>
      </c>
      <c r="AD39" s="5">
        <f t="shared" si="26"/>
        <v>0</v>
      </c>
      <c r="AE39" s="5">
        <f t="shared" si="26"/>
        <v>0</v>
      </c>
      <c r="AF39" s="5">
        <f t="shared" si="26"/>
        <v>0</v>
      </c>
      <c r="AG39" s="5">
        <f t="shared" si="26"/>
        <v>0</v>
      </c>
      <c r="AH39" s="5" t="str">
        <f t="shared" si="26"/>
        <v>#DIV/0!</v>
      </c>
      <c r="AI39" s="5">
        <f t="shared" si="26"/>
        <v>0</v>
      </c>
      <c r="AJ39" s="5" t="str">
        <f t="shared" si="26"/>
        <v>#VALUE!</v>
      </c>
      <c r="AK39" s="5" t="str">
        <f t="shared" si="26"/>
        <v>#VALUE!</v>
      </c>
      <c r="AL39" s="5" t="str">
        <f t="shared" si="26"/>
        <v>#VALUE!</v>
      </c>
      <c r="AM39" s="5" t="str">
        <f t="shared" si="26"/>
        <v>#VALUE!</v>
      </c>
      <c r="AN39" s="5" t="str">
        <f t="shared" si="26"/>
        <v>#VALUE!</v>
      </c>
      <c r="AO39" s="5" t="str">
        <f t="shared" si="26"/>
        <v>#VALUE!</v>
      </c>
      <c r="AP39" s="5">
        <f t="shared" si="26"/>
        <v>0</v>
      </c>
    </row>
    <row r="40" ht="12.75" customHeight="1">
      <c r="H40" s="5">
        <f t="shared" ref="H40:AP40" si="27">(H5/H3 -1)*100</f>
        <v>9.009009009</v>
      </c>
      <c r="I40" s="5">
        <f t="shared" si="27"/>
        <v>-40.1036498</v>
      </c>
      <c r="J40" s="5">
        <f t="shared" si="27"/>
        <v>17.67235927</v>
      </c>
      <c r="K40" s="5">
        <f t="shared" si="27"/>
        <v>-61.59854392</v>
      </c>
      <c r="L40" s="5">
        <f t="shared" si="27"/>
        <v>60.11872639</v>
      </c>
      <c r="M40" s="5">
        <f t="shared" si="27"/>
        <v>-60.52631579</v>
      </c>
      <c r="N40" s="5">
        <f t="shared" si="27"/>
        <v>-47.72266417</v>
      </c>
      <c r="O40" s="5">
        <f t="shared" si="27"/>
        <v>457.1571572</v>
      </c>
      <c r="P40" s="5">
        <f t="shared" si="27"/>
        <v>547.8916828</v>
      </c>
      <c r="Q40" s="5">
        <f t="shared" si="27"/>
        <v>1172.648714</v>
      </c>
      <c r="R40" s="5">
        <f t="shared" si="27"/>
        <v>315.3232545</v>
      </c>
      <c r="S40" s="5">
        <f t="shared" si="27"/>
        <v>1632.575758</v>
      </c>
      <c r="T40" s="5">
        <f t="shared" si="27"/>
        <v>326.1538462</v>
      </c>
      <c r="U40" s="5">
        <f t="shared" si="27"/>
        <v>465.3854046</v>
      </c>
      <c r="V40" s="5">
        <f t="shared" si="27"/>
        <v>15.73069058</v>
      </c>
      <c r="W40" s="5">
        <f t="shared" si="27"/>
        <v>15.35171103</v>
      </c>
      <c r="X40" s="5">
        <f t="shared" si="27"/>
        <v>-6.043956044</v>
      </c>
      <c r="Y40" s="5">
        <f t="shared" si="27"/>
        <v>7.262508265</v>
      </c>
      <c r="Z40" s="5">
        <f t="shared" si="27"/>
        <v>42.0015456</v>
      </c>
      <c r="AA40" s="5">
        <f t="shared" si="27"/>
        <v>15.69086651</v>
      </c>
      <c r="AB40" s="5">
        <f t="shared" si="27"/>
        <v>53.9869281</v>
      </c>
      <c r="AC40" s="5">
        <f t="shared" si="27"/>
        <v>-4.599602912</v>
      </c>
      <c r="AD40" s="5">
        <f t="shared" si="27"/>
        <v>70.62146893</v>
      </c>
      <c r="AE40" s="5">
        <f t="shared" si="27"/>
        <v>13.97849462</v>
      </c>
      <c r="AF40" s="5">
        <f t="shared" si="27"/>
        <v>125.087108</v>
      </c>
      <c r="AG40" s="5">
        <f t="shared" si="27"/>
        <v>2.63653484</v>
      </c>
      <c r="AH40" s="5" t="str">
        <f t="shared" si="27"/>
        <v>#DIV/0!</v>
      </c>
      <c r="AI40" s="5">
        <f t="shared" si="27"/>
        <v>409.4936709</v>
      </c>
      <c r="AJ40" s="5" t="str">
        <f t="shared" si="27"/>
        <v>#VALUE!</v>
      </c>
      <c r="AK40" s="5" t="str">
        <f t="shared" si="27"/>
        <v>#VALUE!</v>
      </c>
      <c r="AL40" s="5" t="str">
        <f t="shared" si="27"/>
        <v>#VALUE!</v>
      </c>
      <c r="AM40" s="5" t="str">
        <f t="shared" si="27"/>
        <v>#VALUE!</v>
      </c>
      <c r="AN40" s="5" t="str">
        <f t="shared" si="27"/>
        <v>#VALUE!</v>
      </c>
      <c r="AO40" s="5" t="str">
        <f t="shared" si="27"/>
        <v>#VALUE!</v>
      </c>
      <c r="AP40" s="5">
        <f t="shared" si="27"/>
        <v>-14.00458256</v>
      </c>
    </row>
    <row r="41" ht="12.75" customHeight="1">
      <c r="H41" s="5">
        <f t="shared" ref="H41:AP41" si="28">(H6/H4 -1)*100</f>
        <v>14.63414634</v>
      </c>
      <c r="I41" s="5">
        <f t="shared" si="28"/>
        <v>-36.45429363</v>
      </c>
      <c r="J41" s="5">
        <f t="shared" si="28"/>
        <v>24.56343501</v>
      </c>
      <c r="K41" s="5">
        <f t="shared" si="28"/>
        <v>-65.5883032</v>
      </c>
      <c r="L41" s="5">
        <f t="shared" si="28"/>
        <v>-27.03917791</v>
      </c>
      <c r="M41" s="5">
        <f t="shared" si="28"/>
        <v>-41.05263158</v>
      </c>
      <c r="N41" s="5">
        <f t="shared" si="28"/>
        <v>-49.4117394</v>
      </c>
      <c r="O41" s="5">
        <f t="shared" si="28"/>
        <v>262.4121727</v>
      </c>
      <c r="P41" s="5">
        <f t="shared" si="28"/>
        <v>165.1393189</v>
      </c>
      <c r="Q41" s="5">
        <f t="shared" si="28"/>
        <v>419.7405756</v>
      </c>
      <c r="R41" s="5">
        <f t="shared" si="28"/>
        <v>43.58261396</v>
      </c>
      <c r="S41" s="5">
        <f t="shared" si="28"/>
        <v>204.3660287</v>
      </c>
      <c r="T41" s="5">
        <f t="shared" si="28"/>
        <v>145.0980392</v>
      </c>
      <c r="U41" s="5">
        <f t="shared" si="28"/>
        <v>111.0741616</v>
      </c>
      <c r="V41" s="5">
        <f t="shared" si="28"/>
        <v>-10.82402235</v>
      </c>
      <c r="W41" s="5">
        <f t="shared" si="28"/>
        <v>20.12893983</v>
      </c>
      <c r="X41" s="5">
        <f t="shared" si="28"/>
        <v>0.2583979328</v>
      </c>
      <c r="Y41" s="5">
        <f t="shared" si="28"/>
        <v>24.66722361</v>
      </c>
      <c r="Z41" s="5">
        <f t="shared" si="28"/>
        <v>37.62831858</v>
      </c>
      <c r="AA41" s="5">
        <f t="shared" si="28"/>
        <v>12.04301075</v>
      </c>
      <c r="AB41" s="5">
        <f t="shared" si="28"/>
        <v>32.23039216</v>
      </c>
      <c r="AC41" s="5">
        <f t="shared" si="28"/>
        <v>-5.349524122</v>
      </c>
      <c r="AD41" s="5">
        <f t="shared" si="28"/>
        <v>52.48471964</v>
      </c>
      <c r="AE41" s="5">
        <f t="shared" si="28"/>
        <v>15.01057082</v>
      </c>
      <c r="AF41" s="5">
        <f t="shared" si="28"/>
        <v>70.52264808</v>
      </c>
      <c r="AG41" s="5">
        <f t="shared" si="28"/>
        <v>7.221425155</v>
      </c>
      <c r="AH41" s="5" t="str">
        <f t="shared" si="28"/>
        <v>#DIV/0!</v>
      </c>
      <c r="AI41" s="5">
        <f t="shared" si="28"/>
        <v>215.7509158</v>
      </c>
      <c r="AJ41" s="5" t="str">
        <f t="shared" si="28"/>
        <v>#VALUE!</v>
      </c>
      <c r="AK41" s="5" t="str">
        <f t="shared" si="28"/>
        <v>#VALUE!</v>
      </c>
      <c r="AL41" s="5" t="str">
        <f t="shared" si="28"/>
        <v>#VALUE!</v>
      </c>
      <c r="AM41" s="5" t="str">
        <f t="shared" si="28"/>
        <v>#VALUE!</v>
      </c>
      <c r="AN41" s="5" t="str">
        <f t="shared" si="28"/>
        <v>#VALUE!</v>
      </c>
      <c r="AO41" s="5" t="str">
        <f t="shared" si="28"/>
        <v>#VALUE!</v>
      </c>
      <c r="AP41" s="5">
        <f t="shared" si="28"/>
        <v>36.68744956</v>
      </c>
    </row>
    <row r="42" ht="12.75" customHeight="1">
      <c r="H42" s="5">
        <f t="shared" ref="H42:AP42" si="29">(H7/H3 -1)*100</f>
        <v>38.73873874</v>
      </c>
      <c r="I42" s="5">
        <f t="shared" si="29"/>
        <v>-37.20366082</v>
      </c>
      <c r="J42" s="5">
        <f t="shared" si="29"/>
        <v>42.26838443</v>
      </c>
      <c r="K42" s="5">
        <f t="shared" si="29"/>
        <v>-72.90969148</v>
      </c>
      <c r="L42" s="5">
        <f t="shared" si="29"/>
        <v>5.234754452</v>
      </c>
      <c r="M42" s="5">
        <f t="shared" si="29"/>
        <v>-72.36842105</v>
      </c>
      <c r="N42" s="5">
        <f t="shared" si="29"/>
        <v>-54.2836531</v>
      </c>
      <c r="O42" s="5">
        <f t="shared" si="29"/>
        <v>613.953954</v>
      </c>
      <c r="P42" s="5">
        <f t="shared" si="29"/>
        <v>348.2011605</v>
      </c>
      <c r="Q42" s="5">
        <f t="shared" si="29"/>
        <v>915.2532872</v>
      </c>
      <c r="R42" s="5">
        <f t="shared" si="29"/>
        <v>93.32366434</v>
      </c>
      <c r="S42" s="5">
        <f t="shared" si="29"/>
        <v>651.3257576</v>
      </c>
      <c r="T42" s="5">
        <f t="shared" si="29"/>
        <v>96.92307692</v>
      </c>
      <c r="U42" s="5">
        <f t="shared" si="29"/>
        <v>226.243075</v>
      </c>
      <c r="V42" s="5">
        <f t="shared" si="29"/>
        <v>15.79927639</v>
      </c>
      <c r="W42" s="5">
        <f t="shared" si="29"/>
        <v>7.937262357</v>
      </c>
      <c r="X42" s="5">
        <f t="shared" si="29"/>
        <v>-2.93040293</v>
      </c>
      <c r="Y42" s="5">
        <f t="shared" si="29"/>
        <v>69.54485343</v>
      </c>
      <c r="Z42" s="5">
        <f t="shared" si="29"/>
        <v>49.72952087</v>
      </c>
      <c r="AA42" s="5">
        <f t="shared" si="29"/>
        <v>5.854800937</v>
      </c>
      <c r="AB42" s="5">
        <f t="shared" si="29"/>
        <v>51.63398693</v>
      </c>
      <c r="AC42" s="5">
        <f t="shared" si="29"/>
        <v>-18.89477167</v>
      </c>
      <c r="AD42" s="5">
        <f t="shared" si="29"/>
        <v>71.72167707</v>
      </c>
      <c r="AE42" s="5">
        <f t="shared" si="29"/>
        <v>15.2688172</v>
      </c>
      <c r="AF42" s="5">
        <f t="shared" si="29"/>
        <v>85.45296167</v>
      </c>
      <c r="AG42" s="5">
        <f t="shared" si="29"/>
        <v>17.56120527</v>
      </c>
      <c r="AH42" s="5" t="str">
        <f t="shared" si="29"/>
        <v>#DIV/0!</v>
      </c>
      <c r="AI42" s="5">
        <f t="shared" si="29"/>
        <v>413.2911392</v>
      </c>
      <c r="AJ42" s="5" t="str">
        <f t="shared" si="29"/>
        <v>#VALUE!</v>
      </c>
      <c r="AK42" s="5" t="str">
        <f t="shared" si="29"/>
        <v>#VALUE!</v>
      </c>
      <c r="AL42" s="5" t="str">
        <f t="shared" si="29"/>
        <v>#VALUE!</v>
      </c>
      <c r="AM42" s="5" t="str">
        <f t="shared" si="29"/>
        <v>#VALUE!</v>
      </c>
      <c r="AN42" s="5" t="str">
        <f t="shared" si="29"/>
        <v>#VALUE!</v>
      </c>
      <c r="AO42" s="5" t="str">
        <f t="shared" si="29"/>
        <v>#VALUE!</v>
      </c>
      <c r="AP42" s="5">
        <f t="shared" si="29"/>
        <v>59.29319618</v>
      </c>
    </row>
    <row r="43" ht="12.75" customHeight="1">
      <c r="H43" s="5">
        <f t="shared" ref="H43:AP43" si="30">(H8/H3 -1)*100</f>
        <v>46.84684685</v>
      </c>
      <c r="I43" s="5">
        <f t="shared" si="30"/>
        <v>-27.29077076</v>
      </c>
      <c r="J43" s="5">
        <f t="shared" si="30"/>
        <v>64.69123473</v>
      </c>
      <c r="K43" s="5">
        <f t="shared" si="30"/>
        <v>-56.657304</v>
      </c>
      <c r="L43" s="5">
        <f t="shared" si="30"/>
        <v>-14.8407987</v>
      </c>
      <c r="M43" s="5">
        <f t="shared" si="30"/>
        <v>-73.24561404</v>
      </c>
      <c r="N43" s="5">
        <f t="shared" si="30"/>
        <v>-46.76337545</v>
      </c>
      <c r="O43" s="5">
        <f t="shared" si="30"/>
        <v>534.9377949</v>
      </c>
      <c r="P43" s="5">
        <f t="shared" si="30"/>
        <v>162.3210832</v>
      </c>
      <c r="Q43" s="5">
        <f t="shared" si="30"/>
        <v>494.0654413</v>
      </c>
      <c r="R43" s="5">
        <f t="shared" si="30"/>
        <v>56.34448946</v>
      </c>
      <c r="S43" s="5">
        <f t="shared" si="30"/>
        <v>207.3863636</v>
      </c>
      <c r="T43" s="5">
        <f t="shared" si="30"/>
        <v>-3.076923077</v>
      </c>
      <c r="U43" s="5">
        <f t="shared" si="30"/>
        <v>92.03200875</v>
      </c>
      <c r="V43" s="5">
        <f t="shared" si="30"/>
        <v>-8.258612553</v>
      </c>
      <c r="W43" s="5">
        <f t="shared" si="30"/>
        <v>-1.948669202</v>
      </c>
      <c r="X43" s="5">
        <f t="shared" si="30"/>
        <v>5.494505495</v>
      </c>
      <c r="Y43" s="5">
        <f t="shared" si="30"/>
        <v>79.53126148</v>
      </c>
      <c r="Z43" s="5">
        <f t="shared" si="30"/>
        <v>46.36785162</v>
      </c>
      <c r="AA43" s="5">
        <f t="shared" si="30"/>
        <v>10.77283372</v>
      </c>
      <c r="AB43" s="5">
        <f t="shared" si="30"/>
        <v>53.54248366</v>
      </c>
      <c r="AC43" s="5">
        <f t="shared" si="30"/>
        <v>-20.21839841</v>
      </c>
      <c r="AD43" s="5">
        <f t="shared" si="30"/>
        <v>82.87243533</v>
      </c>
      <c r="AE43" s="5">
        <f t="shared" si="30"/>
        <v>17.6344086</v>
      </c>
      <c r="AF43" s="5">
        <f t="shared" si="30"/>
        <v>86.14982578</v>
      </c>
      <c r="AG43" s="5">
        <f t="shared" si="30"/>
        <v>20.10357815</v>
      </c>
      <c r="AH43" s="5" t="str">
        <f t="shared" si="30"/>
        <v>#DIV/0!</v>
      </c>
      <c r="AI43" s="5">
        <f t="shared" si="30"/>
        <v>331.0126582</v>
      </c>
      <c r="AJ43" s="5" t="str">
        <f t="shared" si="30"/>
        <v>#VALUE!</v>
      </c>
      <c r="AK43" s="5" t="str">
        <f t="shared" si="30"/>
        <v>#VALUE!</v>
      </c>
      <c r="AL43" s="5" t="str">
        <f t="shared" si="30"/>
        <v>#VALUE!</v>
      </c>
      <c r="AM43" s="5" t="str">
        <f t="shared" si="30"/>
        <v>#VALUE!</v>
      </c>
      <c r="AN43" s="5" t="str">
        <f t="shared" si="30"/>
        <v>#VALUE!</v>
      </c>
      <c r="AO43" s="5" t="str">
        <f t="shared" si="30"/>
        <v>#VALUE!</v>
      </c>
      <c r="AP43" s="5">
        <f t="shared" si="30"/>
        <v>142.0460404</v>
      </c>
    </row>
    <row r="44" ht="12.75" customHeight="1">
      <c r="H44" s="5">
        <f t="shared" ref="H44:AP44" si="31">(H9/H4 -1)*100</f>
        <v>7.317073171</v>
      </c>
      <c r="I44" s="5">
        <f t="shared" si="31"/>
        <v>-25.15235457</v>
      </c>
      <c r="J44" s="5">
        <f t="shared" si="31"/>
        <v>26.49776569</v>
      </c>
      <c r="K44" s="5">
        <f t="shared" si="31"/>
        <v>-72.5326257</v>
      </c>
      <c r="L44" s="5">
        <f t="shared" si="31"/>
        <v>-63.32691073</v>
      </c>
      <c r="M44" s="5">
        <f t="shared" si="31"/>
        <v>-63.15789474</v>
      </c>
      <c r="N44" s="5">
        <f t="shared" si="31"/>
        <v>-57.14193535</v>
      </c>
      <c r="O44" s="5">
        <f t="shared" si="31"/>
        <v>463.5623182</v>
      </c>
      <c r="P44" s="5">
        <f t="shared" si="31"/>
        <v>394.7987616</v>
      </c>
      <c r="Q44" s="5">
        <f t="shared" si="31"/>
        <v>736.2600614</v>
      </c>
      <c r="R44" s="5">
        <f t="shared" si="31"/>
        <v>81.58352264</v>
      </c>
      <c r="S44" s="5">
        <f t="shared" si="31"/>
        <v>142.4043062</v>
      </c>
      <c r="T44" s="5">
        <f t="shared" si="31"/>
        <v>143.1372549</v>
      </c>
      <c r="U44" s="5">
        <f t="shared" si="31"/>
        <v>183.3246524</v>
      </c>
      <c r="V44" s="5">
        <f t="shared" si="31"/>
        <v>-3.840782123</v>
      </c>
      <c r="W44" s="5">
        <f t="shared" si="31"/>
        <v>-32.35434575</v>
      </c>
      <c r="X44" s="5">
        <f t="shared" si="31"/>
        <v>1.291989664</v>
      </c>
      <c r="Y44" s="5">
        <f t="shared" si="31"/>
        <v>6.23893066</v>
      </c>
      <c r="Z44" s="5">
        <f t="shared" si="31"/>
        <v>54.86725664</v>
      </c>
      <c r="AA44" s="5">
        <f t="shared" si="31"/>
        <v>5.161290323</v>
      </c>
      <c r="AB44" s="5">
        <f t="shared" si="31"/>
        <v>37.32843137</v>
      </c>
      <c r="AC44" s="5">
        <f t="shared" si="31"/>
        <v>-19.69149984</v>
      </c>
      <c r="AD44" s="5">
        <f t="shared" si="31"/>
        <v>69.75817167</v>
      </c>
      <c r="AE44" s="5">
        <f t="shared" si="31"/>
        <v>21.77589852</v>
      </c>
      <c r="AF44" s="5">
        <f t="shared" si="31"/>
        <v>46.68989547</v>
      </c>
      <c r="AG44" s="5">
        <f t="shared" si="31"/>
        <v>18.38833094</v>
      </c>
      <c r="AH44" s="5" t="str">
        <f t="shared" si="31"/>
        <v>#DIV/0!</v>
      </c>
      <c r="AI44" s="5">
        <f t="shared" si="31"/>
        <v>424.1758242</v>
      </c>
      <c r="AJ44" s="5" t="str">
        <f t="shared" si="31"/>
        <v>#VALUE!</v>
      </c>
      <c r="AK44" s="5" t="str">
        <f t="shared" si="31"/>
        <v>#VALUE!</v>
      </c>
      <c r="AL44" s="5" t="str">
        <f t="shared" si="31"/>
        <v>#VALUE!</v>
      </c>
      <c r="AM44" s="5" t="str">
        <f t="shared" si="31"/>
        <v>#VALUE!</v>
      </c>
      <c r="AN44" s="5" t="str">
        <f t="shared" si="31"/>
        <v>#VALUE!</v>
      </c>
      <c r="AO44" s="5" t="str">
        <f t="shared" si="31"/>
        <v>#VALUE!</v>
      </c>
      <c r="AP44" s="5">
        <f t="shared" si="31"/>
        <v>13.89727743</v>
      </c>
    </row>
    <row r="45" ht="12.75" customHeight="1">
      <c r="H45" s="5">
        <f t="shared" ref="H45:AP45" si="32">(H10/H4 -1)*100</f>
        <v>21.13821138</v>
      </c>
      <c r="I45" s="5">
        <f t="shared" si="32"/>
        <v>-37.10803324</v>
      </c>
      <c r="J45" s="5">
        <f t="shared" si="32"/>
        <v>41.42762774</v>
      </c>
      <c r="K45" s="5">
        <f t="shared" si="32"/>
        <v>-63.75189836</v>
      </c>
      <c r="L45" s="5">
        <f t="shared" si="32"/>
        <v>-64.16184971</v>
      </c>
      <c r="M45" s="5">
        <f t="shared" si="32"/>
        <v>-62.10526316</v>
      </c>
      <c r="N45" s="5">
        <f t="shared" si="32"/>
        <v>-45.93379649</v>
      </c>
      <c r="O45" s="5">
        <f t="shared" si="32"/>
        <v>307.2022078</v>
      </c>
      <c r="P45" s="5">
        <f t="shared" si="32"/>
        <v>162.9102167</v>
      </c>
      <c r="Q45" s="5">
        <f t="shared" si="32"/>
        <v>491.2386357</v>
      </c>
      <c r="R45" s="5">
        <f t="shared" si="32"/>
        <v>51.5359685</v>
      </c>
      <c r="S45" s="5">
        <f t="shared" si="32"/>
        <v>49.82057416</v>
      </c>
      <c r="T45" s="5">
        <f t="shared" si="32"/>
        <v>58.82352941</v>
      </c>
      <c r="U45" s="5">
        <f t="shared" si="32"/>
        <v>126.0186706</v>
      </c>
      <c r="V45" s="5">
        <f t="shared" si="32"/>
        <v>-12.97346369</v>
      </c>
      <c r="W45" s="5">
        <f t="shared" si="32"/>
        <v>-31.35148042</v>
      </c>
      <c r="X45" s="5">
        <f t="shared" si="32"/>
        <v>1.679586563</v>
      </c>
      <c r="Y45" s="5">
        <f t="shared" si="32"/>
        <v>53.67307157</v>
      </c>
      <c r="Z45" s="5">
        <f t="shared" si="32"/>
        <v>41.16814159</v>
      </c>
      <c r="AA45" s="5">
        <f t="shared" si="32"/>
        <v>8.387096774</v>
      </c>
      <c r="AB45" s="5">
        <f t="shared" si="32"/>
        <v>48.65196078</v>
      </c>
      <c r="AC45" s="5">
        <f t="shared" si="32"/>
        <v>-20.87298983</v>
      </c>
      <c r="AD45" s="5">
        <f t="shared" si="32"/>
        <v>64.09779431</v>
      </c>
      <c r="AE45" s="5">
        <f t="shared" si="32"/>
        <v>23.46723044</v>
      </c>
      <c r="AF45" s="5">
        <f t="shared" si="32"/>
        <v>64.04181185</v>
      </c>
      <c r="AG45" s="5">
        <f t="shared" si="32"/>
        <v>14.3711143</v>
      </c>
      <c r="AH45" s="5" t="str">
        <f t="shared" si="32"/>
        <v>#DIV/0!</v>
      </c>
      <c r="AI45" s="5">
        <f t="shared" si="32"/>
        <v>235.5311355</v>
      </c>
      <c r="AJ45" s="5" t="str">
        <f t="shared" si="32"/>
        <v>#VALUE!</v>
      </c>
      <c r="AK45" s="5" t="str">
        <f t="shared" si="32"/>
        <v>#VALUE!</v>
      </c>
      <c r="AL45" s="5" t="str">
        <f t="shared" si="32"/>
        <v>#VALUE!</v>
      </c>
      <c r="AM45" s="5" t="str">
        <f t="shared" si="32"/>
        <v>#VALUE!</v>
      </c>
      <c r="AN45" s="5" t="str">
        <f t="shared" si="32"/>
        <v>#VALUE!</v>
      </c>
      <c r="AO45" s="5" t="str">
        <f t="shared" si="32"/>
        <v>#VALUE!</v>
      </c>
      <c r="AP45" s="5">
        <f t="shared" si="32"/>
        <v>54.8826109</v>
      </c>
    </row>
    <row r="46" ht="12.75" customHeight="1">
      <c r="F46" s="1"/>
      <c r="G46" s="1"/>
      <c r="H46" s="5">
        <f t="shared" ref="H46:AP46" si="33">(H11/H11 -1)*100</f>
        <v>0</v>
      </c>
      <c r="I46" s="5">
        <f t="shared" si="33"/>
        <v>0</v>
      </c>
      <c r="J46" s="5">
        <f t="shared" si="33"/>
        <v>0</v>
      </c>
      <c r="K46" s="5">
        <f t="shared" si="33"/>
        <v>0</v>
      </c>
      <c r="L46" s="5">
        <f t="shared" si="33"/>
        <v>0</v>
      </c>
      <c r="M46" s="5">
        <f t="shared" si="33"/>
        <v>0</v>
      </c>
      <c r="N46" s="5">
        <f t="shared" si="33"/>
        <v>0</v>
      </c>
      <c r="O46" s="5">
        <f t="shared" si="33"/>
        <v>0</v>
      </c>
      <c r="P46" s="5">
        <f t="shared" si="33"/>
        <v>0</v>
      </c>
      <c r="Q46" s="5">
        <f t="shared" si="33"/>
        <v>0</v>
      </c>
      <c r="R46" s="5">
        <f t="shared" si="33"/>
        <v>0</v>
      </c>
      <c r="S46" s="5">
        <f t="shared" si="33"/>
        <v>0</v>
      </c>
      <c r="T46" s="5">
        <f t="shared" si="33"/>
        <v>0</v>
      </c>
      <c r="U46" s="5">
        <f t="shared" si="33"/>
        <v>0</v>
      </c>
      <c r="V46" s="5">
        <f t="shared" si="33"/>
        <v>0</v>
      </c>
      <c r="W46" s="5">
        <f t="shared" si="33"/>
        <v>0</v>
      </c>
      <c r="X46" s="5">
        <f t="shared" si="33"/>
        <v>0</v>
      </c>
      <c r="Y46" s="5">
        <f t="shared" si="33"/>
        <v>0</v>
      </c>
      <c r="Z46" s="5">
        <f t="shared" si="33"/>
        <v>0</v>
      </c>
      <c r="AA46" s="5">
        <f t="shared" si="33"/>
        <v>0</v>
      </c>
      <c r="AB46" s="5">
        <f t="shared" si="33"/>
        <v>0</v>
      </c>
      <c r="AC46" s="5">
        <f t="shared" si="33"/>
        <v>0</v>
      </c>
      <c r="AD46" s="5">
        <f t="shared" si="33"/>
        <v>0</v>
      </c>
      <c r="AE46" s="5">
        <f t="shared" si="33"/>
        <v>0</v>
      </c>
      <c r="AF46" s="5">
        <f t="shared" si="33"/>
        <v>0</v>
      </c>
      <c r="AG46" s="5">
        <f t="shared" si="33"/>
        <v>0</v>
      </c>
      <c r="AH46" s="5">
        <f t="shared" si="33"/>
        <v>0</v>
      </c>
      <c r="AI46" s="5">
        <f t="shared" si="33"/>
        <v>0</v>
      </c>
      <c r="AJ46" s="5" t="str">
        <f t="shared" si="33"/>
        <v>#VALUE!</v>
      </c>
      <c r="AK46" s="5" t="str">
        <f t="shared" si="33"/>
        <v>#VALUE!</v>
      </c>
      <c r="AL46" s="5" t="str">
        <f t="shared" si="33"/>
        <v>#VALUE!</v>
      </c>
      <c r="AM46" s="5" t="str">
        <f t="shared" si="33"/>
        <v>#VALUE!</v>
      </c>
      <c r="AN46" s="5" t="str">
        <f t="shared" si="33"/>
        <v>#VALUE!</v>
      </c>
      <c r="AO46" s="5" t="str">
        <f t="shared" si="33"/>
        <v>#VALUE!</v>
      </c>
      <c r="AP46" s="5">
        <f t="shared" si="33"/>
        <v>0</v>
      </c>
    </row>
    <row r="47" ht="12.75" customHeight="1">
      <c r="F47" s="1"/>
      <c r="G47" s="1"/>
      <c r="H47" s="5">
        <f t="shared" ref="H47:AP47" si="34">(H12/H12 -1)*100</f>
        <v>0</v>
      </c>
      <c r="I47" s="5">
        <f t="shared" si="34"/>
        <v>0</v>
      </c>
      <c r="J47" s="5">
        <f t="shared" si="34"/>
        <v>0</v>
      </c>
      <c r="K47" s="5">
        <f t="shared" si="34"/>
        <v>0</v>
      </c>
      <c r="L47" s="5">
        <f t="shared" si="34"/>
        <v>0</v>
      </c>
      <c r="M47" s="5">
        <f t="shared" si="34"/>
        <v>0</v>
      </c>
      <c r="N47" s="5">
        <f t="shared" si="34"/>
        <v>0</v>
      </c>
      <c r="O47" s="5">
        <f t="shared" si="34"/>
        <v>0</v>
      </c>
      <c r="P47" s="5">
        <f t="shared" si="34"/>
        <v>0</v>
      </c>
      <c r="Q47" s="5">
        <f t="shared" si="34"/>
        <v>0</v>
      </c>
      <c r="R47" s="5">
        <f t="shared" si="34"/>
        <v>0</v>
      </c>
      <c r="S47" s="5">
        <f t="shared" si="34"/>
        <v>0</v>
      </c>
      <c r="T47" s="5">
        <f t="shared" si="34"/>
        <v>0</v>
      </c>
      <c r="U47" s="5">
        <f t="shared" si="34"/>
        <v>0</v>
      </c>
      <c r="V47" s="5">
        <f t="shared" si="34"/>
        <v>0</v>
      </c>
      <c r="W47" s="5">
        <f t="shared" si="34"/>
        <v>0</v>
      </c>
      <c r="X47" s="5">
        <f t="shared" si="34"/>
        <v>0</v>
      </c>
      <c r="Y47" s="5">
        <f t="shared" si="34"/>
        <v>0</v>
      </c>
      <c r="Z47" s="5">
        <f t="shared" si="34"/>
        <v>0</v>
      </c>
      <c r="AA47" s="5">
        <f t="shared" si="34"/>
        <v>0</v>
      </c>
      <c r="AB47" s="5">
        <f t="shared" si="34"/>
        <v>0</v>
      </c>
      <c r="AC47" s="5">
        <f t="shared" si="34"/>
        <v>0</v>
      </c>
      <c r="AD47" s="5">
        <f t="shared" si="34"/>
        <v>0</v>
      </c>
      <c r="AE47" s="5">
        <f t="shared" si="34"/>
        <v>0</v>
      </c>
      <c r="AF47" s="5">
        <f t="shared" si="34"/>
        <v>0</v>
      </c>
      <c r="AG47" s="5">
        <f t="shared" si="34"/>
        <v>0</v>
      </c>
      <c r="AH47" s="5">
        <f t="shared" si="34"/>
        <v>0</v>
      </c>
      <c r="AI47" s="5">
        <f t="shared" si="34"/>
        <v>0</v>
      </c>
      <c r="AJ47" s="5" t="str">
        <f t="shared" si="34"/>
        <v>#VALUE!</v>
      </c>
      <c r="AK47" s="5" t="str">
        <f t="shared" si="34"/>
        <v>#VALUE!</v>
      </c>
      <c r="AL47" s="5" t="str">
        <f t="shared" si="34"/>
        <v>#VALUE!</v>
      </c>
      <c r="AM47" s="5" t="str">
        <f t="shared" si="34"/>
        <v>#VALUE!</v>
      </c>
      <c r="AN47" s="5" t="str">
        <f t="shared" si="34"/>
        <v>#VALUE!</v>
      </c>
      <c r="AO47" s="5" t="str">
        <f t="shared" si="34"/>
        <v>#VALUE!</v>
      </c>
      <c r="AP47" s="5">
        <f t="shared" si="34"/>
        <v>0</v>
      </c>
    </row>
    <row r="48" ht="12.75" customHeight="1">
      <c r="F48" s="1"/>
      <c r="G48" s="1"/>
      <c r="H48" s="5">
        <f t="shared" ref="H48:AP48" si="35">(H13/H11 -1)*100</f>
        <v>48.62385321</v>
      </c>
      <c r="I48" s="5">
        <f t="shared" si="35"/>
        <v>-25.50083011</v>
      </c>
      <c r="J48" s="5">
        <f t="shared" si="35"/>
        <v>9.201706639</v>
      </c>
      <c r="K48" s="5">
        <f t="shared" si="35"/>
        <v>-57.54712578</v>
      </c>
      <c r="L48" s="5">
        <f t="shared" si="35"/>
        <v>168.1208054</v>
      </c>
      <c r="M48" s="5">
        <f t="shared" si="35"/>
        <v>-26.66666667</v>
      </c>
      <c r="N48" s="5">
        <f t="shared" si="35"/>
        <v>-50.02710217</v>
      </c>
      <c r="O48" s="5">
        <f t="shared" si="35"/>
        <v>641.9671432</v>
      </c>
      <c r="P48" s="5">
        <f t="shared" si="35"/>
        <v>406.4736842</v>
      </c>
      <c r="Q48" s="5">
        <f t="shared" si="35"/>
        <v>642.4925816</v>
      </c>
      <c r="R48" s="5">
        <f t="shared" si="35"/>
        <v>188.6501211</v>
      </c>
      <c r="S48" s="5">
        <f t="shared" si="35"/>
        <v>1728</v>
      </c>
      <c r="T48" s="5">
        <f t="shared" si="35"/>
        <v>416.6666667</v>
      </c>
      <c r="U48" s="5">
        <f t="shared" si="35"/>
        <v>239.763845</v>
      </c>
      <c r="V48" s="5">
        <f t="shared" si="35"/>
        <v>-27.02546963</v>
      </c>
      <c r="W48" s="5">
        <f t="shared" si="35"/>
        <v>-84.53333333</v>
      </c>
      <c r="X48" s="5">
        <f t="shared" si="35"/>
        <v>-1.315789474</v>
      </c>
      <c r="Y48" s="5">
        <f t="shared" si="35"/>
        <v>17.33487721</v>
      </c>
      <c r="Z48" s="5">
        <f t="shared" si="35"/>
        <v>45.67600487</v>
      </c>
      <c r="AA48" s="5">
        <f t="shared" si="35"/>
        <v>23.30827068</v>
      </c>
      <c r="AB48" s="5">
        <f t="shared" si="35"/>
        <v>47.96591534</v>
      </c>
      <c r="AC48" s="5">
        <f t="shared" si="35"/>
        <v>-5.831265509</v>
      </c>
      <c r="AD48" s="5">
        <f t="shared" si="35"/>
        <v>68.33587786</v>
      </c>
      <c r="AE48" s="5">
        <f t="shared" si="35"/>
        <v>28.39805825</v>
      </c>
      <c r="AF48" s="5">
        <f t="shared" si="35"/>
        <v>68.22183099</v>
      </c>
      <c r="AG48" s="5">
        <f t="shared" si="35"/>
        <v>-0.576318547</v>
      </c>
      <c r="AH48" s="5">
        <f t="shared" si="35"/>
        <v>233.3333333</v>
      </c>
      <c r="AI48" s="5">
        <f t="shared" si="35"/>
        <v>399.2248062</v>
      </c>
      <c r="AJ48" s="5" t="str">
        <f t="shared" si="35"/>
        <v>#VALUE!</v>
      </c>
      <c r="AK48" s="5" t="str">
        <f t="shared" si="35"/>
        <v>#VALUE!</v>
      </c>
      <c r="AL48" s="5" t="str">
        <f t="shared" si="35"/>
        <v>#VALUE!</v>
      </c>
      <c r="AM48" s="5" t="str">
        <f t="shared" si="35"/>
        <v>#VALUE!</v>
      </c>
      <c r="AN48" s="5" t="str">
        <f t="shared" si="35"/>
        <v>#VALUE!</v>
      </c>
      <c r="AO48" s="5" t="str">
        <f t="shared" si="35"/>
        <v>#VALUE!</v>
      </c>
      <c r="AP48" s="5">
        <f t="shared" si="35"/>
        <v>46.49668209</v>
      </c>
    </row>
    <row r="49" ht="12.75" customHeight="1">
      <c r="F49" s="1"/>
      <c r="G49" s="1"/>
      <c r="H49" s="5">
        <f t="shared" ref="H49:AP49" si="36">(H14/H12 -1)*100</f>
        <v>-4</v>
      </c>
      <c r="I49" s="5">
        <f t="shared" si="36"/>
        <v>-29.34376881</v>
      </c>
      <c r="J49" s="5">
        <f t="shared" si="36"/>
        <v>33.87696636</v>
      </c>
      <c r="K49" s="5">
        <f t="shared" si="36"/>
        <v>-54.81387868</v>
      </c>
      <c r="L49" s="5">
        <f t="shared" si="36"/>
        <v>34.72962681</v>
      </c>
      <c r="M49" s="5">
        <f t="shared" si="36"/>
        <v>-60</v>
      </c>
      <c r="N49" s="5">
        <f t="shared" si="36"/>
        <v>-46.19996549</v>
      </c>
      <c r="O49" s="5">
        <f t="shared" si="36"/>
        <v>217.1368421</v>
      </c>
      <c r="P49" s="5">
        <f t="shared" si="36"/>
        <v>209.5292767</v>
      </c>
      <c r="Q49" s="5">
        <f t="shared" si="36"/>
        <v>486.4820391</v>
      </c>
      <c r="R49" s="5">
        <f t="shared" si="36"/>
        <v>97.94933215</v>
      </c>
      <c r="S49" s="5">
        <f t="shared" si="36"/>
        <v>489.8403483</v>
      </c>
      <c r="T49" s="5">
        <f t="shared" si="36"/>
        <v>80</v>
      </c>
      <c r="U49" s="5">
        <f t="shared" si="36"/>
        <v>135.6857907</v>
      </c>
      <c r="V49" s="5">
        <f t="shared" si="36"/>
        <v>-26.46375663</v>
      </c>
      <c r="W49" s="5">
        <f t="shared" si="36"/>
        <v>-36.84456929</v>
      </c>
      <c r="X49" s="5">
        <f t="shared" si="36"/>
        <v>-6.356968215</v>
      </c>
      <c r="Y49" s="5">
        <f t="shared" si="36"/>
        <v>78.46174479</v>
      </c>
      <c r="Z49" s="5">
        <f t="shared" si="36"/>
        <v>26.84989429</v>
      </c>
      <c r="AA49" s="5">
        <f t="shared" si="36"/>
        <v>-1.154734411</v>
      </c>
      <c r="AB49" s="5">
        <f t="shared" si="36"/>
        <v>25.27285957</v>
      </c>
      <c r="AC49" s="5">
        <f t="shared" si="36"/>
        <v>-9.788208357</v>
      </c>
      <c r="AD49" s="5">
        <f t="shared" si="36"/>
        <v>56.33142262</v>
      </c>
      <c r="AE49" s="5">
        <f t="shared" si="36"/>
        <v>10.82802548</v>
      </c>
      <c r="AF49" s="5">
        <f t="shared" si="36"/>
        <v>35.71428571</v>
      </c>
      <c r="AG49" s="5">
        <f t="shared" si="36"/>
        <v>3.288379826</v>
      </c>
      <c r="AH49" s="5">
        <f t="shared" si="36"/>
        <v>71.42857143</v>
      </c>
      <c r="AI49" s="5">
        <f t="shared" si="36"/>
        <v>230.5263158</v>
      </c>
      <c r="AJ49" s="5" t="str">
        <f t="shared" si="36"/>
        <v>#VALUE!</v>
      </c>
      <c r="AK49" s="5" t="str">
        <f t="shared" si="36"/>
        <v>#VALUE!</v>
      </c>
      <c r="AL49" s="5" t="str">
        <f t="shared" si="36"/>
        <v>#VALUE!</v>
      </c>
      <c r="AM49" s="5" t="str">
        <f t="shared" si="36"/>
        <v>#VALUE!</v>
      </c>
      <c r="AN49" s="5" t="str">
        <f t="shared" si="36"/>
        <v>#VALUE!</v>
      </c>
      <c r="AO49" s="5" t="str">
        <f t="shared" si="36"/>
        <v>#VALUE!</v>
      </c>
      <c r="AP49" s="5">
        <f t="shared" si="36"/>
        <v>2.457785416</v>
      </c>
    </row>
    <row r="50" ht="12.75" customHeight="1">
      <c r="F50" s="1"/>
      <c r="G50" s="1"/>
      <c r="H50" s="5">
        <f t="shared" ref="H50:AP50" si="37">(H15/H11 -1)*100</f>
        <v>24.7706422</v>
      </c>
      <c r="I50" s="5">
        <f t="shared" si="37"/>
        <v>-34.7426674</v>
      </c>
      <c r="J50" s="5">
        <f t="shared" si="37"/>
        <v>20.36794942</v>
      </c>
      <c r="K50" s="5">
        <f t="shared" si="37"/>
        <v>-72.94176047</v>
      </c>
      <c r="L50" s="5">
        <f t="shared" si="37"/>
        <v>3.355704698</v>
      </c>
      <c r="M50" s="5">
        <f t="shared" si="37"/>
        <v>-63.33333333</v>
      </c>
      <c r="N50" s="5">
        <f t="shared" si="37"/>
        <v>-61.95030687</v>
      </c>
      <c r="O50" s="5">
        <f t="shared" si="37"/>
        <v>761.787924</v>
      </c>
      <c r="P50" s="5">
        <f t="shared" si="37"/>
        <v>563.5789474</v>
      </c>
      <c r="Q50" s="5">
        <f t="shared" si="37"/>
        <v>1124.117564</v>
      </c>
      <c r="R50" s="5">
        <f t="shared" si="37"/>
        <v>175.1795803</v>
      </c>
      <c r="S50" s="5">
        <f t="shared" si="37"/>
        <v>953.6</v>
      </c>
      <c r="T50" s="5">
        <f t="shared" si="37"/>
        <v>300</v>
      </c>
      <c r="U50" s="5">
        <f t="shared" si="37"/>
        <v>286.9449526</v>
      </c>
      <c r="V50" s="5">
        <f t="shared" si="37"/>
        <v>-4.840382621</v>
      </c>
      <c r="W50" s="5">
        <f t="shared" si="37"/>
        <v>-71.04761905</v>
      </c>
      <c r="X50" s="5">
        <f t="shared" si="37"/>
        <v>5.639097744</v>
      </c>
      <c r="Y50" s="5">
        <f t="shared" si="37"/>
        <v>59.57446809</v>
      </c>
      <c r="Z50" s="5">
        <f t="shared" si="37"/>
        <v>58.87129517</v>
      </c>
      <c r="AA50" s="5">
        <f t="shared" si="37"/>
        <v>13.28320802</v>
      </c>
      <c r="AB50" s="5">
        <f t="shared" si="37"/>
        <v>52.22649808</v>
      </c>
      <c r="AC50" s="5">
        <f t="shared" si="37"/>
        <v>-4.652605459</v>
      </c>
      <c r="AD50" s="5">
        <f t="shared" si="37"/>
        <v>82.44274809</v>
      </c>
      <c r="AE50" s="5">
        <f t="shared" si="37"/>
        <v>33.98058252</v>
      </c>
      <c r="AF50" s="5">
        <f t="shared" si="37"/>
        <v>96.56690141</v>
      </c>
      <c r="AG50" s="5">
        <f t="shared" si="37"/>
        <v>-3.388054488</v>
      </c>
      <c r="AH50" s="5">
        <f t="shared" si="37"/>
        <v>366.6666667</v>
      </c>
      <c r="AI50" s="5">
        <f t="shared" si="37"/>
        <v>590.6976744</v>
      </c>
      <c r="AJ50" s="5" t="str">
        <f t="shared" si="37"/>
        <v>#VALUE!</v>
      </c>
      <c r="AK50" s="5" t="str">
        <f t="shared" si="37"/>
        <v>#VALUE!</v>
      </c>
      <c r="AL50" s="5" t="str">
        <f t="shared" si="37"/>
        <v>#VALUE!</v>
      </c>
      <c r="AM50" s="5" t="str">
        <f t="shared" si="37"/>
        <v>#VALUE!</v>
      </c>
      <c r="AN50" s="5" t="str">
        <f t="shared" si="37"/>
        <v>#VALUE!</v>
      </c>
      <c r="AO50" s="5" t="str">
        <f t="shared" si="37"/>
        <v>#VALUE!</v>
      </c>
      <c r="AP50" s="5">
        <f t="shared" si="37"/>
        <v>29.86969032</v>
      </c>
    </row>
    <row r="51" ht="12.75" customHeight="1">
      <c r="F51" s="1"/>
      <c r="G51" s="1"/>
      <c r="I51" s="5">
        <f t="shared" ref="I51:N51" si="38">(I16/I11 -1)*100</f>
        <v>-38.74930825</v>
      </c>
      <c r="J51" s="5">
        <f t="shared" si="38"/>
        <v>21.21116684</v>
      </c>
      <c r="K51" s="5">
        <f t="shared" si="38"/>
        <v>-71.26122724</v>
      </c>
      <c r="L51" s="5">
        <f t="shared" si="38"/>
        <v>473.9932886</v>
      </c>
      <c r="M51" s="5">
        <f t="shared" si="38"/>
        <v>-80</v>
      </c>
      <c r="N51" s="5">
        <f t="shared" si="38"/>
        <v>-61.11625955</v>
      </c>
      <c r="P51" s="5">
        <f t="shared" ref="P51:AP51" si="39">(P16/P11 -1)*100</f>
        <v>579.3684211</v>
      </c>
      <c r="Q51" s="5">
        <f t="shared" si="39"/>
        <v>1244.538646</v>
      </c>
      <c r="R51" s="5">
        <f t="shared" si="39"/>
        <v>218.7873285</v>
      </c>
      <c r="S51" s="5">
        <f t="shared" si="39"/>
        <v>6283.2</v>
      </c>
      <c r="T51" s="5">
        <f t="shared" si="39"/>
        <v>133.3333333</v>
      </c>
      <c r="U51" s="5">
        <f t="shared" si="39"/>
        <v>331.2988525</v>
      </c>
      <c r="V51" s="5">
        <f t="shared" si="39"/>
        <v>-30.80050709</v>
      </c>
      <c r="W51" s="5">
        <f t="shared" si="39"/>
        <v>-80.57142857</v>
      </c>
      <c r="X51" s="5">
        <f t="shared" si="39"/>
        <v>15.03759398</v>
      </c>
      <c r="Y51" s="5">
        <f t="shared" si="39"/>
        <v>121.5033531</v>
      </c>
      <c r="Z51" s="5">
        <f t="shared" si="39"/>
        <v>46.16321559</v>
      </c>
      <c r="AA51" s="5">
        <f t="shared" si="39"/>
        <v>15.53884712</v>
      </c>
      <c r="AB51" s="5">
        <f t="shared" si="39"/>
        <v>62.25948323</v>
      </c>
      <c r="AC51" s="5">
        <f t="shared" si="39"/>
        <v>-1.364764268</v>
      </c>
      <c r="AD51" s="5">
        <f t="shared" si="39"/>
        <v>77.86259542</v>
      </c>
      <c r="AE51" s="5">
        <f t="shared" si="39"/>
        <v>26.69902913</v>
      </c>
      <c r="AF51" s="5">
        <f t="shared" si="39"/>
        <v>83.89084507</v>
      </c>
      <c r="AG51" s="5">
        <f t="shared" si="39"/>
        <v>-3.999301432</v>
      </c>
      <c r="AH51" s="5">
        <f t="shared" si="39"/>
        <v>300</v>
      </c>
      <c r="AI51" s="5">
        <f t="shared" si="39"/>
        <v>550.3875969</v>
      </c>
      <c r="AJ51" s="5" t="str">
        <f t="shared" si="39"/>
        <v>#VALUE!</v>
      </c>
      <c r="AK51" s="5" t="str">
        <f t="shared" si="39"/>
        <v>#VALUE!</v>
      </c>
      <c r="AL51" s="5" t="str">
        <f t="shared" si="39"/>
        <v>#VALUE!</v>
      </c>
      <c r="AM51" s="5" t="str">
        <f t="shared" si="39"/>
        <v>#VALUE!</v>
      </c>
      <c r="AN51" s="5" t="str">
        <f t="shared" si="39"/>
        <v>#VALUE!</v>
      </c>
      <c r="AO51" s="5" t="str">
        <f t="shared" si="39"/>
        <v>#VALUE!</v>
      </c>
      <c r="AP51" s="5" t="str">
        <f t="shared" si="39"/>
        <v>#VALUE!</v>
      </c>
    </row>
    <row r="52" ht="12.75" customHeight="1">
      <c r="F52" s="1"/>
      <c r="G52" s="1"/>
      <c r="H52" s="5">
        <f t="shared" ref="H52:AP52" si="40">(H17/H12 -1)*100</f>
        <v>9.6</v>
      </c>
      <c r="I52" s="5">
        <f t="shared" si="40"/>
        <v>-32.40216737</v>
      </c>
      <c r="J52" s="5">
        <f t="shared" si="40"/>
        <v>32.91568511</v>
      </c>
      <c r="K52" s="5">
        <f t="shared" si="40"/>
        <v>-60.50934436</v>
      </c>
      <c r="L52" s="5">
        <f t="shared" si="40"/>
        <v>-9.291698401</v>
      </c>
      <c r="M52" s="5">
        <f t="shared" si="40"/>
        <v>-100</v>
      </c>
      <c r="N52" s="5">
        <f t="shared" si="40"/>
        <v>-52.7605245</v>
      </c>
      <c r="O52" s="5">
        <f t="shared" si="40"/>
        <v>299.3670175</v>
      </c>
      <c r="P52" s="5">
        <f t="shared" si="40"/>
        <v>215.9357061</v>
      </c>
      <c r="Q52" s="5">
        <f t="shared" si="40"/>
        <v>521.2025473</v>
      </c>
      <c r="R52" s="5">
        <f t="shared" si="40"/>
        <v>84.56594927</v>
      </c>
      <c r="S52" s="5">
        <f t="shared" si="40"/>
        <v>323.6574746</v>
      </c>
      <c r="T52" s="5">
        <f t="shared" si="40"/>
        <v>-100</v>
      </c>
      <c r="U52" s="5">
        <f t="shared" si="40"/>
        <v>120.7855233</v>
      </c>
      <c r="V52" s="5">
        <f t="shared" si="40"/>
        <v>-50.01048731</v>
      </c>
      <c r="W52" s="5">
        <f t="shared" si="40"/>
        <v>-33.1928839</v>
      </c>
      <c r="X52" s="5">
        <f t="shared" si="40"/>
        <v>-2.811735941</v>
      </c>
      <c r="Y52" s="5">
        <f t="shared" si="40"/>
        <v>25.84858848</v>
      </c>
      <c r="Z52" s="5">
        <f t="shared" si="40"/>
        <v>53.73502467</v>
      </c>
      <c r="AA52" s="5">
        <f t="shared" si="40"/>
        <v>21.93995381</v>
      </c>
      <c r="AB52" s="5">
        <f t="shared" si="40"/>
        <v>39.82536988</v>
      </c>
      <c r="AC52" s="5">
        <f t="shared" si="40"/>
        <v>-16.71436749</v>
      </c>
      <c r="AD52" s="5">
        <f t="shared" si="40"/>
        <v>58.62428348</v>
      </c>
      <c r="AE52" s="5">
        <f t="shared" si="40"/>
        <v>36.94267516</v>
      </c>
      <c r="AF52" s="5">
        <f t="shared" si="40"/>
        <v>37.42098609</v>
      </c>
      <c r="AG52" s="5">
        <f t="shared" si="40"/>
        <v>2.087566968</v>
      </c>
      <c r="AH52" s="5">
        <f t="shared" si="40"/>
        <v>142.8571429</v>
      </c>
      <c r="AI52" s="5">
        <f t="shared" si="40"/>
        <v>264.5614035</v>
      </c>
      <c r="AJ52" s="5" t="str">
        <f t="shared" si="40"/>
        <v>#VALUE!</v>
      </c>
      <c r="AK52" s="5" t="str">
        <f t="shared" si="40"/>
        <v>#VALUE!</v>
      </c>
      <c r="AL52" s="5" t="str">
        <f t="shared" si="40"/>
        <v>#VALUE!</v>
      </c>
      <c r="AM52" s="5" t="str">
        <f t="shared" si="40"/>
        <v>#VALUE!</v>
      </c>
      <c r="AN52" s="5" t="str">
        <f t="shared" si="40"/>
        <v>#VALUE!</v>
      </c>
      <c r="AO52" s="5" t="str">
        <f t="shared" si="40"/>
        <v>#VALUE!</v>
      </c>
      <c r="AP52" s="5">
        <f t="shared" si="40"/>
        <v>26.40768674</v>
      </c>
    </row>
    <row r="53" ht="12.75" customHeight="1">
      <c r="F53" s="1"/>
      <c r="G53" s="1"/>
      <c r="H53" s="5">
        <f t="shared" ref="H53:AP53" si="41">(H18/H12 -1)*100</f>
        <v>-15.2</v>
      </c>
      <c r="I53" s="5">
        <f t="shared" si="41"/>
        <v>-21.73389524</v>
      </c>
      <c r="J53" s="5">
        <f t="shared" si="41"/>
        <v>49.22036121</v>
      </c>
      <c r="K53" s="5">
        <f t="shared" si="41"/>
        <v>-68.97709865</v>
      </c>
      <c r="L53" s="5">
        <f t="shared" si="41"/>
        <v>5.712109673</v>
      </c>
      <c r="M53" s="5">
        <f t="shared" si="41"/>
        <v>-100</v>
      </c>
      <c r="N53" s="5">
        <f t="shared" si="41"/>
        <v>-50.03666322</v>
      </c>
      <c r="O53" s="5">
        <f t="shared" si="41"/>
        <v>202.7508772</v>
      </c>
      <c r="P53" s="5">
        <f t="shared" si="41"/>
        <v>308.5189437</v>
      </c>
      <c r="Q53" s="5">
        <f t="shared" si="41"/>
        <v>678.8484639</v>
      </c>
      <c r="R53" s="5">
        <f t="shared" si="41"/>
        <v>61.92242808</v>
      </c>
      <c r="S53" s="5">
        <f t="shared" si="41"/>
        <v>451.3788099</v>
      </c>
      <c r="T53" s="5">
        <f t="shared" si="41"/>
        <v>-100</v>
      </c>
      <c r="U53" s="5">
        <f t="shared" si="41"/>
        <v>160.7855233</v>
      </c>
      <c r="V53" s="5">
        <f t="shared" si="41"/>
        <v>-42.24210927</v>
      </c>
      <c r="W53" s="5">
        <f t="shared" si="41"/>
        <v>-31.71816479</v>
      </c>
      <c r="X53" s="5">
        <f t="shared" si="41"/>
        <v>-2.93398533</v>
      </c>
      <c r="Y53" s="5">
        <f t="shared" si="41"/>
        <v>42.66747133</v>
      </c>
      <c r="Z53" s="5">
        <f t="shared" si="41"/>
        <v>44.46793517</v>
      </c>
      <c r="AA53" s="5">
        <f t="shared" si="41"/>
        <v>15.01154734</v>
      </c>
      <c r="AB53" s="5">
        <f t="shared" si="41"/>
        <v>31.28789716</v>
      </c>
      <c r="AC53" s="5">
        <f t="shared" si="41"/>
        <v>-11.04751002</v>
      </c>
      <c r="AD53" s="5">
        <f t="shared" si="41"/>
        <v>55.68004169</v>
      </c>
      <c r="AE53" s="5">
        <f t="shared" si="41"/>
        <v>21.01910828</v>
      </c>
      <c r="AF53" s="5">
        <f t="shared" si="41"/>
        <v>30.78381795</v>
      </c>
      <c r="AG53" s="5">
        <f t="shared" si="41"/>
        <v>0.8313319786</v>
      </c>
      <c r="AH53" s="5">
        <f t="shared" si="41"/>
        <v>14.28571429</v>
      </c>
      <c r="AI53" s="5">
        <f t="shared" si="41"/>
        <v>257.1929825</v>
      </c>
      <c r="AJ53" s="5" t="str">
        <f t="shared" si="41"/>
        <v>#VALUE!</v>
      </c>
      <c r="AK53" s="5" t="str">
        <f t="shared" si="41"/>
        <v>#VALUE!</v>
      </c>
      <c r="AL53" s="5" t="str">
        <f t="shared" si="41"/>
        <v>#VALUE!</v>
      </c>
      <c r="AM53" s="5" t="str">
        <f t="shared" si="41"/>
        <v>#VALUE!</v>
      </c>
      <c r="AN53" s="5" t="str">
        <f t="shared" si="41"/>
        <v>#VALUE!</v>
      </c>
      <c r="AO53" s="5" t="str">
        <f t="shared" si="41"/>
        <v>#VALUE!</v>
      </c>
      <c r="AP53" s="5">
        <f t="shared" si="41"/>
        <v>-25.89061491</v>
      </c>
    </row>
    <row r="54" ht="12.75" customHeight="1">
      <c r="F54" s="1"/>
      <c r="G54" s="1"/>
      <c r="H54" s="5">
        <f t="shared" ref="H54:V54" si="42">(H19/H19 -1)*100</f>
        <v>0</v>
      </c>
      <c r="I54" s="5">
        <f t="shared" si="42"/>
        <v>0</v>
      </c>
      <c r="J54" s="5">
        <f t="shared" si="42"/>
        <v>0</v>
      </c>
      <c r="K54" s="5">
        <f t="shared" si="42"/>
        <v>0</v>
      </c>
      <c r="L54" s="5">
        <f t="shared" si="42"/>
        <v>0</v>
      </c>
      <c r="M54" s="5">
        <f t="shared" si="42"/>
        <v>0</v>
      </c>
      <c r="N54" s="5">
        <f t="shared" si="42"/>
        <v>0</v>
      </c>
      <c r="O54" s="5">
        <f t="shared" si="42"/>
        <v>0</v>
      </c>
      <c r="P54" s="5">
        <f t="shared" si="42"/>
        <v>0</v>
      </c>
      <c r="Q54" s="5">
        <f t="shared" si="42"/>
        <v>0</v>
      </c>
      <c r="R54" s="5">
        <f t="shared" si="42"/>
        <v>0</v>
      </c>
      <c r="S54" s="5">
        <f t="shared" si="42"/>
        <v>0</v>
      </c>
      <c r="T54" s="5">
        <f t="shared" si="42"/>
        <v>0</v>
      </c>
      <c r="U54" s="5">
        <f t="shared" si="42"/>
        <v>0</v>
      </c>
      <c r="V54" s="5">
        <f t="shared" si="42"/>
        <v>0</v>
      </c>
      <c r="X54" s="5">
        <f t="shared" ref="X54:AP54" si="43">(X19/X19 -1)*100</f>
        <v>0</v>
      </c>
      <c r="Y54" s="5">
        <f t="shared" si="43"/>
        <v>0</v>
      </c>
      <c r="Z54" s="5">
        <f t="shared" si="43"/>
        <v>0</v>
      </c>
      <c r="AA54" s="5">
        <f t="shared" si="43"/>
        <v>0</v>
      </c>
      <c r="AB54" s="5">
        <f t="shared" si="43"/>
        <v>0</v>
      </c>
      <c r="AC54" s="5">
        <f t="shared" si="43"/>
        <v>0</v>
      </c>
      <c r="AD54" s="5">
        <f t="shared" si="43"/>
        <v>0</v>
      </c>
      <c r="AE54" s="5">
        <f t="shared" si="43"/>
        <v>0</v>
      </c>
      <c r="AF54" s="5">
        <f t="shared" si="43"/>
        <v>0</v>
      </c>
      <c r="AG54" s="5">
        <f t="shared" si="43"/>
        <v>0</v>
      </c>
      <c r="AH54" s="5" t="str">
        <f t="shared" si="43"/>
        <v>#DIV/0!</v>
      </c>
      <c r="AI54" s="5">
        <f t="shared" si="43"/>
        <v>0</v>
      </c>
      <c r="AJ54" s="5" t="str">
        <f t="shared" si="43"/>
        <v>#VALUE!</v>
      </c>
      <c r="AK54" s="5" t="str">
        <f t="shared" si="43"/>
        <v>#VALUE!</v>
      </c>
      <c r="AL54" s="5" t="str">
        <f t="shared" si="43"/>
        <v>#VALUE!</v>
      </c>
      <c r="AM54" s="5" t="str">
        <f t="shared" si="43"/>
        <v>#VALUE!</v>
      </c>
      <c r="AN54" s="5" t="str">
        <f t="shared" si="43"/>
        <v>#VALUE!</v>
      </c>
      <c r="AO54" s="5" t="str">
        <f t="shared" si="43"/>
        <v>#VALUE!</v>
      </c>
      <c r="AP54" s="5">
        <f t="shared" si="43"/>
        <v>0</v>
      </c>
    </row>
    <row r="55" ht="12.75" customHeight="1">
      <c r="F55" s="1"/>
      <c r="G55" s="1"/>
      <c r="H55" s="5">
        <f t="shared" ref="H55:AP55" si="44">(H20/H20 -1)*100</f>
        <v>0</v>
      </c>
      <c r="I55" s="5">
        <f t="shared" si="44"/>
        <v>0</v>
      </c>
      <c r="J55" s="5">
        <f t="shared" si="44"/>
        <v>0</v>
      </c>
      <c r="K55" s="5">
        <f t="shared" si="44"/>
        <v>0</v>
      </c>
      <c r="L55" s="5">
        <f t="shared" si="44"/>
        <v>0</v>
      </c>
      <c r="M55" s="5" t="str">
        <f t="shared" si="44"/>
        <v>#DIV/0!</v>
      </c>
      <c r="N55" s="5">
        <f t="shared" si="44"/>
        <v>0</v>
      </c>
      <c r="O55" s="5">
        <f t="shared" si="44"/>
        <v>0</v>
      </c>
      <c r="P55" s="5">
        <f t="shared" si="44"/>
        <v>0</v>
      </c>
      <c r="Q55" s="5">
        <f t="shared" si="44"/>
        <v>0</v>
      </c>
      <c r="R55" s="5">
        <f t="shared" si="44"/>
        <v>0</v>
      </c>
      <c r="S55" s="5">
        <f t="shared" si="44"/>
        <v>0</v>
      </c>
      <c r="T55" s="5" t="str">
        <f t="shared" si="44"/>
        <v>#DIV/0!</v>
      </c>
      <c r="U55" s="5">
        <f t="shared" si="44"/>
        <v>0</v>
      </c>
      <c r="V55" s="5">
        <f t="shared" si="44"/>
        <v>0</v>
      </c>
      <c r="W55" s="5">
        <f t="shared" si="44"/>
        <v>0</v>
      </c>
      <c r="X55" s="5">
        <f t="shared" si="44"/>
        <v>0</v>
      </c>
      <c r="Y55" s="5">
        <f t="shared" si="44"/>
        <v>0</v>
      </c>
      <c r="Z55" s="5">
        <f t="shared" si="44"/>
        <v>0</v>
      </c>
      <c r="AA55" s="5">
        <f t="shared" si="44"/>
        <v>0</v>
      </c>
      <c r="AB55" s="5">
        <f t="shared" si="44"/>
        <v>0</v>
      </c>
      <c r="AC55" s="5">
        <f t="shared" si="44"/>
        <v>0</v>
      </c>
      <c r="AD55" s="5">
        <f t="shared" si="44"/>
        <v>0</v>
      </c>
      <c r="AE55" s="5">
        <f t="shared" si="44"/>
        <v>0</v>
      </c>
      <c r="AF55" s="5">
        <f t="shared" si="44"/>
        <v>0</v>
      </c>
      <c r="AG55" s="5">
        <f t="shared" si="44"/>
        <v>0</v>
      </c>
      <c r="AH55" s="5" t="str">
        <f t="shared" si="44"/>
        <v>#DIV/0!</v>
      </c>
      <c r="AI55" s="5">
        <f t="shared" si="44"/>
        <v>0</v>
      </c>
      <c r="AJ55" s="5" t="str">
        <f t="shared" si="44"/>
        <v>#VALUE!</v>
      </c>
      <c r="AK55" s="5" t="str">
        <f t="shared" si="44"/>
        <v>#VALUE!</v>
      </c>
      <c r="AL55" s="5" t="str">
        <f t="shared" si="44"/>
        <v>#VALUE!</v>
      </c>
      <c r="AM55" s="5" t="str">
        <f t="shared" si="44"/>
        <v>#VALUE!</v>
      </c>
      <c r="AN55" s="5" t="str">
        <f t="shared" si="44"/>
        <v>#VALUE!</v>
      </c>
      <c r="AO55" s="5" t="str">
        <f t="shared" si="44"/>
        <v>#VALUE!</v>
      </c>
      <c r="AP55" s="5">
        <f t="shared" si="44"/>
        <v>0</v>
      </c>
    </row>
    <row r="56" ht="12.75" customHeight="1">
      <c r="F56" s="1"/>
      <c r="G56" s="1"/>
      <c r="H56" s="5">
        <f t="shared" ref="H56:V56" si="45">(H21/H19 -1)*100</f>
        <v>94.62365591</v>
      </c>
      <c r="I56" s="5">
        <f t="shared" si="45"/>
        <v>-27.74356103</v>
      </c>
      <c r="J56" s="5">
        <f t="shared" si="45"/>
        <v>28.01920432</v>
      </c>
      <c r="K56" s="5">
        <f t="shared" si="45"/>
        <v>-60.43522093</v>
      </c>
      <c r="L56" s="5">
        <f t="shared" si="45"/>
        <v>211.8794326</v>
      </c>
      <c r="M56" s="5">
        <f t="shared" si="45"/>
        <v>1700</v>
      </c>
      <c r="N56" s="5">
        <f t="shared" si="45"/>
        <v>-48.02104508</v>
      </c>
      <c r="O56" s="5">
        <f t="shared" si="45"/>
        <v>832.469035</v>
      </c>
      <c r="P56" s="5">
        <f t="shared" si="45"/>
        <v>331.7808219</v>
      </c>
      <c r="Q56" s="5">
        <f t="shared" si="45"/>
        <v>665.1141513</v>
      </c>
      <c r="R56" s="5">
        <f t="shared" si="45"/>
        <v>136.4606384</v>
      </c>
      <c r="S56" s="5">
        <f t="shared" si="45"/>
        <v>1762.427746</v>
      </c>
      <c r="T56" s="5">
        <f t="shared" si="45"/>
        <v>6500</v>
      </c>
      <c r="U56" s="5">
        <f t="shared" si="45"/>
        <v>210.6495026</v>
      </c>
      <c r="V56" s="5">
        <f t="shared" si="45"/>
        <v>3.46800763</v>
      </c>
      <c r="X56" s="5">
        <f t="shared" ref="X56:AP56" si="46">(X21/X19 -1)*100</f>
        <v>-2.762430939</v>
      </c>
      <c r="Y56" s="5">
        <f t="shared" si="46"/>
        <v>51.74609757</v>
      </c>
      <c r="Z56" s="5">
        <f t="shared" si="46"/>
        <v>49.74639095</v>
      </c>
      <c r="AA56" s="5">
        <f t="shared" si="46"/>
        <v>-3.956043956</v>
      </c>
      <c r="AB56" s="5">
        <f t="shared" si="46"/>
        <v>45.93822995</v>
      </c>
      <c r="AC56" s="5">
        <f t="shared" si="46"/>
        <v>3.506493506</v>
      </c>
      <c r="AD56" s="5">
        <f t="shared" si="46"/>
        <v>73.84375</v>
      </c>
      <c r="AE56" s="5">
        <f t="shared" si="46"/>
        <v>12.99559471</v>
      </c>
      <c r="AF56" s="5">
        <f t="shared" si="46"/>
        <v>117.4929841</v>
      </c>
      <c r="AG56" s="5">
        <f t="shared" si="46"/>
        <v>0.328827183</v>
      </c>
      <c r="AH56" s="5" t="str">
        <f t="shared" si="46"/>
        <v>#DIV/0!</v>
      </c>
      <c r="AI56" s="5">
        <f t="shared" si="46"/>
        <v>379.1139241</v>
      </c>
      <c r="AJ56" s="5" t="str">
        <f t="shared" si="46"/>
        <v>#VALUE!</v>
      </c>
      <c r="AK56" s="5" t="str">
        <f t="shared" si="46"/>
        <v>#VALUE!</v>
      </c>
      <c r="AL56" s="5" t="str">
        <f t="shared" si="46"/>
        <v>#VALUE!</v>
      </c>
      <c r="AM56" s="5" t="str">
        <f t="shared" si="46"/>
        <v>#VALUE!</v>
      </c>
      <c r="AN56" s="5" t="str">
        <f t="shared" si="46"/>
        <v>#VALUE!</v>
      </c>
      <c r="AO56" s="5" t="str">
        <f t="shared" si="46"/>
        <v>#VALUE!</v>
      </c>
      <c r="AP56" s="5">
        <f t="shared" si="46"/>
        <v>115.9588819</v>
      </c>
    </row>
    <row r="57" ht="12.75" customHeight="1">
      <c r="F57" s="1"/>
      <c r="G57" s="1"/>
      <c r="H57" s="5">
        <f t="shared" ref="H57:AP57" si="47">(H22/H20 -1)*100</f>
        <v>10</v>
      </c>
      <c r="I57" s="5">
        <f t="shared" si="47"/>
        <v>-34.9727384</v>
      </c>
      <c r="J57" s="5">
        <f t="shared" si="47"/>
        <v>11.43292467</v>
      </c>
      <c r="K57" s="5">
        <f t="shared" si="47"/>
        <v>-56.03048666</v>
      </c>
      <c r="L57" s="5">
        <f t="shared" si="47"/>
        <v>-64.3776824</v>
      </c>
      <c r="M57" s="5" t="str">
        <f t="shared" si="47"/>
        <v>#DIV/0!</v>
      </c>
      <c r="N57" s="5">
        <f t="shared" si="47"/>
        <v>-39.3078306</v>
      </c>
      <c r="O57" s="5">
        <f t="shared" si="47"/>
        <v>260.7772021</v>
      </c>
      <c r="P57" s="5">
        <f t="shared" si="47"/>
        <v>189.9499499</v>
      </c>
      <c r="Q57" s="5">
        <f t="shared" si="47"/>
        <v>396.8177472</v>
      </c>
      <c r="R57" s="5">
        <f t="shared" si="47"/>
        <v>96.03626555</v>
      </c>
      <c r="S57" s="5">
        <f t="shared" si="47"/>
        <v>58.78859857</v>
      </c>
      <c r="T57" s="5" t="str">
        <f t="shared" si="47"/>
        <v>#DIV/0!</v>
      </c>
      <c r="U57" s="5">
        <f t="shared" si="47"/>
        <v>170.5974843</v>
      </c>
      <c r="V57" s="5">
        <f t="shared" si="47"/>
        <v>51.33859059</v>
      </c>
      <c r="W57" s="5">
        <f t="shared" si="47"/>
        <v>894.2857143</v>
      </c>
      <c r="X57" s="5">
        <f t="shared" si="47"/>
        <v>-2.369077307</v>
      </c>
      <c r="Y57" s="5">
        <f t="shared" si="47"/>
        <v>34.89505542</v>
      </c>
      <c r="Z57" s="5">
        <f t="shared" si="47"/>
        <v>32.3697479</v>
      </c>
      <c r="AA57" s="5">
        <f t="shared" si="47"/>
        <v>17.32673267</v>
      </c>
      <c r="AB57" s="5">
        <f t="shared" si="47"/>
        <v>64.92040521</v>
      </c>
      <c r="AC57" s="5">
        <f t="shared" si="47"/>
        <v>5.359565807</v>
      </c>
      <c r="AD57" s="5">
        <f t="shared" si="47"/>
        <v>80.74252943</v>
      </c>
      <c r="AE57" s="5">
        <f t="shared" si="47"/>
        <v>48.34605598</v>
      </c>
      <c r="AF57" s="5">
        <f t="shared" si="47"/>
        <v>55.05617978</v>
      </c>
      <c r="AG57" s="5">
        <f t="shared" si="47"/>
        <v>-2.786266403</v>
      </c>
      <c r="AH57" s="5" t="str">
        <f t="shared" si="47"/>
        <v>#DIV/0!</v>
      </c>
      <c r="AI57" s="5">
        <f t="shared" si="47"/>
        <v>227.5862069</v>
      </c>
      <c r="AJ57" s="5" t="str">
        <f t="shared" si="47"/>
        <v>#VALUE!</v>
      </c>
      <c r="AK57" s="5" t="str">
        <f t="shared" si="47"/>
        <v>#VALUE!</v>
      </c>
      <c r="AL57" s="5" t="str">
        <f t="shared" si="47"/>
        <v>#VALUE!</v>
      </c>
      <c r="AM57" s="5" t="str">
        <f t="shared" si="47"/>
        <v>#VALUE!</v>
      </c>
      <c r="AN57" s="5" t="str">
        <f t="shared" si="47"/>
        <v>#VALUE!</v>
      </c>
      <c r="AO57" s="5" t="str">
        <f t="shared" si="47"/>
        <v>#VALUE!</v>
      </c>
      <c r="AP57" s="5">
        <f t="shared" si="47"/>
        <v>24.42740621</v>
      </c>
    </row>
    <row r="58" ht="12.75" customHeight="1">
      <c r="F58" s="1"/>
      <c r="G58" s="1"/>
      <c r="H58" s="5">
        <f t="shared" ref="H58:V58" si="48">(H23/H19 -1)*100</f>
        <v>82.79569892</v>
      </c>
      <c r="I58" s="5">
        <f t="shared" si="48"/>
        <v>-32.58678611</v>
      </c>
      <c r="J58" s="5">
        <f t="shared" si="48"/>
        <v>34.45759158</v>
      </c>
      <c r="K58" s="5">
        <f t="shared" si="48"/>
        <v>-67.53682978</v>
      </c>
      <c r="L58" s="5">
        <f t="shared" si="48"/>
        <v>265.070922</v>
      </c>
      <c r="M58" s="5">
        <f t="shared" si="48"/>
        <v>700</v>
      </c>
      <c r="N58" s="5">
        <f t="shared" si="48"/>
        <v>-47.83570489</v>
      </c>
      <c r="O58" s="5">
        <f t="shared" si="48"/>
        <v>738.7777324</v>
      </c>
      <c r="P58" s="5">
        <f t="shared" si="48"/>
        <v>273.0593607</v>
      </c>
      <c r="Q58" s="5">
        <f t="shared" si="48"/>
        <v>644.181335</v>
      </c>
      <c r="R58" s="5">
        <f t="shared" si="48"/>
        <v>79.67352754</v>
      </c>
      <c r="S58" s="5">
        <f t="shared" si="48"/>
        <v>1919.075145</v>
      </c>
      <c r="T58" s="5">
        <f t="shared" si="48"/>
        <v>2600</v>
      </c>
      <c r="U58" s="5">
        <f t="shared" si="48"/>
        <v>188.7068461</v>
      </c>
      <c r="V58" s="5">
        <f t="shared" si="48"/>
        <v>44.73729842</v>
      </c>
      <c r="X58" s="5">
        <f t="shared" ref="X58:AP58" si="49">(X23/X19 -1)*100</f>
        <v>1.473296501</v>
      </c>
      <c r="Y58" s="5">
        <f t="shared" si="49"/>
        <v>247.3534552</v>
      </c>
      <c r="Z58" s="5">
        <f t="shared" si="49"/>
        <v>50.21459227</v>
      </c>
      <c r="AA58" s="5">
        <f t="shared" si="49"/>
        <v>8.791208791</v>
      </c>
      <c r="AB58" s="5">
        <f t="shared" si="49"/>
        <v>53.98390864</v>
      </c>
      <c r="AC58" s="5">
        <f t="shared" si="49"/>
        <v>4.415584416</v>
      </c>
      <c r="AD58" s="5">
        <f t="shared" si="49"/>
        <v>81.65625</v>
      </c>
      <c r="AE58" s="5">
        <f t="shared" si="49"/>
        <v>21.36563877</v>
      </c>
      <c r="AF58" s="5">
        <f t="shared" si="49"/>
        <v>130.8699719</v>
      </c>
      <c r="AG58" s="5">
        <f t="shared" si="49"/>
        <v>0.03653635367</v>
      </c>
      <c r="AH58" s="5" t="str">
        <f t="shared" si="49"/>
        <v>#DIV/0!</v>
      </c>
      <c r="AI58" s="5">
        <f t="shared" si="49"/>
        <v>358.8607595</v>
      </c>
      <c r="AJ58" s="5" t="str">
        <f t="shared" si="49"/>
        <v>#VALUE!</v>
      </c>
      <c r="AK58" s="5" t="str">
        <f t="shared" si="49"/>
        <v>#VALUE!</v>
      </c>
      <c r="AL58" s="5" t="str">
        <f t="shared" si="49"/>
        <v>#VALUE!</v>
      </c>
      <c r="AM58" s="5" t="str">
        <f t="shared" si="49"/>
        <v>#VALUE!</v>
      </c>
      <c r="AN58" s="5" t="str">
        <f t="shared" si="49"/>
        <v>#VALUE!</v>
      </c>
      <c r="AO58" s="5" t="str">
        <f t="shared" si="49"/>
        <v>#VALUE!</v>
      </c>
      <c r="AP58" s="5">
        <f t="shared" si="49"/>
        <v>124.8376051</v>
      </c>
    </row>
    <row r="59" ht="12.75" customHeight="1">
      <c r="F59" s="1"/>
      <c r="G59" s="1"/>
      <c r="H59" s="5">
        <f t="shared" ref="H59:V59" si="50">(H24/H19 -1)*100</f>
        <v>66.66666667</v>
      </c>
      <c r="I59" s="5">
        <f t="shared" si="50"/>
        <v>-33.55263158</v>
      </c>
      <c r="J59" s="5">
        <f t="shared" si="50"/>
        <v>30.15999145</v>
      </c>
      <c r="K59" s="5">
        <f t="shared" si="50"/>
        <v>-60.05147575</v>
      </c>
      <c r="L59" s="5">
        <f t="shared" si="50"/>
        <v>78.36879433</v>
      </c>
      <c r="M59" s="5">
        <f t="shared" si="50"/>
        <v>350</v>
      </c>
      <c r="N59" s="5">
        <f t="shared" si="50"/>
        <v>-53.65100243</v>
      </c>
      <c r="O59" s="5">
        <f t="shared" si="50"/>
        <v>863.0801688</v>
      </c>
      <c r="P59" s="5">
        <f t="shared" si="50"/>
        <v>359.1324201</v>
      </c>
      <c r="Q59" s="5">
        <f t="shared" si="50"/>
        <v>799.4466713</v>
      </c>
      <c r="R59" s="5">
        <f t="shared" si="50"/>
        <v>176.0556549</v>
      </c>
      <c r="S59" s="5">
        <f t="shared" si="50"/>
        <v>1131.791908</v>
      </c>
      <c r="T59" s="5">
        <f t="shared" si="50"/>
        <v>1800</v>
      </c>
      <c r="U59" s="5">
        <f t="shared" si="50"/>
        <v>220.2782654</v>
      </c>
      <c r="V59" s="5">
        <f t="shared" si="50"/>
        <v>19.60152592</v>
      </c>
      <c r="X59" s="5">
        <f t="shared" ref="X59:AP59" si="51">(X24/X19 -1)*100</f>
        <v>1.657458564</v>
      </c>
      <c r="Y59" s="5">
        <f t="shared" si="51"/>
        <v>125.3517372</v>
      </c>
      <c r="Z59" s="5">
        <f t="shared" si="51"/>
        <v>60.47600468</v>
      </c>
      <c r="AA59" s="5">
        <f t="shared" si="51"/>
        <v>0.4395604396</v>
      </c>
      <c r="AB59" s="5">
        <f t="shared" si="51"/>
        <v>48.71528679</v>
      </c>
      <c r="AC59" s="5">
        <f t="shared" si="51"/>
        <v>0.4545454545</v>
      </c>
      <c r="AD59" s="5">
        <f t="shared" si="51"/>
        <v>77.34375</v>
      </c>
      <c r="AE59" s="5">
        <f t="shared" si="51"/>
        <v>18.50220264</v>
      </c>
      <c r="AF59" s="5">
        <f t="shared" si="51"/>
        <v>139.1019645</v>
      </c>
      <c r="AG59" s="5">
        <f t="shared" si="51"/>
        <v>-0.1461454147</v>
      </c>
      <c r="AH59" s="5" t="str">
        <f t="shared" si="51"/>
        <v>#DIV/0!</v>
      </c>
      <c r="AI59" s="5">
        <f t="shared" si="51"/>
        <v>477.8481013</v>
      </c>
      <c r="AJ59" s="5" t="str">
        <f t="shared" si="51"/>
        <v>#VALUE!</v>
      </c>
      <c r="AK59" s="5" t="str">
        <f t="shared" si="51"/>
        <v>#VALUE!</v>
      </c>
      <c r="AL59" s="5" t="str">
        <f t="shared" si="51"/>
        <v>#VALUE!</v>
      </c>
      <c r="AM59" s="5" t="str">
        <f t="shared" si="51"/>
        <v>#VALUE!</v>
      </c>
      <c r="AN59" s="5" t="str">
        <f t="shared" si="51"/>
        <v>#VALUE!</v>
      </c>
      <c r="AO59" s="5" t="str">
        <f t="shared" si="51"/>
        <v>#VALUE!</v>
      </c>
      <c r="AP59" s="5">
        <f t="shared" si="51"/>
        <v>109.7608721</v>
      </c>
    </row>
    <row r="60" ht="12.75" customHeight="1">
      <c r="F60" s="1"/>
      <c r="G60" s="1"/>
      <c r="H60" s="5">
        <f t="shared" ref="H60:AP60" si="52">(H25/H20 -1)*100</f>
        <v>-9.230769231</v>
      </c>
      <c r="I60" s="5">
        <f t="shared" si="52"/>
        <v>-17.8257483</v>
      </c>
      <c r="J60" s="5">
        <f t="shared" si="52"/>
        <v>-2.698603926</v>
      </c>
      <c r="K60" s="5">
        <f t="shared" si="52"/>
        <v>-66.67582932</v>
      </c>
      <c r="L60" s="5">
        <f t="shared" si="52"/>
        <v>-66.85374711</v>
      </c>
      <c r="M60" s="5" t="str">
        <f t="shared" si="52"/>
        <v>#DIV/0!</v>
      </c>
      <c r="N60" s="5">
        <f t="shared" si="52"/>
        <v>-50.33959249</v>
      </c>
      <c r="O60" s="5">
        <f t="shared" si="52"/>
        <v>353.062309</v>
      </c>
      <c r="P60" s="5">
        <f t="shared" si="52"/>
        <v>440.5005005</v>
      </c>
      <c r="Q60" s="5">
        <f t="shared" si="52"/>
        <v>539.9643017</v>
      </c>
      <c r="R60" s="5">
        <f t="shared" si="52"/>
        <v>119.1787802</v>
      </c>
      <c r="S60" s="5">
        <f t="shared" si="52"/>
        <v>117.9334917</v>
      </c>
      <c r="T60" s="5" t="str">
        <f t="shared" si="52"/>
        <v>#DIV/0!</v>
      </c>
      <c r="U60" s="5">
        <f t="shared" si="52"/>
        <v>226.6307278</v>
      </c>
      <c r="V60" s="5">
        <f t="shared" si="52"/>
        <v>50.30890552</v>
      </c>
      <c r="W60" s="5">
        <f t="shared" si="52"/>
        <v>821.7142857</v>
      </c>
      <c r="X60" s="5">
        <f t="shared" si="52"/>
        <v>-4.987531172</v>
      </c>
      <c r="Y60" s="5">
        <f t="shared" si="52"/>
        <v>42.09350118</v>
      </c>
      <c r="Z60" s="5">
        <f t="shared" si="52"/>
        <v>53.37815126</v>
      </c>
      <c r="AA60" s="5">
        <f t="shared" si="52"/>
        <v>14.10891089</v>
      </c>
      <c r="AB60" s="5">
        <f t="shared" si="52"/>
        <v>56.29522431</v>
      </c>
      <c r="AC60" s="5">
        <f t="shared" si="52"/>
        <v>-8.208955224</v>
      </c>
      <c r="AD60" s="5">
        <f t="shared" si="52"/>
        <v>100.3622095</v>
      </c>
      <c r="AE60" s="5">
        <f t="shared" si="52"/>
        <v>46.05597964</v>
      </c>
      <c r="AF60" s="5">
        <f t="shared" si="52"/>
        <v>54.15730337</v>
      </c>
      <c r="AG60" s="5">
        <f t="shared" si="52"/>
        <v>-2.013302175</v>
      </c>
      <c r="AH60" s="5" t="str">
        <f t="shared" si="52"/>
        <v>#DIV/0!</v>
      </c>
      <c r="AI60" s="5">
        <f t="shared" si="52"/>
        <v>398.2758621</v>
      </c>
      <c r="AJ60" s="5" t="str">
        <f t="shared" si="52"/>
        <v>#VALUE!</v>
      </c>
      <c r="AK60" s="5" t="str">
        <f t="shared" si="52"/>
        <v>#VALUE!</v>
      </c>
      <c r="AL60" s="5" t="str">
        <f t="shared" si="52"/>
        <v>#VALUE!</v>
      </c>
      <c r="AM60" s="5" t="str">
        <f t="shared" si="52"/>
        <v>#VALUE!</v>
      </c>
      <c r="AN60" s="5" t="str">
        <f t="shared" si="52"/>
        <v>#VALUE!</v>
      </c>
      <c r="AO60" s="5" t="str">
        <f t="shared" si="52"/>
        <v>#VALUE!</v>
      </c>
      <c r="AP60" s="5">
        <f t="shared" si="52"/>
        <v>-16.17726375</v>
      </c>
    </row>
    <row r="61" ht="12.75" customHeight="1">
      <c r="F61" s="1"/>
      <c r="G61" s="1"/>
      <c r="H61" s="5">
        <f t="shared" ref="H61:AP61" si="53">(H26/H20 -1)*100</f>
        <v>-28.46153846</v>
      </c>
      <c r="I61" s="5">
        <f t="shared" si="53"/>
        <v>-38.15511294</v>
      </c>
      <c r="J61" s="5">
        <f t="shared" si="53"/>
        <v>17.74006095</v>
      </c>
      <c r="K61" s="5">
        <f t="shared" si="53"/>
        <v>-65.30268008</v>
      </c>
      <c r="L61" s="5">
        <f t="shared" si="53"/>
        <v>-70.74942225</v>
      </c>
      <c r="M61" s="5" t="str">
        <f t="shared" si="53"/>
        <v>#DIV/0!</v>
      </c>
      <c r="N61" s="5">
        <f t="shared" si="53"/>
        <v>-46.39682381</v>
      </c>
      <c r="O61" s="5">
        <f t="shared" si="53"/>
        <v>136.978876</v>
      </c>
      <c r="P61" s="5">
        <f t="shared" si="53"/>
        <v>163.5635636</v>
      </c>
      <c r="Q61" s="5">
        <f t="shared" si="53"/>
        <v>401.750494</v>
      </c>
      <c r="R61" s="5">
        <f t="shared" si="53"/>
        <v>47.86377941</v>
      </c>
      <c r="S61" s="5">
        <f t="shared" si="53"/>
        <v>24.64370546</v>
      </c>
      <c r="T61" s="5" t="str">
        <f t="shared" si="53"/>
        <v>#DIV/0!</v>
      </c>
      <c r="U61" s="5">
        <f t="shared" si="53"/>
        <v>128.4366577</v>
      </c>
      <c r="V61" s="5">
        <f t="shared" si="53"/>
        <v>76.67888894</v>
      </c>
      <c r="W61" s="5">
        <f t="shared" si="53"/>
        <v>882.2857143</v>
      </c>
      <c r="X61" s="5">
        <f t="shared" si="53"/>
        <v>0.4987531172</v>
      </c>
      <c r="Y61" s="5">
        <f t="shared" si="53"/>
        <v>1.240917718</v>
      </c>
      <c r="Z61" s="5">
        <f t="shared" si="53"/>
        <v>36.97478992</v>
      </c>
      <c r="AA61" s="5">
        <f t="shared" si="53"/>
        <v>18.56435644</v>
      </c>
      <c r="AB61" s="5">
        <f t="shared" si="53"/>
        <v>58.552822</v>
      </c>
      <c r="AC61" s="5">
        <f t="shared" si="53"/>
        <v>3.527815468</v>
      </c>
      <c r="AD61" s="5">
        <f t="shared" si="53"/>
        <v>80.35013583</v>
      </c>
      <c r="AE61" s="5">
        <f t="shared" si="53"/>
        <v>44.27480916</v>
      </c>
      <c r="AF61" s="5">
        <f t="shared" si="53"/>
        <v>47.94007491</v>
      </c>
      <c r="AG61" s="5">
        <f t="shared" si="53"/>
        <v>-3.163760561</v>
      </c>
      <c r="AH61" s="5" t="str">
        <f t="shared" si="53"/>
        <v>#DIV/0!</v>
      </c>
      <c r="AI61" s="5">
        <f t="shared" si="53"/>
        <v>230.6896552</v>
      </c>
      <c r="AJ61" s="5" t="str">
        <f t="shared" si="53"/>
        <v>#VALUE!</v>
      </c>
      <c r="AK61" s="5" t="str">
        <f t="shared" si="53"/>
        <v>#VALUE!</v>
      </c>
      <c r="AL61" s="5" t="str">
        <f t="shared" si="53"/>
        <v>#VALUE!</v>
      </c>
      <c r="AM61" s="5" t="str">
        <f t="shared" si="53"/>
        <v>#VALUE!</v>
      </c>
      <c r="AN61" s="5" t="str">
        <f t="shared" si="53"/>
        <v>#VALUE!</v>
      </c>
      <c r="AO61" s="5" t="str">
        <f t="shared" si="53"/>
        <v>#VALUE!</v>
      </c>
      <c r="AP61" s="5">
        <f t="shared" si="53"/>
        <v>-10.0866323</v>
      </c>
    </row>
    <row r="62" ht="12.75" customHeight="1">
      <c r="F62" s="1"/>
      <c r="G62" s="1"/>
      <c r="H62" s="5">
        <f t="shared" ref="H62:AP62" si="54">(H27/H27 -1)*100</f>
        <v>0</v>
      </c>
      <c r="I62" s="5">
        <f t="shared" si="54"/>
        <v>0</v>
      </c>
      <c r="J62" s="5">
        <f t="shared" si="54"/>
        <v>0</v>
      </c>
      <c r="K62" s="5">
        <f t="shared" si="54"/>
        <v>0</v>
      </c>
      <c r="L62" s="5">
        <f t="shared" si="54"/>
        <v>0</v>
      </c>
      <c r="M62" s="5">
        <f t="shared" si="54"/>
        <v>0</v>
      </c>
      <c r="N62" s="5">
        <f t="shared" si="54"/>
        <v>0</v>
      </c>
      <c r="O62" s="5">
        <f t="shared" si="54"/>
        <v>0</v>
      </c>
      <c r="P62" s="5">
        <f t="shared" si="54"/>
        <v>0</v>
      </c>
      <c r="Q62" s="5">
        <f t="shared" si="54"/>
        <v>0</v>
      </c>
      <c r="R62" s="5">
        <f t="shared" si="54"/>
        <v>0</v>
      </c>
      <c r="S62" s="5">
        <f t="shared" si="54"/>
        <v>0</v>
      </c>
      <c r="T62" s="5">
        <f t="shared" si="54"/>
        <v>0</v>
      </c>
      <c r="U62" s="5">
        <f t="shared" si="54"/>
        <v>0</v>
      </c>
      <c r="V62" s="5">
        <f t="shared" si="54"/>
        <v>0</v>
      </c>
      <c r="W62" s="5">
        <f t="shared" si="54"/>
        <v>0</v>
      </c>
      <c r="X62" s="5">
        <f t="shared" si="54"/>
        <v>0</v>
      </c>
      <c r="Y62" s="5">
        <f t="shared" si="54"/>
        <v>0</v>
      </c>
      <c r="Z62" s="5">
        <f t="shared" si="54"/>
        <v>0</v>
      </c>
      <c r="AA62" s="5">
        <f t="shared" si="54"/>
        <v>0</v>
      </c>
      <c r="AB62" s="5">
        <f t="shared" si="54"/>
        <v>0</v>
      </c>
      <c r="AC62" s="5">
        <f t="shared" si="54"/>
        <v>0</v>
      </c>
      <c r="AD62" s="5">
        <f t="shared" si="54"/>
        <v>0</v>
      </c>
      <c r="AE62" s="5">
        <f t="shared" si="54"/>
        <v>0</v>
      </c>
      <c r="AF62" s="5">
        <f t="shared" si="54"/>
        <v>0</v>
      </c>
      <c r="AG62" s="5">
        <f t="shared" si="54"/>
        <v>0</v>
      </c>
      <c r="AH62" s="5" t="str">
        <f t="shared" si="54"/>
        <v>#DIV/0!</v>
      </c>
      <c r="AI62" s="5">
        <f t="shared" si="54"/>
        <v>0</v>
      </c>
      <c r="AJ62" s="5" t="str">
        <f t="shared" si="54"/>
        <v>#VALUE!</v>
      </c>
      <c r="AK62" s="5" t="str">
        <f t="shared" si="54"/>
        <v>#VALUE!</v>
      </c>
      <c r="AL62" s="5" t="str">
        <f t="shared" si="54"/>
        <v>#VALUE!</v>
      </c>
      <c r="AM62" s="5" t="str">
        <f t="shared" si="54"/>
        <v>#VALUE!</v>
      </c>
      <c r="AN62" s="5" t="str">
        <f t="shared" si="54"/>
        <v>#VALUE!</v>
      </c>
      <c r="AO62" s="5" t="str">
        <f t="shared" si="54"/>
        <v>#VALUE!</v>
      </c>
      <c r="AP62" s="5">
        <f t="shared" si="54"/>
        <v>0</v>
      </c>
    </row>
    <row r="63" ht="12.75" customHeight="1">
      <c r="F63" s="1"/>
      <c r="G63" s="1"/>
      <c r="H63" s="5">
        <f t="shared" ref="H63:AP63" si="55">(H28/H28 -1)*100</f>
        <v>0</v>
      </c>
      <c r="I63" s="5">
        <f t="shared" si="55"/>
        <v>0</v>
      </c>
      <c r="J63" s="5">
        <f t="shared" si="55"/>
        <v>0</v>
      </c>
      <c r="K63" s="5">
        <f t="shared" si="55"/>
        <v>0</v>
      </c>
      <c r="L63" s="5">
        <f t="shared" si="55"/>
        <v>0</v>
      </c>
      <c r="M63" s="5" t="str">
        <f t="shared" si="55"/>
        <v>#DIV/0!</v>
      </c>
      <c r="N63" s="5">
        <f t="shared" si="55"/>
        <v>0</v>
      </c>
      <c r="O63" s="5">
        <f t="shared" si="55"/>
        <v>0</v>
      </c>
      <c r="P63" s="5">
        <f t="shared" si="55"/>
        <v>0</v>
      </c>
      <c r="Q63" s="5">
        <f t="shared" si="55"/>
        <v>0</v>
      </c>
      <c r="R63" s="5">
        <f t="shared" si="55"/>
        <v>0</v>
      </c>
      <c r="S63" s="5">
        <f t="shared" si="55"/>
        <v>0</v>
      </c>
      <c r="T63" s="5" t="str">
        <f t="shared" si="55"/>
        <v>#DIV/0!</v>
      </c>
      <c r="U63" s="5">
        <f t="shared" si="55"/>
        <v>0</v>
      </c>
      <c r="V63" s="5">
        <f t="shared" si="55"/>
        <v>0</v>
      </c>
      <c r="W63" s="5">
        <f t="shared" si="55"/>
        <v>0</v>
      </c>
      <c r="X63" s="5">
        <f t="shared" si="55"/>
        <v>0</v>
      </c>
      <c r="Y63" s="5">
        <f t="shared" si="55"/>
        <v>0</v>
      </c>
      <c r="Z63" s="5">
        <f t="shared" si="55"/>
        <v>0</v>
      </c>
      <c r="AA63" s="5">
        <f t="shared" si="55"/>
        <v>0</v>
      </c>
      <c r="AB63" s="5">
        <f t="shared" si="55"/>
        <v>0</v>
      </c>
      <c r="AC63" s="5">
        <f t="shared" si="55"/>
        <v>0</v>
      </c>
      <c r="AD63" s="5">
        <f t="shared" si="55"/>
        <v>0</v>
      </c>
      <c r="AE63" s="5">
        <f t="shared" si="55"/>
        <v>0</v>
      </c>
      <c r="AF63" s="5">
        <f t="shared" si="55"/>
        <v>0</v>
      </c>
      <c r="AG63" s="5">
        <f t="shared" si="55"/>
        <v>0</v>
      </c>
      <c r="AH63" s="5">
        <f t="shared" si="55"/>
        <v>0</v>
      </c>
      <c r="AI63" s="5">
        <f t="shared" si="55"/>
        <v>0</v>
      </c>
      <c r="AJ63" s="5" t="str">
        <f t="shared" si="55"/>
        <v>#VALUE!</v>
      </c>
      <c r="AK63" s="5" t="str">
        <f t="shared" si="55"/>
        <v>#VALUE!</v>
      </c>
      <c r="AL63" s="5" t="str">
        <f t="shared" si="55"/>
        <v>#VALUE!</v>
      </c>
      <c r="AM63" s="5" t="str">
        <f t="shared" si="55"/>
        <v>#VALUE!</v>
      </c>
      <c r="AN63" s="5" t="str">
        <f t="shared" si="55"/>
        <v>#VALUE!</v>
      </c>
      <c r="AO63" s="5" t="str">
        <f t="shared" si="55"/>
        <v>#VALUE!</v>
      </c>
      <c r="AP63" s="5">
        <f t="shared" si="55"/>
        <v>0</v>
      </c>
    </row>
    <row r="64" ht="12.75" customHeight="1">
      <c r="F64" s="1"/>
      <c r="G64" s="1"/>
      <c r="H64" s="5">
        <f t="shared" ref="H64:AP64" si="56">(H29/H27 -1)*100</f>
        <v>44.44444444</v>
      </c>
      <c r="I64" s="5">
        <f t="shared" si="56"/>
        <v>-39.33406513</v>
      </c>
      <c r="J64" s="5">
        <f t="shared" si="56"/>
        <v>-12.69821415</v>
      </c>
      <c r="K64" s="5">
        <f t="shared" si="56"/>
        <v>-75.63598509</v>
      </c>
      <c r="L64" s="5">
        <f t="shared" si="56"/>
        <v>29.9719888</v>
      </c>
      <c r="M64" s="5">
        <f t="shared" si="56"/>
        <v>-100</v>
      </c>
      <c r="N64" s="5">
        <f t="shared" si="56"/>
        <v>-62.53538023</v>
      </c>
      <c r="O64" s="5">
        <f t="shared" si="56"/>
        <v>458.8532383</v>
      </c>
      <c r="P64" s="5">
        <f t="shared" si="56"/>
        <v>134.7402597</v>
      </c>
      <c r="Q64" s="5">
        <f t="shared" si="56"/>
        <v>237.7701652</v>
      </c>
      <c r="R64" s="5">
        <f t="shared" si="56"/>
        <v>-5.736165619</v>
      </c>
      <c r="S64" s="5">
        <f t="shared" si="56"/>
        <v>403.0508475</v>
      </c>
      <c r="T64" s="5">
        <f t="shared" si="56"/>
        <v>-100</v>
      </c>
      <c r="U64" s="5">
        <f t="shared" si="56"/>
        <v>44.94738752</v>
      </c>
      <c r="V64" s="5">
        <f t="shared" si="56"/>
        <v>5.962751038</v>
      </c>
      <c r="W64" s="5">
        <f t="shared" si="56"/>
        <v>60.96033403</v>
      </c>
      <c r="X64" s="5">
        <f t="shared" si="56"/>
        <v>-5.206463196</v>
      </c>
      <c r="Y64" s="5">
        <f t="shared" si="56"/>
        <v>40.81281605</v>
      </c>
      <c r="Z64" s="5">
        <f t="shared" si="56"/>
        <v>84.85393258</v>
      </c>
      <c r="AA64" s="5">
        <f t="shared" si="56"/>
        <v>16.75257732</v>
      </c>
      <c r="AB64" s="5">
        <f t="shared" si="56"/>
        <v>66.19170984</v>
      </c>
      <c r="AC64" s="5">
        <f t="shared" si="56"/>
        <v>4.657933042</v>
      </c>
      <c r="AD64" s="5">
        <f t="shared" si="56"/>
        <v>91.27115831</v>
      </c>
      <c r="AE64" s="5">
        <f t="shared" si="56"/>
        <v>41.73228346</v>
      </c>
      <c r="AF64" s="5">
        <f t="shared" si="56"/>
        <v>110.1449275</v>
      </c>
      <c r="AG64" s="5">
        <f t="shared" si="56"/>
        <v>-4.424460432</v>
      </c>
      <c r="AH64" s="5" t="str">
        <f t="shared" si="56"/>
        <v>#DIV/0!</v>
      </c>
      <c r="AI64" s="5">
        <f t="shared" si="56"/>
        <v>287.1657754</v>
      </c>
      <c r="AJ64" s="5" t="str">
        <f t="shared" si="56"/>
        <v>#VALUE!</v>
      </c>
      <c r="AK64" s="5" t="str">
        <f t="shared" si="56"/>
        <v>#VALUE!</v>
      </c>
      <c r="AL64" s="5" t="str">
        <f t="shared" si="56"/>
        <v>#VALUE!</v>
      </c>
      <c r="AM64" s="5" t="str">
        <f t="shared" si="56"/>
        <v>#VALUE!</v>
      </c>
      <c r="AN64" s="5" t="str">
        <f t="shared" si="56"/>
        <v>#VALUE!</v>
      </c>
      <c r="AO64" s="5" t="str">
        <f t="shared" si="56"/>
        <v>#VALUE!</v>
      </c>
      <c r="AP64" s="5">
        <f t="shared" si="56"/>
        <v>138.0730254</v>
      </c>
    </row>
    <row r="65" ht="12.75" customHeight="1">
      <c r="F65" s="1"/>
      <c r="G65" s="1"/>
      <c r="H65" s="5">
        <f t="shared" ref="H65:AP65" si="57">(H30/H28 -1)*100</f>
        <v>3.875968992</v>
      </c>
      <c r="I65" s="5">
        <f t="shared" si="57"/>
        <v>-32.87990672</v>
      </c>
      <c r="J65" s="5">
        <f t="shared" si="57"/>
        <v>31.35422865</v>
      </c>
      <c r="K65" s="5">
        <f t="shared" si="57"/>
        <v>-58.59761906</v>
      </c>
      <c r="L65" s="5">
        <f t="shared" si="57"/>
        <v>42.12678937</v>
      </c>
      <c r="M65" s="5" t="str">
        <f t="shared" si="57"/>
        <v>#DIV/0!</v>
      </c>
      <c r="N65" s="5">
        <f t="shared" si="57"/>
        <v>-36.65584653</v>
      </c>
      <c r="O65" s="5">
        <f t="shared" si="57"/>
        <v>161.7171116</v>
      </c>
      <c r="P65" s="5">
        <f t="shared" si="57"/>
        <v>101.7857143</v>
      </c>
      <c r="Q65" s="5">
        <f t="shared" si="57"/>
        <v>294.9005625</v>
      </c>
      <c r="R65" s="5">
        <f t="shared" si="57"/>
        <v>24.47098302</v>
      </c>
      <c r="S65" s="5">
        <f t="shared" si="57"/>
        <v>327.393617</v>
      </c>
      <c r="T65" s="5" t="str">
        <f t="shared" si="57"/>
        <v>#DIV/0!</v>
      </c>
      <c r="U65" s="5">
        <f t="shared" si="57"/>
        <v>90.44052304</v>
      </c>
      <c r="V65" s="5">
        <f t="shared" si="57"/>
        <v>62.42924302</v>
      </c>
      <c r="W65" s="5">
        <f t="shared" si="57"/>
        <v>3.861412325</v>
      </c>
      <c r="X65" s="5">
        <f t="shared" si="57"/>
        <v>-5.933250927</v>
      </c>
      <c r="Y65" s="5">
        <f t="shared" si="57"/>
        <v>103.1529179</v>
      </c>
      <c r="Z65" s="5">
        <f t="shared" si="57"/>
        <v>21.6</v>
      </c>
      <c r="AA65" s="5">
        <f t="shared" si="57"/>
        <v>-5.702647658</v>
      </c>
      <c r="AB65" s="5">
        <f t="shared" si="57"/>
        <v>34.96402878</v>
      </c>
      <c r="AC65" s="5">
        <f t="shared" si="57"/>
        <v>-0.5649717514</v>
      </c>
      <c r="AD65" s="5">
        <f t="shared" si="57"/>
        <v>30.50847458</v>
      </c>
      <c r="AE65" s="5">
        <f t="shared" si="57"/>
        <v>11.46881288</v>
      </c>
      <c r="AF65" s="5">
        <f t="shared" si="57"/>
        <v>18.18181818</v>
      </c>
      <c r="AG65" s="5">
        <f t="shared" si="57"/>
        <v>-0.3827925629</v>
      </c>
      <c r="AH65" s="5">
        <f t="shared" si="57"/>
        <v>100</v>
      </c>
      <c r="AI65" s="5">
        <f t="shared" si="57"/>
        <v>151.6129032</v>
      </c>
      <c r="AJ65" s="5" t="str">
        <f t="shared" si="57"/>
        <v>#VALUE!</v>
      </c>
      <c r="AK65" s="5" t="str">
        <f t="shared" si="57"/>
        <v>#VALUE!</v>
      </c>
      <c r="AL65" s="5" t="str">
        <f t="shared" si="57"/>
        <v>#VALUE!</v>
      </c>
      <c r="AM65" s="5" t="str">
        <f t="shared" si="57"/>
        <v>#VALUE!</v>
      </c>
      <c r="AN65" s="5" t="str">
        <f t="shared" si="57"/>
        <v>#VALUE!</v>
      </c>
      <c r="AO65" s="5" t="str">
        <f t="shared" si="57"/>
        <v>#VALUE!</v>
      </c>
      <c r="AP65" s="5">
        <f t="shared" si="57"/>
        <v>29.70051545</v>
      </c>
    </row>
    <row r="66" ht="12.75" customHeight="1">
      <c r="F66" s="1"/>
      <c r="G66" s="1"/>
      <c r="H66" s="5">
        <f t="shared" ref="H66:AP66" si="58">(H31/H27 -1)*100</f>
        <v>45.37037037</v>
      </c>
      <c r="I66" s="5">
        <f t="shared" si="58"/>
        <v>-40.4683498</v>
      </c>
      <c r="J66" s="5">
        <f t="shared" si="58"/>
        <v>21.97085563</v>
      </c>
      <c r="K66" s="5">
        <f t="shared" si="58"/>
        <v>-57.7261616</v>
      </c>
      <c r="L66" s="5">
        <f t="shared" si="58"/>
        <v>11.76470588</v>
      </c>
      <c r="M66" s="5">
        <f t="shared" si="58"/>
        <v>50</v>
      </c>
      <c r="N66" s="5">
        <f t="shared" si="58"/>
        <v>-53.19499897</v>
      </c>
      <c r="O66" s="5">
        <f t="shared" si="58"/>
        <v>543.6720143</v>
      </c>
      <c r="P66" s="5">
        <f t="shared" si="58"/>
        <v>182.70366</v>
      </c>
      <c r="Q66" s="5">
        <f t="shared" si="58"/>
        <v>479.1640871</v>
      </c>
      <c r="R66" s="5">
        <f t="shared" si="58"/>
        <v>100.7309366</v>
      </c>
      <c r="S66" s="5">
        <f t="shared" si="58"/>
        <v>430.8474576</v>
      </c>
      <c r="T66" s="5">
        <f t="shared" si="58"/>
        <v>700</v>
      </c>
      <c r="U66" s="5">
        <f t="shared" si="58"/>
        <v>122.2423803</v>
      </c>
      <c r="V66" s="5">
        <f t="shared" si="58"/>
        <v>-31.9365969</v>
      </c>
      <c r="W66" s="5">
        <f t="shared" si="58"/>
        <v>45.72025052</v>
      </c>
      <c r="X66" s="5">
        <f t="shared" si="58"/>
        <v>-4.488330341</v>
      </c>
      <c r="Y66" s="5">
        <f t="shared" si="58"/>
        <v>27.78537677</v>
      </c>
      <c r="Z66" s="5">
        <f t="shared" si="58"/>
        <v>74.74157303</v>
      </c>
      <c r="AA66" s="5">
        <f t="shared" si="58"/>
        <v>22.42268041</v>
      </c>
      <c r="AB66" s="5">
        <f t="shared" si="58"/>
        <v>54.14507772</v>
      </c>
      <c r="AC66" s="5">
        <f t="shared" si="58"/>
        <v>4.148471616</v>
      </c>
      <c r="AD66" s="5">
        <f t="shared" si="58"/>
        <v>93.76037172</v>
      </c>
      <c r="AE66" s="5">
        <f t="shared" si="58"/>
        <v>43.56955381</v>
      </c>
      <c r="AF66" s="5">
        <f t="shared" si="58"/>
        <v>89.3115942</v>
      </c>
      <c r="AG66" s="5">
        <f t="shared" si="58"/>
        <v>-5.539568345</v>
      </c>
      <c r="AH66" s="5" t="str">
        <f t="shared" si="58"/>
        <v>#DIV/0!</v>
      </c>
      <c r="AI66" s="5">
        <f t="shared" si="58"/>
        <v>342.7807487</v>
      </c>
      <c r="AJ66" s="5" t="str">
        <f t="shared" si="58"/>
        <v>#VALUE!</v>
      </c>
      <c r="AK66" s="5" t="str">
        <f t="shared" si="58"/>
        <v>#VALUE!</v>
      </c>
      <c r="AL66" s="5" t="str">
        <f t="shared" si="58"/>
        <v>#VALUE!</v>
      </c>
      <c r="AM66" s="5" t="str">
        <f t="shared" si="58"/>
        <v>#VALUE!</v>
      </c>
      <c r="AN66" s="5" t="str">
        <f t="shared" si="58"/>
        <v>#VALUE!</v>
      </c>
      <c r="AO66" s="5" t="str">
        <f t="shared" si="58"/>
        <v>#VALUE!</v>
      </c>
      <c r="AP66" s="5">
        <f t="shared" si="58"/>
        <v>127.6843584</v>
      </c>
    </row>
    <row r="67" ht="12.75" customHeight="1">
      <c r="F67" s="1"/>
      <c r="G67" s="1"/>
      <c r="H67" s="5">
        <f t="shared" ref="H67:AP67" si="59">(H32/H27 -1)*100</f>
        <v>26.85185185</v>
      </c>
      <c r="I67" s="5">
        <f t="shared" si="59"/>
        <v>-37.89486523</v>
      </c>
      <c r="J67" s="5">
        <f t="shared" si="59"/>
        <v>23.15402853</v>
      </c>
      <c r="K67" s="5">
        <f t="shared" si="59"/>
        <v>-69.80639285</v>
      </c>
      <c r="L67" s="5">
        <f t="shared" si="59"/>
        <v>18.62745098</v>
      </c>
      <c r="M67" s="5">
        <f t="shared" si="59"/>
        <v>-75</v>
      </c>
      <c r="N67" s="5">
        <f t="shared" si="59"/>
        <v>-55.99730079</v>
      </c>
      <c r="O67" s="5">
        <f t="shared" si="59"/>
        <v>424.7053872</v>
      </c>
      <c r="P67" s="5">
        <f t="shared" si="59"/>
        <v>185.9799292</v>
      </c>
      <c r="Q67" s="5">
        <f t="shared" si="59"/>
        <v>467.0367466</v>
      </c>
      <c r="R67" s="5">
        <f t="shared" si="59"/>
        <v>39.01964533</v>
      </c>
      <c r="S67" s="5">
        <f t="shared" si="59"/>
        <v>446.440678</v>
      </c>
      <c r="T67" s="5">
        <f t="shared" si="59"/>
        <v>33.33333333</v>
      </c>
      <c r="U67" s="5">
        <f t="shared" si="59"/>
        <v>102.5943396</v>
      </c>
      <c r="V67" s="5">
        <f t="shared" si="59"/>
        <v>-21.21741792</v>
      </c>
      <c r="W67" s="5">
        <f t="shared" si="59"/>
        <v>28.39248434</v>
      </c>
      <c r="X67" s="5">
        <f t="shared" si="59"/>
        <v>5.745062837</v>
      </c>
      <c r="Y67" s="5">
        <f t="shared" si="59"/>
        <v>64.02428915</v>
      </c>
      <c r="Z67" s="5">
        <f t="shared" si="59"/>
        <v>80.35955056</v>
      </c>
      <c r="AA67" s="5">
        <f t="shared" si="59"/>
        <v>11.34020619</v>
      </c>
      <c r="AB67" s="5">
        <f t="shared" si="59"/>
        <v>48.83419689</v>
      </c>
      <c r="AC67" s="5">
        <f t="shared" si="59"/>
        <v>9.752547307</v>
      </c>
      <c r="AD67" s="5">
        <f t="shared" si="59"/>
        <v>112.4128775</v>
      </c>
      <c r="AE67" s="5">
        <f t="shared" si="59"/>
        <v>38.05774278</v>
      </c>
      <c r="AF67" s="5">
        <f t="shared" si="59"/>
        <v>101.9021739</v>
      </c>
      <c r="AG67" s="5">
        <f t="shared" si="59"/>
        <v>-7.913669065</v>
      </c>
      <c r="AH67" s="5" t="str">
        <f t="shared" si="59"/>
        <v>#DIV/0!</v>
      </c>
      <c r="AI67" s="5">
        <f t="shared" si="59"/>
        <v>313.9037433</v>
      </c>
      <c r="AJ67" s="5" t="str">
        <f t="shared" si="59"/>
        <v>#VALUE!</v>
      </c>
      <c r="AK67" s="5" t="str">
        <f t="shared" si="59"/>
        <v>#VALUE!</v>
      </c>
      <c r="AL67" s="5" t="str">
        <f t="shared" si="59"/>
        <v>#VALUE!</v>
      </c>
      <c r="AM67" s="5" t="str">
        <f t="shared" si="59"/>
        <v>#VALUE!</v>
      </c>
      <c r="AN67" s="5" t="str">
        <f t="shared" si="59"/>
        <v>#VALUE!</v>
      </c>
      <c r="AO67" s="5" t="str">
        <f t="shared" si="59"/>
        <v>#VALUE!</v>
      </c>
      <c r="AP67" s="5">
        <f t="shared" si="59"/>
        <v>83.47629803</v>
      </c>
    </row>
    <row r="68" ht="12.75" customHeight="1">
      <c r="F68" s="1"/>
      <c r="G68" s="1"/>
      <c r="H68" s="5">
        <f t="shared" ref="H68:AP68" si="60">(H33/H28 -1)*100</f>
        <v>0</v>
      </c>
      <c r="I68" s="5">
        <f t="shared" si="60"/>
        <v>-6.542298225</v>
      </c>
      <c r="J68" s="5">
        <f t="shared" si="60"/>
        <v>33.2703472</v>
      </c>
      <c r="K68" s="5">
        <f t="shared" si="60"/>
        <v>-66.7908876</v>
      </c>
      <c r="L68" s="5">
        <f t="shared" si="60"/>
        <v>-36.09406953</v>
      </c>
      <c r="M68" s="5" t="str">
        <f t="shared" si="60"/>
        <v>#DIV/0!</v>
      </c>
      <c r="N68" s="5">
        <f t="shared" si="60"/>
        <v>-49.77668221</v>
      </c>
      <c r="O68" s="5">
        <f t="shared" si="60"/>
        <v>285.8681023</v>
      </c>
      <c r="P68" s="5">
        <f t="shared" si="60"/>
        <v>340.7513477</v>
      </c>
      <c r="Q68" s="5">
        <f t="shared" si="60"/>
        <v>528.5252724</v>
      </c>
      <c r="R68" s="5">
        <f t="shared" si="60"/>
        <v>56.619621</v>
      </c>
      <c r="S68" s="5">
        <f t="shared" si="60"/>
        <v>201.462766</v>
      </c>
      <c r="T68" s="5" t="str">
        <f t="shared" si="60"/>
        <v>#DIV/0!</v>
      </c>
      <c r="U68" s="5">
        <f t="shared" si="60"/>
        <v>136.8636537</v>
      </c>
      <c r="V68" s="5">
        <f t="shared" si="60"/>
        <v>28.84965941</v>
      </c>
      <c r="W68" s="5">
        <f t="shared" si="60"/>
        <v>-10.1824914</v>
      </c>
      <c r="X68" s="5">
        <f t="shared" si="60"/>
        <v>-5.43881335</v>
      </c>
      <c r="Y68" s="5">
        <f t="shared" si="60"/>
        <v>58.97908134</v>
      </c>
      <c r="Z68" s="5">
        <f t="shared" si="60"/>
        <v>38.016</v>
      </c>
      <c r="AA68" s="5">
        <f t="shared" si="60"/>
        <v>6.924643585</v>
      </c>
      <c r="AB68" s="5">
        <f t="shared" si="60"/>
        <v>33.2853717</v>
      </c>
      <c r="AC68" s="5">
        <f t="shared" si="60"/>
        <v>3.884180791</v>
      </c>
      <c r="AD68" s="5">
        <f t="shared" si="60"/>
        <v>49.71751412</v>
      </c>
      <c r="AE68" s="5">
        <f t="shared" si="60"/>
        <v>20.12072435</v>
      </c>
      <c r="AF68" s="5">
        <f t="shared" si="60"/>
        <v>21.26929674</v>
      </c>
      <c r="AG68" s="5">
        <f t="shared" si="60"/>
        <v>-2.916514765</v>
      </c>
      <c r="AH68" s="5">
        <f t="shared" si="60"/>
        <v>85.71428571</v>
      </c>
      <c r="AI68" s="5">
        <f t="shared" si="60"/>
        <v>285.483871</v>
      </c>
      <c r="AJ68" s="5" t="str">
        <f t="shared" si="60"/>
        <v>#VALUE!</v>
      </c>
      <c r="AK68" s="5" t="str">
        <f t="shared" si="60"/>
        <v>#VALUE!</v>
      </c>
      <c r="AL68" s="5" t="str">
        <f t="shared" si="60"/>
        <v>#VALUE!</v>
      </c>
      <c r="AM68" s="5" t="str">
        <f t="shared" si="60"/>
        <v>#VALUE!</v>
      </c>
      <c r="AN68" s="5" t="str">
        <f t="shared" si="60"/>
        <v>#VALUE!</v>
      </c>
      <c r="AO68" s="5" t="str">
        <f t="shared" si="60"/>
        <v>#VALUE!</v>
      </c>
      <c r="AP68" s="5">
        <f t="shared" si="60"/>
        <v>-12.45220139</v>
      </c>
    </row>
    <row r="69" ht="12.75" customHeight="1">
      <c r="F69" s="1"/>
      <c r="G69" s="1"/>
      <c r="H69" s="5">
        <f t="shared" ref="H69:AP69" si="61">(H34/H28 -1)*100</f>
        <v>4.651162791</v>
      </c>
      <c r="I69" s="5">
        <f t="shared" si="61"/>
        <v>-24.57572224</v>
      </c>
      <c r="J69" s="5">
        <f t="shared" si="61"/>
        <v>39.77373237</v>
      </c>
      <c r="K69" s="5">
        <f t="shared" si="61"/>
        <v>-65.81710682</v>
      </c>
      <c r="L69" s="5">
        <f t="shared" si="61"/>
        <v>-34.66257669</v>
      </c>
      <c r="M69" s="5" t="str">
        <f t="shared" si="61"/>
        <v>#DIV/0!</v>
      </c>
      <c r="N69" s="5">
        <f t="shared" si="61"/>
        <v>-47.16276572</v>
      </c>
      <c r="O69" s="5">
        <f t="shared" si="61"/>
        <v>180.8538608</v>
      </c>
      <c r="P69" s="5">
        <f t="shared" si="61"/>
        <v>157.1765499</v>
      </c>
      <c r="Q69" s="5">
        <f t="shared" si="61"/>
        <v>376.5929861</v>
      </c>
      <c r="R69" s="5">
        <f t="shared" si="61"/>
        <v>16.55497434</v>
      </c>
      <c r="S69" s="5">
        <f t="shared" si="61"/>
        <v>122.8723404</v>
      </c>
      <c r="T69" s="5" t="str">
        <f t="shared" si="61"/>
        <v>#DIV/0!</v>
      </c>
      <c r="U69" s="5">
        <f t="shared" si="61"/>
        <v>80.16376793</v>
      </c>
      <c r="V69" s="5">
        <f t="shared" si="61"/>
        <v>37.48440948</v>
      </c>
      <c r="W69" s="5">
        <f t="shared" si="61"/>
        <v>12.95953451</v>
      </c>
      <c r="X69" s="5">
        <f t="shared" si="61"/>
        <v>-1.854140915</v>
      </c>
      <c r="Y69" s="5">
        <f t="shared" si="61"/>
        <v>76.50292751</v>
      </c>
      <c r="Z69" s="5">
        <f t="shared" si="61"/>
        <v>21.6</v>
      </c>
      <c r="AA69" s="5">
        <f t="shared" si="61"/>
        <v>-8.961303462</v>
      </c>
      <c r="AB69" s="5">
        <f t="shared" si="61"/>
        <v>24.10071942</v>
      </c>
      <c r="AC69" s="5">
        <f t="shared" si="61"/>
        <v>7.556497175</v>
      </c>
      <c r="AD69" s="5">
        <f t="shared" si="61"/>
        <v>40.11299435</v>
      </c>
      <c r="AE69" s="5">
        <f t="shared" si="61"/>
        <v>9.657947686</v>
      </c>
      <c r="AF69" s="5">
        <f t="shared" si="61"/>
        <v>15.20869068</v>
      </c>
      <c r="AG69" s="5">
        <f t="shared" si="61"/>
        <v>-3.827925629</v>
      </c>
      <c r="AH69" s="5">
        <f t="shared" si="61"/>
        <v>100</v>
      </c>
      <c r="AI69" s="5">
        <f t="shared" si="61"/>
        <v>168.0107527</v>
      </c>
      <c r="AJ69" s="5" t="str">
        <f t="shared" si="61"/>
        <v>#VALUE!</v>
      </c>
      <c r="AK69" s="5" t="str">
        <f t="shared" si="61"/>
        <v>#VALUE!</v>
      </c>
      <c r="AL69" s="5" t="str">
        <f t="shared" si="61"/>
        <v>#VALUE!</v>
      </c>
      <c r="AM69" s="5" t="str">
        <f t="shared" si="61"/>
        <v>#VALUE!</v>
      </c>
      <c r="AN69" s="5" t="str">
        <f t="shared" si="61"/>
        <v>#VALUE!</v>
      </c>
      <c r="AO69" s="5" t="str">
        <f t="shared" si="61"/>
        <v>#VALUE!</v>
      </c>
      <c r="AP69" s="5">
        <f t="shared" si="61"/>
        <v>9.206636834</v>
      </c>
    </row>
    <row r="70" ht="12.75" customHeight="1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ht="12.75" customHeight="1">
      <c r="D71" s="6" t="s">
        <v>68</v>
      </c>
      <c r="F71" s="1"/>
      <c r="G71" s="1"/>
      <c r="H71" s="7">
        <f t="shared" ref="H71:AP71" si="62">AVERAGE(H40,H48,H56,H64)</f>
        <v>49.17524064</v>
      </c>
      <c r="I71" s="8">
        <f t="shared" si="62"/>
        <v>-33.17052652</v>
      </c>
      <c r="J71" s="8">
        <f t="shared" si="62"/>
        <v>10.54876402</v>
      </c>
      <c r="K71" s="8">
        <f t="shared" si="62"/>
        <v>-63.80421893</v>
      </c>
      <c r="L71" s="8">
        <f t="shared" si="62"/>
        <v>117.5227383</v>
      </c>
      <c r="M71" s="8">
        <f t="shared" si="62"/>
        <v>378.2017544</v>
      </c>
      <c r="N71" s="8">
        <f t="shared" si="62"/>
        <v>-52.07654791</v>
      </c>
      <c r="O71" s="8">
        <f t="shared" si="62"/>
        <v>597.6116434</v>
      </c>
      <c r="P71" s="8">
        <f t="shared" si="62"/>
        <v>355.2216122</v>
      </c>
      <c r="Q71" s="8">
        <f t="shared" si="62"/>
        <v>679.5064031</v>
      </c>
      <c r="R71" s="8">
        <f t="shared" si="62"/>
        <v>158.6744621</v>
      </c>
      <c r="S71" s="8">
        <f t="shared" si="62"/>
        <v>1381.513588</v>
      </c>
      <c r="T71" s="8">
        <f t="shared" si="62"/>
        <v>1785.705128</v>
      </c>
      <c r="U71" s="8">
        <f t="shared" si="62"/>
        <v>240.1865349</v>
      </c>
      <c r="V71" s="8">
        <f t="shared" si="62"/>
        <v>-0.4660050968</v>
      </c>
      <c r="W71" s="8">
        <f t="shared" si="62"/>
        <v>-2.740429426</v>
      </c>
      <c r="X71" s="8">
        <f t="shared" si="62"/>
        <v>-3.832159913</v>
      </c>
      <c r="Y71" s="8">
        <f t="shared" si="62"/>
        <v>29.28907477</v>
      </c>
      <c r="Z71" s="8">
        <f t="shared" si="62"/>
        <v>55.5694685</v>
      </c>
      <c r="AA71" s="8">
        <f t="shared" si="62"/>
        <v>12.94891764</v>
      </c>
      <c r="AB71" s="8">
        <f t="shared" si="62"/>
        <v>53.52069581</v>
      </c>
      <c r="AC71" s="8">
        <f t="shared" si="62"/>
        <v>-0.566610468</v>
      </c>
      <c r="AD71" s="8">
        <f t="shared" si="62"/>
        <v>76.01806378</v>
      </c>
      <c r="AE71" s="8">
        <f t="shared" si="62"/>
        <v>24.27610776</v>
      </c>
      <c r="AF71" s="8">
        <f t="shared" si="62"/>
        <v>105.2367127</v>
      </c>
      <c r="AG71" s="8">
        <f t="shared" si="62"/>
        <v>-0.5088542389</v>
      </c>
      <c r="AH71" s="8" t="str">
        <f t="shared" si="62"/>
        <v>#DIV/0!</v>
      </c>
      <c r="AI71" s="8">
        <f t="shared" si="62"/>
        <v>368.7495441</v>
      </c>
      <c r="AJ71" s="8" t="str">
        <f t="shared" si="62"/>
        <v>#VALUE!</v>
      </c>
      <c r="AK71" s="8" t="str">
        <f t="shared" si="62"/>
        <v>#VALUE!</v>
      </c>
      <c r="AL71" s="8" t="str">
        <f t="shared" si="62"/>
        <v>#VALUE!</v>
      </c>
      <c r="AM71" s="8" t="str">
        <f t="shared" si="62"/>
        <v>#VALUE!</v>
      </c>
      <c r="AN71" s="8" t="str">
        <f t="shared" si="62"/>
        <v>#VALUE!</v>
      </c>
      <c r="AO71" s="8" t="str">
        <f t="shared" si="62"/>
        <v>#VALUE!</v>
      </c>
      <c r="AP71" s="9">
        <f t="shared" si="62"/>
        <v>71.6310017</v>
      </c>
    </row>
    <row r="72" ht="12.75" customHeight="1">
      <c r="D72" s="10" t="s">
        <v>69</v>
      </c>
      <c r="F72" s="1"/>
      <c r="G72" s="1"/>
      <c r="H72" s="11">
        <f t="shared" ref="H72:AP72" si="63">AVERAGE(H41,H49,H57,H65)</f>
        <v>6.127528833</v>
      </c>
      <c r="I72" s="1">
        <f t="shared" si="63"/>
        <v>-33.41267689</v>
      </c>
      <c r="J72" s="1">
        <f t="shared" si="63"/>
        <v>25.30688867</v>
      </c>
      <c r="K72" s="1">
        <f t="shared" si="63"/>
        <v>-58.7575719</v>
      </c>
      <c r="L72" s="1">
        <f t="shared" si="63"/>
        <v>-3.640111034</v>
      </c>
      <c r="M72" s="1" t="str">
        <f t="shared" si="63"/>
        <v>#DIV/0!</v>
      </c>
      <c r="N72" s="1">
        <f t="shared" si="63"/>
        <v>-42.89384551</v>
      </c>
      <c r="O72" s="1">
        <f t="shared" si="63"/>
        <v>225.5108321</v>
      </c>
      <c r="P72" s="1">
        <f t="shared" si="63"/>
        <v>166.601065</v>
      </c>
      <c r="Q72" s="1">
        <f t="shared" si="63"/>
        <v>399.4852311</v>
      </c>
      <c r="R72" s="1">
        <f t="shared" si="63"/>
        <v>65.50979867</v>
      </c>
      <c r="S72" s="1">
        <f t="shared" si="63"/>
        <v>270.0971482</v>
      </c>
      <c r="T72" s="1" t="str">
        <f t="shared" si="63"/>
        <v>#DIV/0!</v>
      </c>
      <c r="U72" s="1">
        <f t="shared" si="63"/>
        <v>126.9494899</v>
      </c>
      <c r="V72" s="1">
        <f t="shared" si="63"/>
        <v>19.12001366</v>
      </c>
      <c r="W72" s="1">
        <f t="shared" si="63"/>
        <v>220.3578743</v>
      </c>
      <c r="X72" s="1">
        <f t="shared" si="63"/>
        <v>-3.600224629</v>
      </c>
      <c r="Y72" s="1">
        <f t="shared" si="63"/>
        <v>60.29423543</v>
      </c>
      <c r="Z72" s="1">
        <f t="shared" si="63"/>
        <v>29.61199019</v>
      </c>
      <c r="AA72" s="1">
        <f t="shared" si="63"/>
        <v>5.628090339</v>
      </c>
      <c r="AB72" s="1">
        <f t="shared" si="63"/>
        <v>39.34692143</v>
      </c>
      <c r="AC72" s="1">
        <f t="shared" si="63"/>
        <v>-2.585784606</v>
      </c>
      <c r="AD72" s="1">
        <f t="shared" si="63"/>
        <v>55.01678657</v>
      </c>
      <c r="AE72" s="1">
        <f t="shared" si="63"/>
        <v>21.41336629</v>
      </c>
      <c r="AF72" s="1">
        <f t="shared" si="63"/>
        <v>44.86873294</v>
      </c>
      <c r="AG72" s="1">
        <f t="shared" si="63"/>
        <v>1.835186504</v>
      </c>
      <c r="AH72" s="1" t="str">
        <f t="shared" si="63"/>
        <v>#DIV/0!</v>
      </c>
      <c r="AI72" s="1">
        <f t="shared" si="63"/>
        <v>206.3690854</v>
      </c>
      <c r="AJ72" s="1" t="str">
        <f t="shared" si="63"/>
        <v>#VALUE!</v>
      </c>
      <c r="AK72" s="1" t="str">
        <f t="shared" si="63"/>
        <v>#VALUE!</v>
      </c>
      <c r="AL72" s="1" t="str">
        <f t="shared" si="63"/>
        <v>#VALUE!</v>
      </c>
      <c r="AM72" s="1" t="str">
        <f t="shared" si="63"/>
        <v>#VALUE!</v>
      </c>
      <c r="AN72" s="1" t="str">
        <f t="shared" si="63"/>
        <v>#VALUE!</v>
      </c>
      <c r="AO72" s="1" t="str">
        <f t="shared" si="63"/>
        <v>#VALUE!</v>
      </c>
      <c r="AP72" s="12">
        <f t="shared" si="63"/>
        <v>23.31828916</v>
      </c>
    </row>
    <row r="73" ht="12.75" customHeight="1">
      <c r="F73" s="1"/>
      <c r="G73" s="1"/>
      <c r="H73" s="11">
        <f t="shared" ref="H73:AP73" si="64">AVERAGE(H42,H50,H58,H66)</f>
        <v>47.91886256</v>
      </c>
      <c r="I73" s="1">
        <f t="shared" si="64"/>
        <v>-36.25036604</v>
      </c>
      <c r="J73" s="1">
        <f t="shared" si="64"/>
        <v>29.76619526</v>
      </c>
      <c r="K73" s="1">
        <f t="shared" si="64"/>
        <v>-67.77861083</v>
      </c>
      <c r="L73" s="1">
        <f t="shared" si="64"/>
        <v>71.35652175</v>
      </c>
      <c r="M73" s="1">
        <f t="shared" si="64"/>
        <v>153.5745614</v>
      </c>
      <c r="N73" s="1">
        <f t="shared" si="64"/>
        <v>-54.31616596</v>
      </c>
      <c r="O73" s="1">
        <f t="shared" si="64"/>
        <v>664.5479062</v>
      </c>
      <c r="P73" s="1">
        <f t="shared" si="64"/>
        <v>341.8857822</v>
      </c>
      <c r="Q73" s="1">
        <f t="shared" si="64"/>
        <v>790.6790683</v>
      </c>
      <c r="R73" s="1">
        <f t="shared" si="64"/>
        <v>112.2269272</v>
      </c>
      <c r="S73" s="1">
        <f t="shared" si="64"/>
        <v>988.7120899</v>
      </c>
      <c r="T73" s="1">
        <f t="shared" si="64"/>
        <v>924.2307692</v>
      </c>
      <c r="U73" s="1">
        <f t="shared" si="64"/>
        <v>206.0343135</v>
      </c>
      <c r="V73" s="1">
        <f t="shared" si="64"/>
        <v>5.939898822</v>
      </c>
      <c r="W73" s="1">
        <f t="shared" si="64"/>
        <v>-5.796702056</v>
      </c>
      <c r="X73" s="1">
        <f t="shared" si="64"/>
        <v>-0.07658475656</v>
      </c>
      <c r="Y73" s="1">
        <f t="shared" si="64"/>
        <v>101.0645384</v>
      </c>
      <c r="Z73" s="1">
        <f t="shared" si="64"/>
        <v>58.38924534</v>
      </c>
      <c r="AA73" s="1">
        <f t="shared" si="64"/>
        <v>12.58797454</v>
      </c>
      <c r="AB73" s="1">
        <f t="shared" si="64"/>
        <v>52.99736784</v>
      </c>
      <c r="AC73" s="1">
        <f t="shared" si="64"/>
        <v>-3.745830276</v>
      </c>
      <c r="AD73" s="1">
        <f t="shared" si="64"/>
        <v>82.39526172</v>
      </c>
      <c r="AE73" s="1">
        <f t="shared" si="64"/>
        <v>28.54614808</v>
      </c>
      <c r="AF73" s="1">
        <f t="shared" si="64"/>
        <v>100.5503573</v>
      </c>
      <c r="AG73" s="1">
        <f t="shared" si="64"/>
        <v>2.167529698</v>
      </c>
      <c r="AH73" s="1" t="str">
        <f t="shared" si="64"/>
        <v>#DIV/0!</v>
      </c>
      <c r="AI73" s="1">
        <f t="shared" si="64"/>
        <v>426.4075805</v>
      </c>
      <c r="AJ73" s="1" t="str">
        <f t="shared" si="64"/>
        <v>#VALUE!</v>
      </c>
      <c r="AK73" s="1" t="str">
        <f t="shared" si="64"/>
        <v>#VALUE!</v>
      </c>
      <c r="AL73" s="1" t="str">
        <f t="shared" si="64"/>
        <v>#VALUE!</v>
      </c>
      <c r="AM73" s="1" t="str">
        <f t="shared" si="64"/>
        <v>#VALUE!</v>
      </c>
      <c r="AN73" s="1" t="str">
        <f t="shared" si="64"/>
        <v>#VALUE!</v>
      </c>
      <c r="AO73" s="1" t="str">
        <f t="shared" si="64"/>
        <v>#VALUE!</v>
      </c>
      <c r="AP73" s="12">
        <f t="shared" si="64"/>
        <v>85.42121248</v>
      </c>
    </row>
    <row r="74" ht="12.75" customHeight="1">
      <c r="F74" s="1"/>
      <c r="G74" s="1"/>
      <c r="H74" s="11">
        <f t="shared" ref="H74:AP74" si="65">AVERAGE(H43,H51,H59,H67)</f>
        <v>46.78845512</v>
      </c>
      <c r="I74" s="1">
        <f t="shared" si="65"/>
        <v>-34.37189395</v>
      </c>
      <c r="J74" s="1">
        <f t="shared" si="65"/>
        <v>34.80410539</v>
      </c>
      <c r="K74" s="1">
        <f t="shared" si="65"/>
        <v>-64.44409996</v>
      </c>
      <c r="L74" s="1">
        <f t="shared" si="65"/>
        <v>139.0371838</v>
      </c>
      <c r="M74" s="1">
        <f t="shared" si="65"/>
        <v>30.43859649</v>
      </c>
      <c r="N74" s="1">
        <f t="shared" si="65"/>
        <v>-54.38198456</v>
      </c>
      <c r="O74" s="1">
        <f t="shared" si="65"/>
        <v>607.5744503</v>
      </c>
      <c r="P74" s="1">
        <f t="shared" si="65"/>
        <v>321.7004634</v>
      </c>
      <c r="Q74" s="1">
        <f t="shared" si="65"/>
        <v>751.2718764</v>
      </c>
      <c r="R74" s="1">
        <f t="shared" si="65"/>
        <v>122.5517795</v>
      </c>
      <c r="S74" s="1">
        <f t="shared" si="65"/>
        <v>2017.204737</v>
      </c>
      <c r="T74" s="1">
        <f t="shared" si="65"/>
        <v>490.8974359</v>
      </c>
      <c r="U74" s="1">
        <f t="shared" si="65"/>
        <v>186.5508666</v>
      </c>
      <c r="V74" s="1">
        <f t="shared" si="65"/>
        <v>-10.16875291</v>
      </c>
      <c r="W74" s="1">
        <f t="shared" si="65"/>
        <v>-18.04253781</v>
      </c>
      <c r="X74" s="1">
        <f t="shared" si="65"/>
        <v>6.98365522</v>
      </c>
      <c r="Y74" s="1">
        <f t="shared" si="65"/>
        <v>97.60266024</v>
      </c>
      <c r="Z74" s="1">
        <f t="shared" si="65"/>
        <v>58.34165561</v>
      </c>
      <c r="AA74" s="1">
        <f t="shared" si="65"/>
        <v>9.522861867</v>
      </c>
      <c r="AB74" s="1">
        <f t="shared" si="65"/>
        <v>53.33786264</v>
      </c>
      <c r="AC74" s="1">
        <f t="shared" si="65"/>
        <v>-2.844017479</v>
      </c>
      <c r="AD74" s="1">
        <f t="shared" si="65"/>
        <v>87.62291457</v>
      </c>
      <c r="AE74" s="1">
        <f t="shared" si="65"/>
        <v>25.22334579</v>
      </c>
      <c r="AF74" s="1">
        <f t="shared" si="65"/>
        <v>102.7612023</v>
      </c>
      <c r="AG74" s="1">
        <f t="shared" si="65"/>
        <v>2.011115561</v>
      </c>
      <c r="AH74" s="1" t="str">
        <f t="shared" si="65"/>
        <v>#DIV/0!</v>
      </c>
      <c r="AI74" s="1">
        <f t="shared" si="65"/>
        <v>418.2880249</v>
      </c>
      <c r="AJ74" s="1" t="str">
        <f t="shared" si="65"/>
        <v>#VALUE!</v>
      </c>
      <c r="AK74" s="1" t="str">
        <f t="shared" si="65"/>
        <v>#VALUE!</v>
      </c>
      <c r="AL74" s="1" t="str">
        <f t="shared" si="65"/>
        <v>#VALUE!</v>
      </c>
      <c r="AM74" s="1" t="str">
        <f t="shared" si="65"/>
        <v>#VALUE!</v>
      </c>
      <c r="AN74" s="1" t="str">
        <f t="shared" si="65"/>
        <v>#VALUE!</v>
      </c>
      <c r="AO74" s="1" t="str">
        <f t="shared" si="65"/>
        <v>#VALUE!</v>
      </c>
      <c r="AP74" s="12" t="str">
        <f t="shared" si="65"/>
        <v>#VALUE!</v>
      </c>
    </row>
    <row r="75" ht="12.75" customHeight="1">
      <c r="F75" s="1"/>
      <c r="G75" s="1"/>
      <c r="H75" s="11">
        <f t="shared" ref="H75:AP75" si="66">AVERAGE(H44,H52,H60,H68)</f>
        <v>1.921575985</v>
      </c>
      <c r="I75" s="1">
        <f t="shared" si="66"/>
        <v>-20.48064212</v>
      </c>
      <c r="J75" s="1">
        <f t="shared" si="66"/>
        <v>22.49629852</v>
      </c>
      <c r="K75" s="1">
        <f t="shared" si="66"/>
        <v>-66.62717175</v>
      </c>
      <c r="L75" s="1">
        <f t="shared" si="66"/>
        <v>-43.89160644</v>
      </c>
      <c r="M75" s="1" t="str">
        <f t="shared" si="66"/>
        <v>#DIV/0!</v>
      </c>
      <c r="N75" s="1">
        <f t="shared" si="66"/>
        <v>-52.50468363</v>
      </c>
      <c r="O75" s="1">
        <f t="shared" si="66"/>
        <v>350.4649368</v>
      </c>
      <c r="P75" s="1">
        <f t="shared" si="66"/>
        <v>347.996579</v>
      </c>
      <c r="Q75" s="1">
        <f t="shared" si="66"/>
        <v>581.4880457</v>
      </c>
      <c r="R75" s="1">
        <f t="shared" si="66"/>
        <v>85.48696827</v>
      </c>
      <c r="S75" s="1">
        <f t="shared" si="66"/>
        <v>196.3645096</v>
      </c>
      <c r="T75" s="1" t="str">
        <f t="shared" si="66"/>
        <v>#DIV/0!</v>
      </c>
      <c r="U75" s="1">
        <f t="shared" si="66"/>
        <v>166.9011393</v>
      </c>
      <c r="V75" s="1">
        <f t="shared" si="66"/>
        <v>6.326823873</v>
      </c>
      <c r="W75" s="1">
        <f t="shared" si="66"/>
        <v>186.4961412</v>
      </c>
      <c r="X75" s="1">
        <f t="shared" si="66"/>
        <v>-2.9865227</v>
      </c>
      <c r="Y75" s="1">
        <f t="shared" si="66"/>
        <v>33.29002542</v>
      </c>
      <c r="Z75" s="1">
        <f t="shared" si="66"/>
        <v>49.99910814</v>
      </c>
      <c r="AA75" s="1">
        <f t="shared" si="66"/>
        <v>12.03369965</v>
      </c>
      <c r="AB75" s="1">
        <f t="shared" si="66"/>
        <v>41.68359932</v>
      </c>
      <c r="AC75" s="1">
        <f t="shared" si="66"/>
        <v>-10.18266044</v>
      </c>
      <c r="AD75" s="1">
        <f t="shared" si="66"/>
        <v>69.61554469</v>
      </c>
      <c r="AE75" s="1">
        <f t="shared" si="66"/>
        <v>31.22381942</v>
      </c>
      <c r="AF75" s="1">
        <f t="shared" si="66"/>
        <v>39.88437042</v>
      </c>
      <c r="AG75" s="1">
        <f t="shared" si="66"/>
        <v>3.886520243</v>
      </c>
      <c r="AH75" s="1" t="str">
        <f t="shared" si="66"/>
        <v>#DIV/0!</v>
      </c>
      <c r="AI75" s="1">
        <f t="shared" si="66"/>
        <v>343.1242402</v>
      </c>
      <c r="AJ75" s="1" t="str">
        <f t="shared" si="66"/>
        <v>#VALUE!</v>
      </c>
      <c r="AK75" s="1" t="str">
        <f t="shared" si="66"/>
        <v>#VALUE!</v>
      </c>
      <c r="AL75" s="1" t="str">
        <f t="shared" si="66"/>
        <v>#VALUE!</v>
      </c>
      <c r="AM75" s="1" t="str">
        <f t="shared" si="66"/>
        <v>#VALUE!</v>
      </c>
      <c r="AN75" s="1" t="str">
        <f t="shared" si="66"/>
        <v>#VALUE!</v>
      </c>
      <c r="AO75" s="1" t="str">
        <f t="shared" si="66"/>
        <v>#VALUE!</v>
      </c>
      <c r="AP75" s="12">
        <f t="shared" si="66"/>
        <v>2.918874759</v>
      </c>
    </row>
    <row r="76" ht="12.75" customHeight="1">
      <c r="F76" s="1"/>
      <c r="G76" s="1"/>
      <c r="H76" s="13">
        <f t="shared" ref="H76:AP76" si="67">AVERAGE(H45,H53,H61,H69)</f>
        <v>-4.468041072</v>
      </c>
      <c r="I76" s="14">
        <f t="shared" si="67"/>
        <v>-30.39319092</v>
      </c>
      <c r="J76" s="14">
        <f t="shared" si="67"/>
        <v>37.04044557</v>
      </c>
      <c r="K76" s="14">
        <f t="shared" si="67"/>
        <v>-65.96219598</v>
      </c>
      <c r="L76" s="14">
        <f t="shared" si="67"/>
        <v>-40.96543474</v>
      </c>
      <c r="M76" s="14" t="str">
        <f t="shared" si="67"/>
        <v>#DIV/0!</v>
      </c>
      <c r="N76" s="14">
        <f t="shared" si="67"/>
        <v>-47.38251231</v>
      </c>
      <c r="O76" s="14">
        <f t="shared" si="67"/>
        <v>206.9464555</v>
      </c>
      <c r="P76" s="14">
        <f t="shared" si="67"/>
        <v>198.0423185</v>
      </c>
      <c r="Q76" s="14">
        <f t="shared" si="67"/>
        <v>487.1076449</v>
      </c>
      <c r="R76" s="14">
        <f t="shared" si="67"/>
        <v>44.46928758</v>
      </c>
      <c r="S76" s="14">
        <f t="shared" si="67"/>
        <v>162.1788575</v>
      </c>
      <c r="T76" s="14" t="str">
        <f t="shared" si="67"/>
        <v>#DIV/0!</v>
      </c>
      <c r="U76" s="14">
        <f t="shared" si="67"/>
        <v>123.8511549</v>
      </c>
      <c r="V76" s="14">
        <f t="shared" si="67"/>
        <v>14.73693137</v>
      </c>
      <c r="W76" s="14">
        <f t="shared" si="67"/>
        <v>208.0439009</v>
      </c>
      <c r="X76" s="14">
        <f t="shared" si="67"/>
        <v>-0.6524466411</v>
      </c>
      <c r="Y76" s="14">
        <f t="shared" si="67"/>
        <v>43.52109703</v>
      </c>
      <c r="Z76" s="14">
        <f t="shared" si="67"/>
        <v>36.05271667</v>
      </c>
      <c r="AA76" s="14">
        <f t="shared" si="67"/>
        <v>8.250424273</v>
      </c>
      <c r="AB76" s="14">
        <f t="shared" si="67"/>
        <v>40.64834984</v>
      </c>
      <c r="AC76" s="14">
        <f t="shared" si="67"/>
        <v>-5.2090468</v>
      </c>
      <c r="AD76" s="14">
        <f t="shared" si="67"/>
        <v>60.06024155</v>
      </c>
      <c r="AE76" s="14">
        <f t="shared" si="67"/>
        <v>24.60477389</v>
      </c>
      <c r="AF76" s="14">
        <f t="shared" si="67"/>
        <v>39.49359885</v>
      </c>
      <c r="AG76" s="14">
        <f t="shared" si="67"/>
        <v>2.052690022</v>
      </c>
      <c r="AH76" s="14" t="str">
        <f t="shared" si="67"/>
        <v>#DIV/0!</v>
      </c>
      <c r="AI76" s="14">
        <f t="shared" si="67"/>
        <v>222.8561315</v>
      </c>
      <c r="AJ76" s="14" t="str">
        <f t="shared" si="67"/>
        <v>#VALUE!</v>
      </c>
      <c r="AK76" s="14" t="str">
        <f t="shared" si="67"/>
        <v>#VALUE!</v>
      </c>
      <c r="AL76" s="14" t="str">
        <f t="shared" si="67"/>
        <v>#VALUE!</v>
      </c>
      <c r="AM76" s="14" t="str">
        <f t="shared" si="67"/>
        <v>#VALUE!</v>
      </c>
      <c r="AN76" s="14" t="str">
        <f t="shared" si="67"/>
        <v>#VALUE!</v>
      </c>
      <c r="AO76" s="14" t="str">
        <f t="shared" si="67"/>
        <v>#VALUE!</v>
      </c>
      <c r="AP76" s="15">
        <f t="shared" si="67"/>
        <v>7.028000132</v>
      </c>
    </row>
    <row r="77" ht="12.75" customHeight="1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2.75" customHeight="1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ht="12.75" customHeight="1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ht="12.75" customHeight="1">
      <c r="D80" s="6" t="s">
        <v>68</v>
      </c>
      <c r="F80" s="1"/>
      <c r="G80" s="1"/>
      <c r="H80" s="5">
        <f t="shared" ref="H80:AP80" si="68">(H5/H5 -1)*100</f>
        <v>0</v>
      </c>
      <c r="I80" s="5">
        <f t="shared" si="68"/>
        <v>0</v>
      </c>
      <c r="J80" s="5">
        <f t="shared" si="68"/>
        <v>0</v>
      </c>
      <c r="K80" s="5">
        <f t="shared" si="68"/>
        <v>0</v>
      </c>
      <c r="L80" s="5">
        <f t="shared" si="68"/>
        <v>0</v>
      </c>
      <c r="M80" s="5">
        <f t="shared" si="68"/>
        <v>0</v>
      </c>
      <c r="N80" s="5">
        <f t="shared" si="68"/>
        <v>0</v>
      </c>
      <c r="O80" s="5">
        <f t="shared" si="68"/>
        <v>0</v>
      </c>
      <c r="P80" s="5">
        <f t="shared" si="68"/>
        <v>0</v>
      </c>
      <c r="Q80" s="5">
        <f t="shared" si="68"/>
        <v>0</v>
      </c>
      <c r="R80" s="5">
        <f t="shared" si="68"/>
        <v>0</v>
      </c>
      <c r="S80" s="5">
        <f t="shared" si="68"/>
        <v>0</v>
      </c>
      <c r="T80" s="5">
        <f t="shared" si="68"/>
        <v>0</v>
      </c>
      <c r="U80" s="5">
        <f t="shared" si="68"/>
        <v>0</v>
      </c>
      <c r="V80" s="5">
        <f t="shared" si="68"/>
        <v>0</v>
      </c>
      <c r="W80" s="5">
        <f t="shared" si="68"/>
        <v>0</v>
      </c>
      <c r="X80" s="5">
        <f t="shared" si="68"/>
        <v>0</v>
      </c>
      <c r="Y80" s="5">
        <f t="shared" si="68"/>
        <v>0</v>
      </c>
      <c r="Z80" s="5">
        <f t="shared" si="68"/>
        <v>0</v>
      </c>
      <c r="AA80" s="5">
        <f t="shared" si="68"/>
        <v>0</v>
      </c>
      <c r="AB80" s="5">
        <f t="shared" si="68"/>
        <v>0</v>
      </c>
      <c r="AC80" s="5">
        <f t="shared" si="68"/>
        <v>0</v>
      </c>
      <c r="AD80" s="5">
        <f t="shared" si="68"/>
        <v>0</v>
      </c>
      <c r="AE80" s="5">
        <f t="shared" si="68"/>
        <v>0</v>
      </c>
      <c r="AF80" s="5">
        <f t="shared" si="68"/>
        <v>0</v>
      </c>
      <c r="AG80" s="5">
        <f t="shared" si="68"/>
        <v>0</v>
      </c>
      <c r="AH80" s="5">
        <f t="shared" si="68"/>
        <v>0</v>
      </c>
      <c r="AI80" s="5">
        <f t="shared" si="68"/>
        <v>0</v>
      </c>
      <c r="AJ80" s="5">
        <f t="shared" si="68"/>
        <v>0</v>
      </c>
      <c r="AK80" s="5">
        <f t="shared" si="68"/>
        <v>0</v>
      </c>
      <c r="AL80" s="5">
        <f t="shared" si="68"/>
        <v>0</v>
      </c>
      <c r="AM80" s="5">
        <f t="shared" si="68"/>
        <v>0</v>
      </c>
      <c r="AN80" s="5">
        <f t="shared" si="68"/>
        <v>0</v>
      </c>
      <c r="AO80" s="5">
        <f t="shared" si="68"/>
        <v>0</v>
      </c>
      <c r="AP80" s="5">
        <f t="shared" si="68"/>
        <v>0</v>
      </c>
    </row>
    <row r="81" ht="12.75" customHeight="1">
      <c r="D81" s="10" t="s">
        <v>70</v>
      </c>
      <c r="F81" s="1"/>
      <c r="G81" s="1"/>
      <c r="H81" s="5">
        <f t="shared" ref="H81:AP81" si="69">(H6/H6 -1)*100</f>
        <v>0</v>
      </c>
      <c r="I81" s="5">
        <f t="shared" si="69"/>
        <v>0</v>
      </c>
      <c r="J81" s="5">
        <f t="shared" si="69"/>
        <v>0</v>
      </c>
      <c r="K81" s="5">
        <f t="shared" si="69"/>
        <v>0</v>
      </c>
      <c r="L81" s="5">
        <f t="shared" si="69"/>
        <v>0</v>
      </c>
      <c r="M81" s="5">
        <f t="shared" si="69"/>
        <v>0</v>
      </c>
      <c r="N81" s="5">
        <f t="shared" si="69"/>
        <v>0</v>
      </c>
      <c r="O81" s="5">
        <f t="shared" si="69"/>
        <v>0</v>
      </c>
      <c r="P81" s="5">
        <f t="shared" si="69"/>
        <v>0</v>
      </c>
      <c r="Q81" s="5">
        <f t="shared" si="69"/>
        <v>0</v>
      </c>
      <c r="R81" s="5">
        <f t="shared" si="69"/>
        <v>0</v>
      </c>
      <c r="S81" s="5">
        <f t="shared" si="69"/>
        <v>0</v>
      </c>
      <c r="T81" s="5">
        <f t="shared" si="69"/>
        <v>0</v>
      </c>
      <c r="U81" s="5">
        <f t="shared" si="69"/>
        <v>0</v>
      </c>
      <c r="V81" s="5">
        <f t="shared" si="69"/>
        <v>0</v>
      </c>
      <c r="W81" s="5">
        <f t="shared" si="69"/>
        <v>0</v>
      </c>
      <c r="X81" s="5">
        <f t="shared" si="69"/>
        <v>0</v>
      </c>
      <c r="Y81" s="5">
        <f t="shared" si="69"/>
        <v>0</v>
      </c>
      <c r="Z81" s="5">
        <f t="shared" si="69"/>
        <v>0</v>
      </c>
      <c r="AA81" s="5">
        <f t="shared" si="69"/>
        <v>0</v>
      </c>
      <c r="AB81" s="5">
        <f t="shared" si="69"/>
        <v>0</v>
      </c>
      <c r="AC81" s="5">
        <f t="shared" si="69"/>
        <v>0</v>
      </c>
      <c r="AD81" s="5">
        <f t="shared" si="69"/>
        <v>0</v>
      </c>
      <c r="AE81" s="5">
        <f t="shared" si="69"/>
        <v>0</v>
      </c>
      <c r="AF81" s="5">
        <f t="shared" si="69"/>
        <v>0</v>
      </c>
      <c r="AG81" s="5">
        <f t="shared" si="69"/>
        <v>0</v>
      </c>
      <c r="AH81" s="5">
        <f t="shared" si="69"/>
        <v>0</v>
      </c>
      <c r="AI81" s="5">
        <f t="shared" si="69"/>
        <v>0</v>
      </c>
      <c r="AJ81" s="5">
        <f t="shared" si="69"/>
        <v>0</v>
      </c>
      <c r="AK81" s="5">
        <f t="shared" si="69"/>
        <v>0</v>
      </c>
      <c r="AL81" s="5">
        <f t="shared" si="69"/>
        <v>0</v>
      </c>
      <c r="AM81" s="5">
        <f t="shared" si="69"/>
        <v>0</v>
      </c>
      <c r="AN81" s="5">
        <f t="shared" si="69"/>
        <v>0</v>
      </c>
      <c r="AO81" s="5">
        <f t="shared" si="69"/>
        <v>0</v>
      </c>
      <c r="AP81" s="5">
        <f t="shared" si="69"/>
        <v>0</v>
      </c>
    </row>
    <row r="82" ht="12.75" customHeight="1">
      <c r="F82" s="1"/>
      <c r="G82" s="1"/>
      <c r="H82" s="5">
        <f t="shared" ref="H82:AP82" si="70">(H7/H5 -1)*100</f>
        <v>27.27272727</v>
      </c>
      <c r="I82" s="5">
        <f t="shared" si="70"/>
        <v>4.84167894</v>
      </c>
      <c r="J82" s="5">
        <f t="shared" si="70"/>
        <v>20.90212631</v>
      </c>
      <c r="K82" s="5">
        <f t="shared" si="70"/>
        <v>-29.45499655</v>
      </c>
      <c r="L82" s="5">
        <f t="shared" si="70"/>
        <v>-34.27704752</v>
      </c>
      <c r="M82" s="5">
        <f t="shared" si="70"/>
        <v>-30</v>
      </c>
      <c r="N82" s="5">
        <f t="shared" si="70"/>
        <v>-12.55035059</v>
      </c>
      <c r="O82" s="5">
        <f t="shared" si="70"/>
        <v>28.14229249</v>
      </c>
      <c r="P82" s="5">
        <f t="shared" si="70"/>
        <v>-30.82159064</v>
      </c>
      <c r="Q82" s="5">
        <f t="shared" si="70"/>
        <v>-20.2251748</v>
      </c>
      <c r="R82" s="5">
        <f t="shared" si="70"/>
        <v>-53.45224177</v>
      </c>
      <c r="S82" s="5">
        <f t="shared" si="70"/>
        <v>-56.63533013</v>
      </c>
      <c r="T82" s="5">
        <f t="shared" si="70"/>
        <v>-53.79061372</v>
      </c>
      <c r="U82" s="5">
        <f t="shared" si="70"/>
        <v>-42.29722373</v>
      </c>
      <c r="V82" s="5">
        <f t="shared" si="70"/>
        <v>0.05926328667</v>
      </c>
      <c r="W82" s="5">
        <f t="shared" si="70"/>
        <v>-6.427688504</v>
      </c>
      <c r="X82" s="5">
        <f t="shared" si="70"/>
        <v>3.313840156</v>
      </c>
      <c r="Y82" s="5">
        <f t="shared" si="70"/>
        <v>58.0653447</v>
      </c>
      <c r="Z82" s="5">
        <f t="shared" si="70"/>
        <v>5.442176871</v>
      </c>
      <c r="AA82" s="5">
        <f t="shared" si="70"/>
        <v>-8.502024291</v>
      </c>
      <c r="AB82" s="5">
        <f t="shared" si="70"/>
        <v>-1.528013582</v>
      </c>
      <c r="AC82" s="5">
        <f t="shared" si="70"/>
        <v>-14.98439126</v>
      </c>
      <c r="AD82" s="5">
        <f t="shared" si="70"/>
        <v>0.6448239805</v>
      </c>
      <c r="AE82" s="5">
        <f t="shared" si="70"/>
        <v>1.132075472</v>
      </c>
      <c r="AF82" s="5">
        <f t="shared" si="70"/>
        <v>-17.60835913</v>
      </c>
      <c r="AG82" s="5">
        <f t="shared" si="70"/>
        <v>14.5412844</v>
      </c>
      <c r="AH82" s="5">
        <f t="shared" si="70"/>
        <v>-23.07692308</v>
      </c>
      <c r="AI82" s="5">
        <f t="shared" si="70"/>
        <v>0.7453416149</v>
      </c>
      <c r="AJ82" s="5">
        <f t="shared" si="70"/>
        <v>0.7453416149</v>
      </c>
      <c r="AK82" s="5">
        <f t="shared" si="70"/>
        <v>0.8494208494</v>
      </c>
      <c r="AL82" s="5">
        <f t="shared" si="70"/>
        <v>34.29822641</v>
      </c>
      <c r="AM82" s="5">
        <f t="shared" si="70"/>
        <v>-36.44708042</v>
      </c>
      <c r="AN82" s="5">
        <f t="shared" si="70"/>
        <v>-21.94991764</v>
      </c>
      <c r="AO82" s="5">
        <f t="shared" si="70"/>
        <v>-24.84833215</v>
      </c>
      <c r="AP82" s="5">
        <f t="shared" si="70"/>
        <v>85.23451705</v>
      </c>
    </row>
    <row r="83" ht="12.75" customHeight="1">
      <c r="F83" s="1"/>
      <c r="G83" s="1"/>
      <c r="H83" s="5">
        <f t="shared" ref="H83:AP83" si="71">(H8/H6 -1)*100</f>
        <v>15.60283688</v>
      </c>
      <c r="I83" s="5">
        <f t="shared" si="71"/>
        <v>14.97820401</v>
      </c>
      <c r="J83" s="5">
        <f t="shared" si="71"/>
        <v>54.3267491</v>
      </c>
      <c r="K83" s="5">
        <f t="shared" si="71"/>
        <v>-8.857744975</v>
      </c>
      <c r="L83" s="5">
        <f t="shared" si="71"/>
        <v>-30.54577465</v>
      </c>
      <c r="M83" s="5">
        <f t="shared" si="71"/>
        <v>8.928571429</v>
      </c>
      <c r="N83" s="5">
        <f t="shared" si="71"/>
        <v>16.08843537</v>
      </c>
      <c r="O83" s="5">
        <f t="shared" si="71"/>
        <v>-8.618070906</v>
      </c>
      <c r="P83" s="5">
        <f t="shared" si="71"/>
        <v>-47.21314028</v>
      </c>
      <c r="Q83" s="5">
        <f t="shared" si="71"/>
        <v>-29.1505114</v>
      </c>
      <c r="R83" s="5">
        <f t="shared" si="71"/>
        <v>-58.15778482</v>
      </c>
      <c r="S83" s="5">
        <f t="shared" si="71"/>
        <v>-68.10768324</v>
      </c>
      <c r="T83" s="5">
        <f t="shared" si="71"/>
        <v>-49.6</v>
      </c>
      <c r="U83" s="5">
        <f t="shared" si="71"/>
        <v>-46.70475684</v>
      </c>
      <c r="V83" s="5">
        <f t="shared" si="71"/>
        <v>356.6953798</v>
      </c>
      <c r="W83" s="5">
        <f t="shared" si="71"/>
        <v>-58.99423574</v>
      </c>
      <c r="X83" s="5">
        <f t="shared" si="71"/>
        <v>-25.77319588</v>
      </c>
      <c r="Y83" s="5">
        <f t="shared" si="71"/>
        <v>-12.66619014</v>
      </c>
      <c r="Z83" s="5">
        <f t="shared" si="71"/>
        <v>-2.572016461</v>
      </c>
      <c r="AA83" s="5">
        <f t="shared" si="71"/>
        <v>-9.213051823</v>
      </c>
      <c r="AB83" s="5">
        <f t="shared" si="71"/>
        <v>8.860055607</v>
      </c>
      <c r="AC83" s="5">
        <f t="shared" si="71"/>
        <v>-16.40083218</v>
      </c>
      <c r="AD83" s="5">
        <f t="shared" si="71"/>
        <v>7.180202161</v>
      </c>
      <c r="AE83" s="5">
        <f t="shared" si="71"/>
        <v>0.5514705882</v>
      </c>
      <c r="AF83" s="5">
        <f t="shared" si="71"/>
        <v>-12.66857376</v>
      </c>
      <c r="AG83" s="5">
        <f t="shared" si="71"/>
        <v>13.7823372</v>
      </c>
      <c r="AH83" s="5">
        <f t="shared" si="71"/>
        <v>-20</v>
      </c>
      <c r="AI83" s="5">
        <f t="shared" si="71"/>
        <v>-20.99767981</v>
      </c>
      <c r="AJ83" s="5">
        <f t="shared" si="71"/>
        <v>-20.99767981</v>
      </c>
      <c r="AK83" s="5">
        <f t="shared" si="71"/>
        <v>-11.12054329</v>
      </c>
      <c r="AL83" s="5">
        <f t="shared" si="71"/>
        <v>6.328876458</v>
      </c>
      <c r="AM83" s="5">
        <f t="shared" si="71"/>
        <v>-47.55655543</v>
      </c>
      <c r="AN83" s="5">
        <f t="shared" si="71"/>
        <v>-27.03869766</v>
      </c>
      <c r="AO83" s="5">
        <f t="shared" si="71"/>
        <v>-16.49063734</v>
      </c>
      <c r="AP83" s="5">
        <f t="shared" si="71"/>
        <v>73.11491829</v>
      </c>
    </row>
    <row r="84" ht="12.75" customHeight="1">
      <c r="H84" s="5">
        <f t="shared" ref="H84:AP84" si="72">(H9/H5 -1)*100</f>
        <v>9.090909091</v>
      </c>
      <c r="I84" s="5">
        <f t="shared" si="72"/>
        <v>24.3556701</v>
      </c>
      <c r="J84" s="5">
        <f t="shared" si="72"/>
        <v>-7.902658172</v>
      </c>
      <c r="K84" s="5">
        <f t="shared" si="72"/>
        <v>-1.153904668</v>
      </c>
      <c r="L84" s="5">
        <f t="shared" si="72"/>
        <v>-61.5099427</v>
      </c>
      <c r="M84" s="5">
        <f t="shared" si="72"/>
        <v>-61.11111111</v>
      </c>
      <c r="N84" s="5">
        <f t="shared" si="72"/>
        <v>-25.68253021</v>
      </c>
      <c r="O84" s="5">
        <f t="shared" si="72"/>
        <v>93.92433653</v>
      </c>
      <c r="P84" s="5">
        <f t="shared" si="72"/>
        <v>43.13947934</v>
      </c>
      <c r="Q84" s="5">
        <f t="shared" si="72"/>
        <v>6.009249234</v>
      </c>
      <c r="R84" s="5">
        <f t="shared" si="72"/>
        <v>13.77746231</v>
      </c>
      <c r="S84" s="5">
        <f t="shared" si="72"/>
        <v>-55.69523393</v>
      </c>
      <c r="T84" s="5">
        <f t="shared" si="72"/>
        <v>-55.23465704</v>
      </c>
      <c r="U84" s="5">
        <f t="shared" si="72"/>
        <v>-14.45593661</v>
      </c>
      <c r="V84" s="5">
        <f t="shared" si="72"/>
        <v>-81.28313171</v>
      </c>
      <c r="W84" s="5">
        <f t="shared" si="72"/>
        <v>16.72847136</v>
      </c>
      <c r="X84" s="5">
        <f t="shared" si="72"/>
        <v>52.82651072</v>
      </c>
      <c r="Y84" s="5">
        <f t="shared" si="72"/>
        <v>63.32066167</v>
      </c>
      <c r="Z84" s="5">
        <f t="shared" si="72"/>
        <v>19.04761905</v>
      </c>
      <c r="AA84" s="5">
        <f t="shared" si="72"/>
        <v>-1.012145749</v>
      </c>
      <c r="AB84" s="5">
        <f t="shared" si="72"/>
        <v>-4.872665535</v>
      </c>
      <c r="AC84" s="5">
        <f t="shared" si="72"/>
        <v>-15.12313562</v>
      </c>
      <c r="AD84" s="5">
        <f t="shared" si="72"/>
        <v>11.32798885</v>
      </c>
      <c r="AE84" s="5">
        <f t="shared" si="72"/>
        <v>8.679245283</v>
      </c>
      <c r="AF84" s="5">
        <f t="shared" si="72"/>
        <v>-18.5371517</v>
      </c>
      <c r="AG84" s="5">
        <f t="shared" si="72"/>
        <v>13.55504587</v>
      </c>
      <c r="AH84" s="5">
        <f t="shared" si="72"/>
        <v>15.38461538</v>
      </c>
      <c r="AI84" s="5">
        <f t="shared" si="72"/>
        <v>77.76397516</v>
      </c>
      <c r="AJ84" s="5">
        <f t="shared" si="72"/>
        <v>77.76397516</v>
      </c>
      <c r="AK84" s="5">
        <f t="shared" si="72"/>
        <v>78.91891892</v>
      </c>
      <c r="AL84" s="5">
        <f t="shared" si="72"/>
        <v>94.40645625</v>
      </c>
      <c r="AM84" s="5">
        <f t="shared" si="72"/>
        <v>35.05613218</v>
      </c>
      <c r="AN84" s="5">
        <f t="shared" si="72"/>
        <v>1.291792556</v>
      </c>
      <c r="AO84" s="5">
        <f t="shared" si="72"/>
        <v>-7.935204049</v>
      </c>
      <c r="AP84" s="5">
        <f t="shared" si="72"/>
        <v>35.47928036</v>
      </c>
    </row>
    <row r="85" ht="12.75" customHeight="1">
      <c r="H85" s="5">
        <f t="shared" ref="H85:AP85" si="73">(H10/H5 -1)*100</f>
        <v>23.14049587</v>
      </c>
      <c r="I85" s="5">
        <f t="shared" si="73"/>
        <v>4.491899853</v>
      </c>
      <c r="J85" s="5">
        <f t="shared" si="73"/>
        <v>2.967103849</v>
      </c>
      <c r="K85" s="5">
        <f t="shared" si="73"/>
        <v>30.4450608</v>
      </c>
      <c r="L85" s="5">
        <f t="shared" si="73"/>
        <v>-62.38624874</v>
      </c>
      <c r="M85" s="5">
        <f t="shared" si="73"/>
        <v>-60</v>
      </c>
      <c r="N85" s="5">
        <f t="shared" si="73"/>
        <v>-6.247202745</v>
      </c>
      <c r="O85" s="5">
        <f t="shared" si="73"/>
        <v>40.12011704</v>
      </c>
      <c r="P85" s="5">
        <f t="shared" si="73"/>
        <v>-23.94315739</v>
      </c>
      <c r="Q85" s="5">
        <f t="shared" si="73"/>
        <v>-25.05110936</v>
      </c>
      <c r="R85" s="5">
        <f t="shared" si="73"/>
        <v>-5.049876258</v>
      </c>
      <c r="S85" s="5">
        <f t="shared" si="73"/>
        <v>-72.61696546</v>
      </c>
      <c r="T85" s="5">
        <f t="shared" si="73"/>
        <v>-70.75812274</v>
      </c>
      <c r="U85" s="5">
        <f t="shared" si="73"/>
        <v>-31.75830158</v>
      </c>
      <c r="V85" s="5">
        <f t="shared" si="73"/>
        <v>-83.06075846</v>
      </c>
      <c r="W85" s="5">
        <f t="shared" si="73"/>
        <v>18.45900288</v>
      </c>
      <c r="X85" s="5">
        <f t="shared" si="73"/>
        <v>53.41130604</v>
      </c>
      <c r="Y85" s="5">
        <f t="shared" si="73"/>
        <v>136.2409672</v>
      </c>
      <c r="Z85" s="5">
        <f t="shared" si="73"/>
        <v>8.517006803</v>
      </c>
      <c r="AA85" s="5">
        <f t="shared" si="73"/>
        <v>2.024291498</v>
      </c>
      <c r="AB85" s="5">
        <f t="shared" si="73"/>
        <v>2.971137521</v>
      </c>
      <c r="AC85" s="5">
        <f t="shared" si="73"/>
        <v>-16.37183489</v>
      </c>
      <c r="AD85" s="5">
        <f t="shared" si="73"/>
        <v>7.61589404</v>
      </c>
      <c r="AE85" s="5">
        <f t="shared" si="73"/>
        <v>10.18867925</v>
      </c>
      <c r="AF85" s="5">
        <f t="shared" si="73"/>
        <v>-8.900928793</v>
      </c>
      <c r="AG85" s="5">
        <f t="shared" si="73"/>
        <v>9.701834862</v>
      </c>
      <c r="AH85" s="5">
        <f t="shared" si="73"/>
        <v>-15.38461538</v>
      </c>
      <c r="AI85" s="5">
        <f t="shared" si="73"/>
        <v>13.78881988</v>
      </c>
      <c r="AJ85" s="5">
        <f t="shared" si="73"/>
        <v>13.78881988</v>
      </c>
      <c r="AK85" s="5">
        <f t="shared" si="73"/>
        <v>-0.6177606178</v>
      </c>
      <c r="AL85" s="5">
        <f t="shared" si="73"/>
        <v>28.8329319</v>
      </c>
      <c r="AM85" s="5">
        <f t="shared" si="73"/>
        <v>-44.27028172</v>
      </c>
      <c r="AN85" s="5">
        <f t="shared" si="73"/>
        <v>-32.41730118</v>
      </c>
      <c r="AO85" s="5">
        <f t="shared" si="73"/>
        <v>-41.80388272</v>
      </c>
      <c r="AP85" s="5">
        <f t="shared" si="73"/>
        <v>84.23078355</v>
      </c>
    </row>
    <row r="86" ht="12.75" customHeight="1"/>
    <row r="87" ht="12.75" customHeight="1"/>
    <row r="88" ht="12.75" customHeight="1">
      <c r="H88" s="5">
        <f t="shared" ref="H88:AP88" si="74">(H13/H13 -1)*100</f>
        <v>0</v>
      </c>
      <c r="I88" s="5">
        <f t="shared" si="74"/>
        <v>0</v>
      </c>
      <c r="J88" s="5">
        <f t="shared" si="74"/>
        <v>0</v>
      </c>
      <c r="K88" s="5">
        <f t="shared" si="74"/>
        <v>0</v>
      </c>
      <c r="L88" s="5">
        <f t="shared" si="74"/>
        <v>0</v>
      </c>
      <c r="M88" s="5">
        <f t="shared" si="74"/>
        <v>0</v>
      </c>
      <c r="N88" s="5">
        <f t="shared" si="74"/>
        <v>0</v>
      </c>
      <c r="O88" s="5">
        <f t="shared" si="74"/>
        <v>0</v>
      </c>
      <c r="P88" s="5">
        <f t="shared" si="74"/>
        <v>0</v>
      </c>
      <c r="Q88" s="5">
        <f t="shared" si="74"/>
        <v>0</v>
      </c>
      <c r="R88" s="5">
        <f t="shared" si="74"/>
        <v>0</v>
      </c>
      <c r="S88" s="5">
        <f t="shared" si="74"/>
        <v>0</v>
      </c>
      <c r="T88" s="5">
        <f t="shared" si="74"/>
        <v>0</v>
      </c>
      <c r="U88" s="5">
        <f t="shared" si="74"/>
        <v>0</v>
      </c>
      <c r="V88" s="5">
        <f t="shared" si="74"/>
        <v>0</v>
      </c>
      <c r="W88" s="5">
        <f t="shared" si="74"/>
        <v>0</v>
      </c>
      <c r="X88" s="5">
        <f t="shared" si="74"/>
        <v>0</v>
      </c>
      <c r="Y88" s="5">
        <f t="shared" si="74"/>
        <v>0</v>
      </c>
      <c r="Z88" s="5">
        <f t="shared" si="74"/>
        <v>0</v>
      </c>
      <c r="AA88" s="5">
        <f t="shared" si="74"/>
        <v>0</v>
      </c>
      <c r="AB88" s="5">
        <f t="shared" si="74"/>
        <v>0</v>
      </c>
      <c r="AC88" s="5">
        <f t="shared" si="74"/>
        <v>0</v>
      </c>
      <c r="AD88" s="5">
        <f t="shared" si="74"/>
        <v>0</v>
      </c>
      <c r="AE88" s="5">
        <f t="shared" si="74"/>
        <v>0</v>
      </c>
      <c r="AF88" s="5">
        <f t="shared" si="74"/>
        <v>0</v>
      </c>
      <c r="AG88" s="5">
        <f t="shared" si="74"/>
        <v>0</v>
      </c>
      <c r="AH88" s="5">
        <f t="shared" si="74"/>
        <v>0</v>
      </c>
      <c r="AI88" s="5">
        <f t="shared" si="74"/>
        <v>0</v>
      </c>
      <c r="AJ88" s="5">
        <f t="shared" si="74"/>
        <v>0</v>
      </c>
      <c r="AK88" s="5">
        <f t="shared" si="74"/>
        <v>0</v>
      </c>
      <c r="AL88" s="5">
        <f t="shared" si="74"/>
        <v>0</v>
      </c>
      <c r="AM88" s="5">
        <f t="shared" si="74"/>
        <v>0</v>
      </c>
      <c r="AN88" s="5">
        <f t="shared" si="74"/>
        <v>0</v>
      </c>
      <c r="AO88" s="5">
        <f t="shared" si="74"/>
        <v>0</v>
      </c>
      <c r="AP88" s="5">
        <f t="shared" si="74"/>
        <v>0</v>
      </c>
    </row>
    <row r="89" ht="12.75" customHeight="1">
      <c r="H89" s="5">
        <f t="shared" ref="H89:AP89" si="75">(H14/H14 -1)*100</f>
        <v>0</v>
      </c>
      <c r="I89" s="5">
        <f t="shared" si="75"/>
        <v>0</v>
      </c>
      <c r="J89" s="5">
        <f t="shared" si="75"/>
        <v>0</v>
      </c>
      <c r="K89" s="5">
        <f t="shared" si="75"/>
        <v>0</v>
      </c>
      <c r="L89" s="5">
        <f t="shared" si="75"/>
        <v>0</v>
      </c>
      <c r="M89" s="5">
        <f t="shared" si="75"/>
        <v>0</v>
      </c>
      <c r="N89" s="5">
        <f t="shared" si="75"/>
        <v>0</v>
      </c>
      <c r="O89" s="5">
        <f t="shared" si="75"/>
        <v>0</v>
      </c>
      <c r="P89" s="5">
        <f t="shared" si="75"/>
        <v>0</v>
      </c>
      <c r="Q89" s="5">
        <f t="shared" si="75"/>
        <v>0</v>
      </c>
      <c r="R89" s="5">
        <f t="shared" si="75"/>
        <v>0</v>
      </c>
      <c r="S89" s="5">
        <f t="shared" si="75"/>
        <v>0</v>
      </c>
      <c r="T89" s="5">
        <f t="shared" si="75"/>
        <v>0</v>
      </c>
      <c r="U89" s="5">
        <f t="shared" si="75"/>
        <v>0</v>
      </c>
      <c r="V89" s="5">
        <f t="shared" si="75"/>
        <v>0</v>
      </c>
      <c r="W89" s="5">
        <f t="shared" si="75"/>
        <v>0</v>
      </c>
      <c r="X89" s="5">
        <f t="shared" si="75"/>
        <v>0</v>
      </c>
      <c r="Y89" s="5">
        <f t="shared" si="75"/>
        <v>0</v>
      </c>
      <c r="Z89" s="5">
        <f t="shared" si="75"/>
        <v>0</v>
      </c>
      <c r="AA89" s="5">
        <f t="shared" si="75"/>
        <v>0</v>
      </c>
      <c r="AB89" s="5">
        <f t="shared" si="75"/>
        <v>0</v>
      </c>
      <c r="AC89" s="5">
        <f t="shared" si="75"/>
        <v>0</v>
      </c>
      <c r="AD89" s="5">
        <f t="shared" si="75"/>
        <v>0</v>
      </c>
      <c r="AE89" s="5">
        <f t="shared" si="75"/>
        <v>0</v>
      </c>
      <c r="AF89" s="5">
        <f t="shared" si="75"/>
        <v>0</v>
      </c>
      <c r="AG89" s="5">
        <f t="shared" si="75"/>
        <v>0</v>
      </c>
      <c r="AH89" s="5">
        <f t="shared" si="75"/>
        <v>0</v>
      </c>
      <c r="AI89" s="5">
        <f t="shared" si="75"/>
        <v>0</v>
      </c>
      <c r="AJ89" s="5">
        <f t="shared" si="75"/>
        <v>0</v>
      </c>
      <c r="AK89" s="5">
        <f t="shared" si="75"/>
        <v>0</v>
      </c>
      <c r="AL89" s="5">
        <f t="shared" si="75"/>
        <v>0</v>
      </c>
      <c r="AM89" s="5">
        <f t="shared" si="75"/>
        <v>0</v>
      </c>
      <c r="AN89" s="5">
        <f t="shared" si="75"/>
        <v>0</v>
      </c>
      <c r="AO89" s="5">
        <f t="shared" si="75"/>
        <v>0</v>
      </c>
      <c r="AP89" s="5">
        <f t="shared" si="75"/>
        <v>0</v>
      </c>
    </row>
    <row r="90" ht="12.75" customHeight="1">
      <c r="H90" s="5">
        <f t="shared" ref="H90:AP90" si="76">(H15/H13 -1)*100</f>
        <v>-16.04938272</v>
      </c>
      <c r="I90" s="5">
        <f t="shared" si="76"/>
        <v>-12.40528896</v>
      </c>
      <c r="J90" s="5">
        <f t="shared" si="76"/>
        <v>10.22533724</v>
      </c>
      <c r="K90" s="5">
        <f t="shared" si="76"/>
        <v>-36.26287964</v>
      </c>
      <c r="L90" s="5">
        <f t="shared" si="76"/>
        <v>-61.45181477</v>
      </c>
      <c r="M90" s="5">
        <f t="shared" si="76"/>
        <v>-50</v>
      </c>
      <c r="N90" s="5">
        <f t="shared" si="76"/>
        <v>-23.8593422</v>
      </c>
      <c r="O90" s="5">
        <f t="shared" si="76"/>
        <v>16.14906832</v>
      </c>
      <c r="P90" s="5">
        <f t="shared" si="76"/>
        <v>31.01943261</v>
      </c>
      <c r="Q90" s="5">
        <f t="shared" si="76"/>
        <v>64.86596557</v>
      </c>
      <c r="R90" s="5">
        <f t="shared" si="76"/>
        <v>-4.66673657</v>
      </c>
      <c r="S90" s="5">
        <f t="shared" si="76"/>
        <v>-42.36323851</v>
      </c>
      <c r="T90" s="5">
        <f t="shared" si="76"/>
        <v>-22.58064516</v>
      </c>
      <c r="U90" s="5">
        <f t="shared" si="76"/>
        <v>13.88644151</v>
      </c>
      <c r="V90" s="5">
        <f t="shared" si="76"/>
        <v>30.40113708</v>
      </c>
      <c r="W90" s="5">
        <f t="shared" si="76"/>
        <v>87.19211823</v>
      </c>
      <c r="X90" s="5">
        <f t="shared" si="76"/>
        <v>7.047619048</v>
      </c>
      <c r="Y90" s="5">
        <f t="shared" si="76"/>
        <v>35.99917763</v>
      </c>
      <c r="Z90" s="5">
        <f t="shared" si="76"/>
        <v>9.057971014</v>
      </c>
      <c r="AA90" s="5">
        <f t="shared" si="76"/>
        <v>-8.130081301</v>
      </c>
      <c r="AB90" s="5">
        <f t="shared" si="76"/>
        <v>2.879435259</v>
      </c>
      <c r="AC90" s="5">
        <f t="shared" si="76"/>
        <v>1.251646904</v>
      </c>
      <c r="AD90" s="5">
        <f t="shared" si="76"/>
        <v>8.380192273</v>
      </c>
      <c r="AE90" s="5">
        <f t="shared" si="76"/>
        <v>4.347826087</v>
      </c>
      <c r="AF90" s="5">
        <f t="shared" si="76"/>
        <v>16.84981685</v>
      </c>
      <c r="AG90" s="5">
        <f t="shared" si="76"/>
        <v>-2.828034428</v>
      </c>
      <c r="AH90" s="5">
        <f t="shared" si="76"/>
        <v>40</v>
      </c>
      <c r="AI90" s="5">
        <f t="shared" si="76"/>
        <v>38.35403727</v>
      </c>
      <c r="AJ90" s="5">
        <f t="shared" si="76"/>
        <v>38.35403727</v>
      </c>
      <c r="AK90" s="5">
        <f t="shared" si="76"/>
        <v>47.96116505</v>
      </c>
      <c r="AL90" s="5">
        <f t="shared" si="76"/>
        <v>18.66462827</v>
      </c>
      <c r="AM90" s="5">
        <f t="shared" si="76"/>
        <v>38.65078337</v>
      </c>
      <c r="AN90" s="5">
        <f t="shared" si="76"/>
        <v>74.96195227</v>
      </c>
      <c r="AO90" s="5">
        <f t="shared" si="76"/>
        <v>24.68851689</v>
      </c>
      <c r="AP90" s="5">
        <f t="shared" si="76"/>
        <v>-11.34973948</v>
      </c>
    </row>
    <row r="91" ht="12.75" customHeight="1">
      <c r="I91" s="5">
        <f t="shared" ref="I91:N91" si="77">(I16/I14 -1)*100</f>
        <v>-5.691888207</v>
      </c>
      <c r="J91" s="5">
        <f t="shared" si="77"/>
        <v>31.47551339</v>
      </c>
      <c r="K91" s="5">
        <f t="shared" si="77"/>
        <v>-42.59089753</v>
      </c>
      <c r="L91" s="5">
        <f t="shared" si="77"/>
        <v>93.38609384</v>
      </c>
      <c r="M91" s="5">
        <f t="shared" si="77"/>
        <v>50</v>
      </c>
      <c r="N91" s="5">
        <f t="shared" si="77"/>
        <v>-10.85544777</v>
      </c>
      <c r="P91" s="5">
        <f t="shared" ref="P91:AP91" si="78">(P16/P14 -1)*100</f>
        <v>-4.243323442</v>
      </c>
      <c r="Q91" s="5">
        <f t="shared" si="78"/>
        <v>33.48774308</v>
      </c>
      <c r="R91" s="5">
        <f t="shared" si="78"/>
        <v>-41.71235252</v>
      </c>
      <c r="S91" s="5">
        <f t="shared" si="78"/>
        <v>96.33366142</v>
      </c>
      <c r="T91" s="5">
        <f t="shared" si="78"/>
        <v>55.55555556</v>
      </c>
      <c r="U91" s="5">
        <f t="shared" si="78"/>
        <v>-9.490987139</v>
      </c>
      <c r="V91" s="5">
        <f t="shared" si="78"/>
        <v>217.1549001</v>
      </c>
      <c r="W91" s="5">
        <f t="shared" si="78"/>
        <v>-81.09710897</v>
      </c>
      <c r="X91" s="5">
        <f t="shared" si="78"/>
        <v>-20.10443864</v>
      </c>
      <c r="Y91" s="5">
        <f t="shared" si="78"/>
        <v>-30.99721951</v>
      </c>
      <c r="Z91" s="5">
        <f t="shared" si="78"/>
        <v>0</v>
      </c>
      <c r="AA91" s="5">
        <f t="shared" si="78"/>
        <v>7.710280374</v>
      </c>
      <c r="AB91" s="5">
        <f t="shared" si="78"/>
        <v>14.28848015</v>
      </c>
      <c r="AC91" s="5">
        <f t="shared" si="78"/>
        <v>0.8883248731</v>
      </c>
      <c r="AD91" s="5">
        <f t="shared" si="78"/>
        <v>-2.916666667</v>
      </c>
      <c r="AE91" s="5">
        <f t="shared" si="78"/>
        <v>0</v>
      </c>
      <c r="AF91" s="5">
        <f t="shared" si="78"/>
        <v>-2.701443875</v>
      </c>
      <c r="AG91" s="5">
        <f t="shared" si="78"/>
        <v>-1.681273475</v>
      </c>
      <c r="AH91" s="5">
        <f t="shared" si="78"/>
        <v>0</v>
      </c>
      <c r="AI91" s="5">
        <f t="shared" si="78"/>
        <v>-10.93418259</v>
      </c>
      <c r="AJ91" s="5">
        <f t="shared" si="78"/>
        <v>-10.93418259</v>
      </c>
      <c r="AK91" s="5">
        <f t="shared" si="78"/>
        <v>8.149276466</v>
      </c>
      <c r="AL91" s="5" t="str">
        <f t="shared" si="78"/>
        <v>#VALUE!</v>
      </c>
      <c r="AM91" s="5">
        <f t="shared" si="78"/>
        <v>20.63561644</v>
      </c>
      <c r="AN91" s="5">
        <f t="shared" si="78"/>
        <v>48.9581924</v>
      </c>
      <c r="AO91" s="5" t="str">
        <f t="shared" si="78"/>
        <v>#VALUE!</v>
      </c>
      <c r="AP91" s="5" t="str">
        <f t="shared" si="78"/>
        <v>#VALUE!</v>
      </c>
    </row>
    <row r="92" ht="12.75" customHeight="1">
      <c r="H92" s="5">
        <f t="shared" ref="H92:AP92" si="79">(H17/H13 -1)*100</f>
        <v>-15.43209877</v>
      </c>
      <c r="I92" s="5">
        <f t="shared" si="79"/>
        <v>-16.5948596</v>
      </c>
      <c r="J92" s="5">
        <f t="shared" si="79"/>
        <v>-16.18172815</v>
      </c>
      <c r="K92" s="5">
        <f t="shared" si="79"/>
        <v>3.055136367</v>
      </c>
      <c r="L92" s="5">
        <f t="shared" si="79"/>
        <v>-25.46933667</v>
      </c>
      <c r="M92" s="5">
        <f t="shared" si="79"/>
        <v>-100</v>
      </c>
      <c r="N92" s="5">
        <f t="shared" si="79"/>
        <v>-23.3589923</v>
      </c>
      <c r="O92" s="5">
        <f t="shared" si="79"/>
        <v>36.37230657</v>
      </c>
      <c r="P92" s="5">
        <f t="shared" si="79"/>
        <v>42.98035956</v>
      </c>
      <c r="Q92" s="5">
        <f t="shared" si="79"/>
        <v>43.68726949</v>
      </c>
      <c r="R92" s="5">
        <f t="shared" si="79"/>
        <v>76.66491909</v>
      </c>
      <c r="S92" s="5">
        <f t="shared" si="79"/>
        <v>27.74617068</v>
      </c>
      <c r="T92" s="5">
        <f t="shared" si="79"/>
        <v>-100</v>
      </c>
      <c r="U92" s="5">
        <f t="shared" si="79"/>
        <v>31.38521782</v>
      </c>
      <c r="V92" s="5">
        <f t="shared" si="79"/>
        <v>-79.67466835</v>
      </c>
      <c r="W92" s="5">
        <f t="shared" si="79"/>
        <v>602.955665</v>
      </c>
      <c r="X92" s="5">
        <f t="shared" si="79"/>
        <v>51.42857143</v>
      </c>
      <c r="Y92" s="5">
        <f t="shared" si="79"/>
        <v>92.92557566</v>
      </c>
      <c r="Z92" s="5">
        <f t="shared" si="79"/>
        <v>21.59977703</v>
      </c>
      <c r="AA92" s="5">
        <f t="shared" si="79"/>
        <v>7.317073171</v>
      </c>
      <c r="AB92" s="5">
        <f t="shared" si="79"/>
        <v>7.096414639</v>
      </c>
      <c r="AC92" s="5">
        <f t="shared" si="79"/>
        <v>-4.150197628</v>
      </c>
      <c r="AD92" s="5">
        <f t="shared" si="79"/>
        <v>10.42989298</v>
      </c>
      <c r="AE92" s="5">
        <f t="shared" si="79"/>
        <v>21.92816635</v>
      </c>
      <c r="AF92" s="5">
        <f t="shared" si="79"/>
        <v>13.76242805</v>
      </c>
      <c r="AG92" s="5">
        <f t="shared" si="79"/>
        <v>-2.933427016</v>
      </c>
      <c r="AH92" s="5">
        <f t="shared" si="79"/>
        <v>70</v>
      </c>
      <c r="AI92" s="5">
        <f t="shared" si="79"/>
        <v>61.33540373</v>
      </c>
      <c r="AJ92" s="5">
        <f t="shared" si="79"/>
        <v>61.33540373</v>
      </c>
      <c r="AK92" s="5">
        <f t="shared" si="79"/>
        <v>46.31067961</v>
      </c>
      <c r="AL92" s="5">
        <f t="shared" si="79"/>
        <v>18.14893593</v>
      </c>
      <c r="AM92" s="5">
        <f t="shared" si="79"/>
        <v>21.76615305</v>
      </c>
      <c r="AN92" s="5">
        <f t="shared" si="79"/>
        <v>39.32068301</v>
      </c>
      <c r="AO92" s="5">
        <f t="shared" si="79"/>
        <v>23.91797339</v>
      </c>
      <c r="AP92" s="5">
        <f t="shared" si="79"/>
        <v>-4.621650796</v>
      </c>
    </row>
    <row r="93" ht="12.75" customHeight="1">
      <c r="H93" s="5">
        <f t="shared" ref="H93:AP93" si="80">(H18/H13 -1)*100</f>
        <v>-34.56790123</v>
      </c>
      <c r="I93" s="5">
        <f t="shared" si="80"/>
        <v>-3.431882335</v>
      </c>
      <c r="J93" s="5">
        <f t="shared" si="80"/>
        <v>-5.899798116</v>
      </c>
      <c r="K93" s="5">
        <f t="shared" si="80"/>
        <v>-19.04238415</v>
      </c>
      <c r="L93" s="5">
        <f t="shared" si="80"/>
        <v>-13.14142678</v>
      </c>
      <c r="M93" s="5">
        <f t="shared" si="80"/>
        <v>-100</v>
      </c>
      <c r="N93" s="5">
        <f t="shared" si="80"/>
        <v>-18.93981805</v>
      </c>
      <c r="O93" s="5">
        <f t="shared" si="80"/>
        <v>3.380683997</v>
      </c>
      <c r="P93" s="5">
        <f t="shared" si="80"/>
        <v>84.87997506</v>
      </c>
      <c r="Q93" s="5">
        <f t="shared" si="80"/>
        <v>80.15156186</v>
      </c>
      <c r="R93" s="5">
        <f t="shared" si="80"/>
        <v>54.99073783</v>
      </c>
      <c r="S93" s="5">
        <f t="shared" si="80"/>
        <v>66.25820569</v>
      </c>
      <c r="T93" s="5">
        <f t="shared" si="80"/>
        <v>-100</v>
      </c>
      <c r="U93" s="5">
        <f t="shared" si="80"/>
        <v>55.18844836</v>
      </c>
      <c r="V93" s="5">
        <f t="shared" si="80"/>
        <v>-76.51610865</v>
      </c>
      <c r="W93" s="5">
        <f t="shared" si="80"/>
        <v>618.4729064</v>
      </c>
      <c r="X93" s="5">
        <f t="shared" si="80"/>
        <v>51.23809524</v>
      </c>
      <c r="Y93" s="5">
        <f t="shared" si="80"/>
        <v>118.7088816</v>
      </c>
      <c r="Z93" s="5">
        <f t="shared" si="80"/>
        <v>14.26978818</v>
      </c>
      <c r="AA93" s="5">
        <f t="shared" si="80"/>
        <v>1.219512195</v>
      </c>
      <c r="AB93" s="5">
        <f t="shared" si="80"/>
        <v>0.5573100502</v>
      </c>
      <c r="AC93" s="5">
        <f t="shared" si="80"/>
        <v>2.371541502</v>
      </c>
      <c r="AD93" s="5">
        <f t="shared" si="80"/>
        <v>8.380192273</v>
      </c>
      <c r="AE93" s="5">
        <f t="shared" si="80"/>
        <v>7.75047259</v>
      </c>
      <c r="AF93" s="5">
        <f t="shared" si="80"/>
        <v>8.267922554</v>
      </c>
      <c r="AG93" s="5">
        <f t="shared" si="80"/>
        <v>-4.127876339</v>
      </c>
      <c r="AH93" s="5">
        <f t="shared" si="80"/>
        <v>-20</v>
      </c>
      <c r="AI93" s="5">
        <f t="shared" si="80"/>
        <v>58.07453416</v>
      </c>
      <c r="AJ93" s="5">
        <f t="shared" si="80"/>
        <v>58.07453416</v>
      </c>
      <c r="AK93" s="5">
        <f t="shared" si="80"/>
        <v>42.23300971</v>
      </c>
      <c r="AL93" s="5">
        <f t="shared" si="80"/>
        <v>-19.98183168</v>
      </c>
      <c r="AM93" s="5">
        <f t="shared" si="80"/>
        <v>73.97384436</v>
      </c>
      <c r="AN93" s="5">
        <f t="shared" si="80"/>
        <v>81.46041716</v>
      </c>
      <c r="AO93" s="5">
        <f t="shared" si="80"/>
        <v>19.12021579</v>
      </c>
      <c r="AP93" s="5">
        <f t="shared" si="80"/>
        <v>-44.08227069</v>
      </c>
    </row>
    <row r="94" ht="12.75" customHeight="1"/>
    <row r="95" ht="12.75" customHeight="1"/>
    <row r="96" ht="12.75" customHeight="1">
      <c r="H96" s="5">
        <f t="shared" ref="H96:AP96" si="81">(H21/H21 -1)*100</f>
        <v>0</v>
      </c>
      <c r="I96" s="5">
        <f t="shared" si="81"/>
        <v>0</v>
      </c>
      <c r="J96" s="5">
        <f t="shared" si="81"/>
        <v>0</v>
      </c>
      <c r="K96" s="5">
        <f t="shared" si="81"/>
        <v>0</v>
      </c>
      <c r="L96" s="5">
        <f t="shared" si="81"/>
        <v>0</v>
      </c>
      <c r="M96" s="5">
        <f t="shared" si="81"/>
        <v>0</v>
      </c>
      <c r="N96" s="5">
        <f t="shared" si="81"/>
        <v>0</v>
      </c>
      <c r="O96" s="5">
        <f t="shared" si="81"/>
        <v>0</v>
      </c>
      <c r="P96" s="5">
        <f t="shared" si="81"/>
        <v>0</v>
      </c>
      <c r="Q96" s="5">
        <f t="shared" si="81"/>
        <v>0</v>
      </c>
      <c r="R96" s="5">
        <f t="shared" si="81"/>
        <v>0</v>
      </c>
      <c r="S96" s="5">
        <f t="shared" si="81"/>
        <v>0</v>
      </c>
      <c r="T96" s="5">
        <f t="shared" si="81"/>
        <v>0</v>
      </c>
      <c r="U96" s="5">
        <f t="shared" si="81"/>
        <v>0</v>
      </c>
      <c r="V96" s="5">
        <f t="shared" si="81"/>
        <v>0</v>
      </c>
      <c r="W96" s="5" t="str">
        <f t="shared" si="81"/>
        <v>#DIV/0!</v>
      </c>
      <c r="X96" s="5">
        <f t="shared" si="81"/>
        <v>0</v>
      </c>
      <c r="Y96" s="5">
        <f t="shared" si="81"/>
        <v>0</v>
      </c>
      <c r="Z96" s="5">
        <f t="shared" si="81"/>
        <v>0</v>
      </c>
      <c r="AA96" s="5">
        <f t="shared" si="81"/>
        <v>0</v>
      </c>
      <c r="AB96" s="5">
        <f t="shared" si="81"/>
        <v>0</v>
      </c>
      <c r="AC96" s="5">
        <f t="shared" si="81"/>
        <v>0</v>
      </c>
      <c r="AD96" s="5">
        <f t="shared" si="81"/>
        <v>0</v>
      </c>
      <c r="AE96" s="5">
        <f t="shared" si="81"/>
        <v>0</v>
      </c>
      <c r="AF96" s="5">
        <f t="shared" si="81"/>
        <v>0</v>
      </c>
      <c r="AG96" s="5">
        <f t="shared" si="81"/>
        <v>0</v>
      </c>
      <c r="AH96" s="5">
        <f t="shared" si="81"/>
        <v>0</v>
      </c>
      <c r="AI96" s="5">
        <f t="shared" si="81"/>
        <v>0</v>
      </c>
      <c r="AJ96" s="5">
        <f t="shared" si="81"/>
        <v>0</v>
      </c>
      <c r="AK96" s="5">
        <f t="shared" si="81"/>
        <v>0</v>
      </c>
      <c r="AL96" s="5">
        <f t="shared" si="81"/>
        <v>0</v>
      </c>
      <c r="AM96" s="5">
        <f t="shared" si="81"/>
        <v>0</v>
      </c>
      <c r="AN96" s="5">
        <f t="shared" si="81"/>
        <v>0</v>
      </c>
      <c r="AO96" s="5">
        <f t="shared" si="81"/>
        <v>0</v>
      </c>
      <c r="AP96" s="5">
        <f t="shared" si="81"/>
        <v>0</v>
      </c>
    </row>
    <row r="97" ht="12.75" customHeight="1">
      <c r="H97" s="5">
        <f t="shared" ref="H97:AP97" si="82">(H22/H22 -1)*100</f>
        <v>0</v>
      </c>
      <c r="I97" s="5">
        <f t="shared" si="82"/>
        <v>0</v>
      </c>
      <c r="J97" s="5">
        <f t="shared" si="82"/>
        <v>0</v>
      </c>
      <c r="K97" s="5">
        <f t="shared" si="82"/>
        <v>0</v>
      </c>
      <c r="L97" s="5">
        <f t="shared" si="82"/>
        <v>0</v>
      </c>
      <c r="M97" s="5" t="str">
        <f t="shared" si="82"/>
        <v>#DIV/0!</v>
      </c>
      <c r="N97" s="5">
        <f t="shared" si="82"/>
        <v>0</v>
      </c>
      <c r="O97" s="5">
        <f t="shared" si="82"/>
        <v>0</v>
      </c>
      <c r="P97" s="5">
        <f t="shared" si="82"/>
        <v>0</v>
      </c>
      <c r="Q97" s="5">
        <f t="shared" si="82"/>
        <v>0</v>
      </c>
      <c r="R97" s="5">
        <f t="shared" si="82"/>
        <v>0</v>
      </c>
      <c r="S97" s="5">
        <f t="shared" si="82"/>
        <v>0</v>
      </c>
      <c r="T97" s="5" t="str">
        <f t="shared" si="82"/>
        <v>#DIV/0!</v>
      </c>
      <c r="U97" s="5">
        <f t="shared" si="82"/>
        <v>0</v>
      </c>
      <c r="V97" s="5">
        <f t="shared" si="82"/>
        <v>0</v>
      </c>
      <c r="W97" s="5">
        <f t="shared" si="82"/>
        <v>0</v>
      </c>
      <c r="X97" s="5">
        <f t="shared" si="82"/>
        <v>0</v>
      </c>
      <c r="Y97" s="5">
        <f t="shared" si="82"/>
        <v>0</v>
      </c>
      <c r="Z97" s="5">
        <f t="shared" si="82"/>
        <v>0</v>
      </c>
      <c r="AA97" s="5">
        <f t="shared" si="82"/>
        <v>0</v>
      </c>
      <c r="AB97" s="5">
        <f t="shared" si="82"/>
        <v>0</v>
      </c>
      <c r="AC97" s="5">
        <f t="shared" si="82"/>
        <v>0</v>
      </c>
      <c r="AD97" s="5">
        <f t="shared" si="82"/>
        <v>0</v>
      </c>
      <c r="AE97" s="5">
        <f t="shared" si="82"/>
        <v>0</v>
      </c>
      <c r="AF97" s="5">
        <f t="shared" si="82"/>
        <v>0</v>
      </c>
      <c r="AG97" s="5">
        <f t="shared" si="82"/>
        <v>0</v>
      </c>
      <c r="AH97" s="5">
        <f t="shared" si="82"/>
        <v>0</v>
      </c>
      <c r="AI97" s="5">
        <f t="shared" si="82"/>
        <v>0</v>
      </c>
      <c r="AJ97" s="5">
        <f t="shared" si="82"/>
        <v>0</v>
      </c>
      <c r="AK97" s="5">
        <f t="shared" si="82"/>
        <v>0</v>
      </c>
      <c r="AL97" s="5">
        <f t="shared" si="82"/>
        <v>0</v>
      </c>
      <c r="AM97" s="5">
        <f t="shared" si="82"/>
        <v>0</v>
      </c>
      <c r="AN97" s="5">
        <f t="shared" si="82"/>
        <v>0</v>
      </c>
      <c r="AO97" s="5">
        <f t="shared" si="82"/>
        <v>0</v>
      </c>
      <c r="AP97" s="5">
        <f t="shared" si="82"/>
        <v>0</v>
      </c>
    </row>
    <row r="98" ht="12.75" customHeight="1">
      <c r="H98" s="5">
        <f t="shared" ref="H98:AP98" si="83">(H23/H21 -1)*100</f>
        <v>-6.077348066</v>
      </c>
      <c r="I98" s="5">
        <f t="shared" si="83"/>
        <v>-6.702828361</v>
      </c>
      <c r="J98" s="5">
        <f t="shared" si="83"/>
        <v>5.029235496</v>
      </c>
      <c r="K98" s="5">
        <f t="shared" si="83"/>
        <v>-17.94932012</v>
      </c>
      <c r="L98" s="5">
        <f t="shared" si="83"/>
        <v>17.05514497</v>
      </c>
      <c r="M98" s="5">
        <f t="shared" si="83"/>
        <v>-55.55555556</v>
      </c>
      <c r="N98" s="5">
        <f t="shared" si="83"/>
        <v>0.3565677479</v>
      </c>
      <c r="O98" s="5">
        <f t="shared" si="83"/>
        <v>-10.04765832</v>
      </c>
      <c r="P98" s="5">
        <f t="shared" si="83"/>
        <v>-13.5998308</v>
      </c>
      <c r="Q98" s="5">
        <f t="shared" si="83"/>
        <v>-2.735907613</v>
      </c>
      <c r="R98" s="5">
        <f t="shared" si="83"/>
        <v>-24.01546035</v>
      </c>
      <c r="S98" s="5">
        <f t="shared" si="83"/>
        <v>8.410924891</v>
      </c>
      <c r="T98" s="5">
        <f t="shared" si="83"/>
        <v>-59.09090909</v>
      </c>
      <c r="U98" s="5">
        <f t="shared" si="83"/>
        <v>-7.063477114</v>
      </c>
      <c r="V98" s="5">
        <f t="shared" si="83"/>
        <v>39.88603989</v>
      </c>
      <c r="W98" s="5" t="str">
        <f t="shared" si="83"/>
        <v>#DIV/0!</v>
      </c>
      <c r="X98" s="5">
        <f t="shared" si="83"/>
        <v>4.356060606</v>
      </c>
      <c r="Y98" s="5">
        <f t="shared" si="83"/>
        <v>128.9043743</v>
      </c>
      <c r="Z98" s="5">
        <f t="shared" si="83"/>
        <v>0.3126628452</v>
      </c>
      <c r="AA98" s="5">
        <f t="shared" si="83"/>
        <v>13.27231121</v>
      </c>
      <c r="AB98" s="5">
        <f t="shared" si="83"/>
        <v>5.513071314</v>
      </c>
      <c r="AC98" s="5">
        <f t="shared" si="83"/>
        <v>0.878293601</v>
      </c>
      <c r="AD98" s="5">
        <f t="shared" si="83"/>
        <v>4.493978069</v>
      </c>
      <c r="AE98" s="5">
        <f t="shared" si="83"/>
        <v>7.407407407</v>
      </c>
      <c r="AF98" s="5">
        <f t="shared" si="83"/>
        <v>6.150537634</v>
      </c>
      <c r="AG98" s="5">
        <f t="shared" si="83"/>
        <v>-0.2913328478</v>
      </c>
      <c r="AH98" s="5">
        <f t="shared" si="83"/>
        <v>30</v>
      </c>
      <c r="AI98" s="5">
        <f t="shared" si="83"/>
        <v>-4.227212682</v>
      </c>
      <c r="AJ98" s="5">
        <f t="shared" si="83"/>
        <v>-4.227212682</v>
      </c>
      <c r="AK98" s="5">
        <f t="shared" si="83"/>
        <v>-5.342237062</v>
      </c>
      <c r="AL98" s="5">
        <f t="shared" si="83"/>
        <v>-11.25462914</v>
      </c>
      <c r="AM98" s="5">
        <f t="shared" si="83"/>
        <v>-17.69887146</v>
      </c>
      <c r="AN98" s="5">
        <f t="shared" si="83"/>
        <v>-3.147251682</v>
      </c>
      <c r="AO98" s="5">
        <f t="shared" si="83"/>
        <v>6.662197728</v>
      </c>
      <c r="AP98" s="5">
        <f t="shared" si="83"/>
        <v>4.111302643</v>
      </c>
    </row>
    <row r="99" ht="12.75" customHeight="1">
      <c r="H99" s="5">
        <f t="shared" ref="H99:AP99" si="84">(H24/H22 -1)*100</f>
        <v>8.391608392</v>
      </c>
      <c r="I99" s="5">
        <f t="shared" si="84"/>
        <v>-18.77138946</v>
      </c>
      <c r="J99" s="5">
        <f t="shared" si="84"/>
        <v>23.96418283</v>
      </c>
      <c r="K99" s="5">
        <f t="shared" si="84"/>
        <v>-18.55114471</v>
      </c>
      <c r="L99" s="5">
        <f t="shared" si="84"/>
        <v>-6.765523633</v>
      </c>
      <c r="M99" s="5" t="str">
        <f t="shared" si="84"/>
        <v>#DIV/0!</v>
      </c>
      <c r="N99" s="5">
        <f t="shared" si="84"/>
        <v>-4.315806797</v>
      </c>
      <c r="O99" s="5">
        <f t="shared" si="84"/>
        <v>4.224895694</v>
      </c>
      <c r="P99" s="5">
        <f t="shared" si="84"/>
        <v>-30.57377615</v>
      </c>
      <c r="Q99" s="5">
        <f t="shared" si="84"/>
        <v>5.954388099</v>
      </c>
      <c r="R99" s="5">
        <f t="shared" si="84"/>
        <v>-30.38413026</v>
      </c>
      <c r="S99" s="5">
        <f t="shared" si="84"/>
        <v>-20.30665669</v>
      </c>
      <c r="T99" s="5" t="str">
        <f t="shared" si="84"/>
        <v>#DIV/0!</v>
      </c>
      <c r="U99" s="5">
        <f t="shared" si="84"/>
        <v>-18.21698348</v>
      </c>
      <c r="V99" s="5">
        <f t="shared" si="84"/>
        <v>472.3050116</v>
      </c>
      <c r="W99" s="5">
        <f t="shared" si="84"/>
        <v>-100</v>
      </c>
      <c r="X99" s="5">
        <f t="shared" si="84"/>
        <v>-29.50191571</v>
      </c>
      <c r="Y99" s="5">
        <f t="shared" si="84"/>
        <v>-36.66250416</v>
      </c>
      <c r="Z99" s="5">
        <f t="shared" si="84"/>
        <v>4.443880142</v>
      </c>
      <c r="AA99" s="5">
        <f t="shared" si="84"/>
        <v>-3.58649789</v>
      </c>
      <c r="AB99" s="5">
        <f t="shared" si="84"/>
        <v>0.5616005616</v>
      </c>
      <c r="AC99" s="5">
        <f t="shared" si="84"/>
        <v>-0.3863490019</v>
      </c>
      <c r="AD99" s="5">
        <f t="shared" si="84"/>
        <v>-5.227120908</v>
      </c>
      <c r="AE99" s="5">
        <f t="shared" si="84"/>
        <v>-7.718696398</v>
      </c>
      <c r="AF99" s="5">
        <f t="shared" si="84"/>
        <v>23.47826087</v>
      </c>
      <c r="AG99" s="5">
        <f t="shared" si="84"/>
        <v>1.072485207</v>
      </c>
      <c r="AH99" s="5">
        <f t="shared" si="84"/>
        <v>20</v>
      </c>
      <c r="AI99" s="5">
        <f t="shared" si="84"/>
        <v>-3.894736842</v>
      </c>
      <c r="AJ99" s="5">
        <f t="shared" si="84"/>
        <v>-3.894736842</v>
      </c>
      <c r="AK99" s="5">
        <f t="shared" si="84"/>
        <v>14.39393939</v>
      </c>
      <c r="AL99" s="5">
        <f t="shared" si="84"/>
        <v>29.21996872</v>
      </c>
      <c r="AM99" s="5">
        <f t="shared" si="84"/>
        <v>-17.10581788</v>
      </c>
      <c r="AN99" s="5">
        <f t="shared" si="84"/>
        <v>17.90685122</v>
      </c>
      <c r="AO99" s="5">
        <f t="shared" si="84"/>
        <v>-11.47348159</v>
      </c>
      <c r="AP99" s="5">
        <f t="shared" si="84"/>
        <v>50.12323861</v>
      </c>
    </row>
    <row r="100" ht="12.75" customHeight="1">
      <c r="H100" s="5">
        <f t="shared" ref="H100:AP100" si="85">(H25/H21 -1)*100</f>
        <v>-34.80662983</v>
      </c>
      <c r="I100" s="5">
        <f t="shared" si="85"/>
        <v>43.0647036</v>
      </c>
      <c r="J100" s="5">
        <f t="shared" si="85"/>
        <v>-28.38372827</v>
      </c>
      <c r="K100" s="5">
        <f t="shared" si="85"/>
        <v>-6.046123858</v>
      </c>
      <c r="L100" s="5">
        <f t="shared" si="85"/>
        <v>-42.92211484</v>
      </c>
      <c r="M100" s="5">
        <f t="shared" si="85"/>
        <v>-94.44444444</v>
      </c>
      <c r="N100" s="5">
        <f t="shared" si="85"/>
        <v>-23.74817882</v>
      </c>
      <c r="O100" s="5">
        <f t="shared" si="85"/>
        <v>24.44441201</v>
      </c>
      <c r="P100" s="5">
        <f t="shared" si="85"/>
        <v>185.5118443</v>
      </c>
      <c r="Q100" s="5">
        <f t="shared" si="85"/>
        <v>42.91864312</v>
      </c>
      <c r="R100" s="5">
        <f t="shared" si="85"/>
        <v>87.49583365</v>
      </c>
      <c r="S100" s="5">
        <f t="shared" si="85"/>
        <v>13.9044072</v>
      </c>
      <c r="T100" s="5">
        <f t="shared" si="85"/>
        <v>-89.39393939</v>
      </c>
      <c r="U100" s="5">
        <f t="shared" si="85"/>
        <v>52.1692723</v>
      </c>
      <c r="V100" s="5">
        <f t="shared" si="85"/>
        <v>-79.93966817</v>
      </c>
      <c r="W100" s="5" t="str">
        <f t="shared" si="85"/>
        <v>#DIV/0!</v>
      </c>
      <c r="X100" s="5">
        <f t="shared" si="85"/>
        <v>44.31818182</v>
      </c>
      <c r="Y100" s="5">
        <f t="shared" si="85"/>
        <v>146.979368</v>
      </c>
      <c r="Z100" s="5">
        <f t="shared" si="85"/>
        <v>18.8900469</v>
      </c>
      <c r="AA100" s="5">
        <f t="shared" si="85"/>
        <v>5.491990847</v>
      </c>
      <c r="AB100" s="5">
        <f t="shared" si="85"/>
        <v>-3.965854526</v>
      </c>
      <c r="AC100" s="5">
        <f t="shared" si="85"/>
        <v>-15.11919699</v>
      </c>
      <c r="AD100" s="5">
        <f t="shared" si="85"/>
        <v>19.3241057</v>
      </c>
      <c r="AE100" s="5">
        <f t="shared" si="85"/>
        <v>11.89083821</v>
      </c>
      <c r="AF100" s="5">
        <f t="shared" si="85"/>
        <v>-11.48387097</v>
      </c>
      <c r="AG100" s="5">
        <f t="shared" si="85"/>
        <v>-0.7465404224</v>
      </c>
      <c r="AH100" s="5">
        <f t="shared" si="85"/>
        <v>40</v>
      </c>
      <c r="AI100" s="5">
        <f t="shared" si="85"/>
        <v>90.88507266</v>
      </c>
      <c r="AJ100" s="5">
        <f t="shared" si="85"/>
        <v>90.88507266</v>
      </c>
      <c r="AK100" s="5">
        <f t="shared" si="85"/>
        <v>92.9048414</v>
      </c>
      <c r="AL100" s="5">
        <f t="shared" si="85"/>
        <v>8.626341735</v>
      </c>
      <c r="AM100" s="5">
        <f t="shared" si="85"/>
        <v>202.8213598</v>
      </c>
      <c r="AN100" s="5">
        <f t="shared" si="85"/>
        <v>38.71653445</v>
      </c>
      <c r="AO100" s="5">
        <f t="shared" si="85"/>
        <v>77.50884901</v>
      </c>
      <c r="AP100" s="5">
        <f t="shared" si="85"/>
        <v>-56.41357287</v>
      </c>
    </row>
    <row r="101" ht="12.75" customHeight="1">
      <c r="H101" s="5">
        <f t="shared" ref="H101:AP101" si="86">(H26/H21 -1)*100</f>
        <v>-48.61878453</v>
      </c>
      <c r="I101" s="5">
        <f t="shared" si="86"/>
        <v>7.671445176</v>
      </c>
      <c r="J101" s="5">
        <f t="shared" si="86"/>
        <v>-13.3403575</v>
      </c>
      <c r="K101" s="5">
        <f t="shared" si="86"/>
        <v>-2.174678847</v>
      </c>
      <c r="L101" s="5">
        <f t="shared" si="86"/>
        <v>-49.63047186</v>
      </c>
      <c r="M101" s="5">
        <f t="shared" si="86"/>
        <v>-100</v>
      </c>
      <c r="N101" s="5">
        <f t="shared" si="86"/>
        <v>-17.69419523</v>
      </c>
      <c r="O101" s="5">
        <f t="shared" si="86"/>
        <v>-34.9080771</v>
      </c>
      <c r="P101" s="5">
        <f t="shared" si="86"/>
        <v>39.22377327</v>
      </c>
      <c r="Q101" s="5">
        <f t="shared" si="86"/>
        <v>12.05234356</v>
      </c>
      <c r="R101" s="5">
        <f t="shared" si="86"/>
        <v>26.489629</v>
      </c>
      <c r="S101" s="5">
        <f t="shared" si="86"/>
        <v>-34.85412787</v>
      </c>
      <c r="T101" s="5">
        <f t="shared" si="86"/>
        <v>-100</v>
      </c>
      <c r="U101" s="5">
        <f t="shared" si="86"/>
        <v>6.423055189</v>
      </c>
      <c r="V101" s="5">
        <f t="shared" si="86"/>
        <v>-76.42031171</v>
      </c>
      <c r="W101" s="5" t="str">
        <f t="shared" si="86"/>
        <v>#DIV/0!</v>
      </c>
      <c r="X101" s="5">
        <f t="shared" si="86"/>
        <v>52.65151515</v>
      </c>
      <c r="Y101" s="5">
        <f t="shared" si="86"/>
        <v>75.97157971</v>
      </c>
      <c r="Z101" s="5">
        <f t="shared" si="86"/>
        <v>6.175091193</v>
      </c>
      <c r="AA101" s="5">
        <f t="shared" si="86"/>
        <v>9.610983982</v>
      </c>
      <c r="AB101" s="5">
        <f t="shared" si="86"/>
        <v>-2.578694647</v>
      </c>
      <c r="AC101" s="5">
        <f t="shared" si="86"/>
        <v>-4.265997491</v>
      </c>
      <c r="AD101" s="5">
        <f t="shared" si="86"/>
        <v>7.406075858</v>
      </c>
      <c r="AE101" s="5">
        <f t="shared" si="86"/>
        <v>10.52631579</v>
      </c>
      <c r="AF101" s="5">
        <f t="shared" si="86"/>
        <v>-15.05376344</v>
      </c>
      <c r="AG101" s="5">
        <f t="shared" si="86"/>
        <v>-1.911871814</v>
      </c>
      <c r="AH101" s="5">
        <f t="shared" si="86"/>
        <v>40</v>
      </c>
      <c r="AI101" s="5">
        <f t="shared" si="86"/>
        <v>26.68428005</v>
      </c>
      <c r="AJ101" s="5">
        <f t="shared" si="86"/>
        <v>26.68428005</v>
      </c>
      <c r="AK101" s="5">
        <f t="shared" si="86"/>
        <v>11.76961603</v>
      </c>
      <c r="AL101" s="5">
        <f t="shared" si="86"/>
        <v>-57.85584068</v>
      </c>
      <c r="AM101" s="5">
        <f t="shared" si="86"/>
        <v>12.4415084</v>
      </c>
      <c r="AN101" s="5">
        <f t="shared" si="86"/>
        <v>3.209482697</v>
      </c>
      <c r="AO101" s="5">
        <f t="shared" si="86"/>
        <v>53.18133966</v>
      </c>
      <c r="AP101" s="5">
        <f t="shared" si="86"/>
        <v>-53.24654593</v>
      </c>
    </row>
    <row r="102" ht="12.75" customHeight="1"/>
    <row r="103" ht="12.75" customHeight="1"/>
    <row r="104" ht="12.75" customHeight="1">
      <c r="H104" s="5">
        <f t="shared" ref="H104:AP104" si="87">(H29/H29 -1)*100</f>
        <v>0</v>
      </c>
      <c r="I104" s="5">
        <f t="shared" si="87"/>
        <v>0</v>
      </c>
      <c r="J104" s="5">
        <f t="shared" si="87"/>
        <v>0</v>
      </c>
      <c r="K104" s="5">
        <f t="shared" si="87"/>
        <v>0</v>
      </c>
      <c r="L104" s="5">
        <f t="shared" si="87"/>
        <v>0</v>
      </c>
      <c r="M104" s="5" t="str">
        <f t="shared" si="87"/>
        <v>#DIV/0!</v>
      </c>
      <c r="N104" s="5">
        <f t="shared" si="87"/>
        <v>0</v>
      </c>
      <c r="O104" s="5">
        <f t="shared" si="87"/>
        <v>0</v>
      </c>
      <c r="P104" s="5">
        <f t="shared" si="87"/>
        <v>0</v>
      </c>
      <c r="Q104" s="5">
        <f t="shared" si="87"/>
        <v>0</v>
      </c>
      <c r="R104" s="5">
        <f t="shared" si="87"/>
        <v>0</v>
      </c>
      <c r="S104" s="5">
        <f t="shared" si="87"/>
        <v>0</v>
      </c>
      <c r="T104" s="5" t="str">
        <f t="shared" si="87"/>
        <v>#DIV/0!</v>
      </c>
      <c r="U104" s="5">
        <f t="shared" si="87"/>
        <v>0</v>
      </c>
      <c r="V104" s="5">
        <f t="shared" si="87"/>
        <v>0</v>
      </c>
      <c r="W104" s="5">
        <f t="shared" si="87"/>
        <v>0</v>
      </c>
      <c r="X104" s="5">
        <f t="shared" si="87"/>
        <v>0</v>
      </c>
      <c r="Y104" s="5">
        <f t="shared" si="87"/>
        <v>0</v>
      </c>
      <c r="Z104" s="5">
        <f t="shared" si="87"/>
        <v>0</v>
      </c>
      <c r="AA104" s="5">
        <f t="shared" si="87"/>
        <v>0</v>
      </c>
      <c r="AB104" s="5">
        <f t="shared" si="87"/>
        <v>0</v>
      </c>
      <c r="AC104" s="5">
        <f t="shared" si="87"/>
        <v>0</v>
      </c>
      <c r="AD104" s="5">
        <f t="shared" si="87"/>
        <v>0</v>
      </c>
      <c r="AE104" s="5">
        <f t="shared" si="87"/>
        <v>0</v>
      </c>
      <c r="AF104" s="5">
        <f t="shared" si="87"/>
        <v>0</v>
      </c>
      <c r="AG104" s="5">
        <f t="shared" si="87"/>
        <v>0</v>
      </c>
      <c r="AH104" s="5">
        <f t="shared" si="87"/>
        <v>0</v>
      </c>
      <c r="AI104" s="5">
        <f t="shared" si="87"/>
        <v>0</v>
      </c>
      <c r="AJ104" s="5">
        <f t="shared" si="87"/>
        <v>0</v>
      </c>
      <c r="AK104" s="5">
        <f t="shared" si="87"/>
        <v>0</v>
      </c>
      <c r="AL104" s="5">
        <f t="shared" si="87"/>
        <v>0</v>
      </c>
      <c r="AM104" s="5">
        <f t="shared" si="87"/>
        <v>0</v>
      </c>
      <c r="AN104" s="5">
        <f t="shared" si="87"/>
        <v>0</v>
      </c>
      <c r="AO104" s="5">
        <f t="shared" si="87"/>
        <v>0</v>
      </c>
      <c r="AP104" s="5">
        <f t="shared" si="87"/>
        <v>0</v>
      </c>
    </row>
    <row r="105" ht="12.75" customHeight="1">
      <c r="H105" s="5">
        <f t="shared" ref="H105:AP105" si="88">(H30/H30 -1)*100</f>
        <v>0</v>
      </c>
      <c r="I105" s="5">
        <f t="shared" si="88"/>
        <v>0</v>
      </c>
      <c r="J105" s="5">
        <f t="shared" si="88"/>
        <v>0</v>
      </c>
      <c r="K105" s="5">
        <f t="shared" si="88"/>
        <v>0</v>
      </c>
      <c r="L105" s="5">
        <f t="shared" si="88"/>
        <v>0</v>
      </c>
      <c r="M105" s="5" t="str">
        <f t="shared" si="88"/>
        <v>#DIV/0!</v>
      </c>
      <c r="N105" s="5">
        <f t="shared" si="88"/>
        <v>0</v>
      </c>
      <c r="O105" s="5">
        <f t="shared" si="88"/>
        <v>0</v>
      </c>
      <c r="P105" s="5">
        <f t="shared" si="88"/>
        <v>0</v>
      </c>
      <c r="Q105" s="5">
        <f t="shared" si="88"/>
        <v>0</v>
      </c>
      <c r="R105" s="5">
        <f t="shared" si="88"/>
        <v>0</v>
      </c>
      <c r="S105" s="5">
        <f t="shared" si="88"/>
        <v>0</v>
      </c>
      <c r="T105" s="5" t="str">
        <f t="shared" si="88"/>
        <v>#DIV/0!</v>
      </c>
      <c r="U105" s="5">
        <f t="shared" si="88"/>
        <v>0</v>
      </c>
      <c r="V105" s="5">
        <f t="shared" si="88"/>
        <v>0</v>
      </c>
      <c r="W105" s="5">
        <f t="shared" si="88"/>
        <v>0</v>
      </c>
      <c r="X105" s="5">
        <f t="shared" si="88"/>
        <v>0</v>
      </c>
      <c r="Y105" s="5">
        <f t="shared" si="88"/>
        <v>0</v>
      </c>
      <c r="Z105" s="5">
        <f t="shared" si="88"/>
        <v>0</v>
      </c>
      <c r="AA105" s="5">
        <f t="shared" si="88"/>
        <v>0</v>
      </c>
      <c r="AB105" s="5">
        <f t="shared" si="88"/>
        <v>0</v>
      </c>
      <c r="AC105" s="5">
        <f t="shared" si="88"/>
        <v>0</v>
      </c>
      <c r="AD105" s="5">
        <f t="shared" si="88"/>
        <v>0</v>
      </c>
      <c r="AE105" s="5">
        <f t="shared" si="88"/>
        <v>0</v>
      </c>
      <c r="AF105" s="5">
        <f t="shared" si="88"/>
        <v>0</v>
      </c>
      <c r="AG105" s="5">
        <f t="shared" si="88"/>
        <v>0</v>
      </c>
      <c r="AH105" s="5">
        <f t="shared" si="88"/>
        <v>0</v>
      </c>
      <c r="AI105" s="5">
        <f t="shared" si="88"/>
        <v>0</v>
      </c>
      <c r="AJ105" s="5">
        <f t="shared" si="88"/>
        <v>0</v>
      </c>
      <c r="AK105" s="5">
        <f t="shared" si="88"/>
        <v>0</v>
      </c>
      <c r="AL105" s="5">
        <f t="shared" si="88"/>
        <v>0</v>
      </c>
      <c r="AM105" s="5">
        <f t="shared" si="88"/>
        <v>0</v>
      </c>
      <c r="AN105" s="5">
        <f t="shared" si="88"/>
        <v>0</v>
      </c>
      <c r="AO105" s="5">
        <f t="shared" si="88"/>
        <v>0</v>
      </c>
      <c r="AP105" s="5">
        <f t="shared" si="88"/>
        <v>0</v>
      </c>
    </row>
    <row r="106" ht="12.75" customHeight="1">
      <c r="H106" s="5">
        <f t="shared" ref="H106:AP106" si="89">(H31/H29 -1)*100</f>
        <v>0.641025641</v>
      </c>
      <c r="I106" s="5">
        <f t="shared" si="89"/>
        <v>-1.869722557</v>
      </c>
      <c r="J106" s="5">
        <f t="shared" si="89"/>
        <v>39.71175325</v>
      </c>
      <c r="K106" s="5">
        <f t="shared" si="89"/>
        <v>73.50932743</v>
      </c>
      <c r="L106" s="5">
        <f t="shared" si="89"/>
        <v>-14.00862069</v>
      </c>
      <c r="M106" s="5" t="str">
        <f t="shared" si="89"/>
        <v>#DIV/0!</v>
      </c>
      <c r="N106" s="5">
        <f t="shared" si="89"/>
        <v>24.93120528</v>
      </c>
      <c r="O106" s="5">
        <f t="shared" si="89"/>
        <v>15.17728988</v>
      </c>
      <c r="P106" s="5">
        <f t="shared" si="89"/>
        <v>20.43254118</v>
      </c>
      <c r="Q106" s="5">
        <f t="shared" si="89"/>
        <v>71.46691648</v>
      </c>
      <c r="R106" s="5">
        <f t="shared" si="89"/>
        <v>112.9458641</v>
      </c>
      <c r="S106" s="5">
        <f t="shared" si="89"/>
        <v>5.525606469</v>
      </c>
      <c r="T106" s="5" t="str">
        <f t="shared" si="89"/>
        <v>#DIV/0!</v>
      </c>
      <c r="U106" s="5">
        <f t="shared" si="89"/>
        <v>53.32624069</v>
      </c>
      <c r="V106" s="5">
        <f t="shared" si="89"/>
        <v>-35.76667043</v>
      </c>
      <c r="W106" s="5">
        <f t="shared" si="89"/>
        <v>-9.468223087</v>
      </c>
      <c r="X106" s="5">
        <f t="shared" si="89"/>
        <v>0.7575757576</v>
      </c>
      <c r="Y106" s="5">
        <f t="shared" si="89"/>
        <v>-9.251600559</v>
      </c>
      <c r="Z106" s="5">
        <f t="shared" si="89"/>
        <v>-5.470459519</v>
      </c>
      <c r="AA106" s="5">
        <f t="shared" si="89"/>
        <v>4.856512141</v>
      </c>
      <c r="AB106" s="5">
        <f t="shared" si="89"/>
        <v>-7.248636009</v>
      </c>
      <c r="AC106" s="5">
        <f t="shared" si="89"/>
        <v>-0.4867872045</v>
      </c>
      <c r="AD106" s="5">
        <f t="shared" si="89"/>
        <v>1.301405518</v>
      </c>
      <c r="AE106" s="5">
        <f t="shared" si="89"/>
        <v>1.296296296</v>
      </c>
      <c r="AF106" s="5">
        <f t="shared" si="89"/>
        <v>-9.913793103</v>
      </c>
      <c r="AG106" s="5">
        <f t="shared" si="89"/>
        <v>-1.166729394</v>
      </c>
      <c r="AH106" s="5">
        <f t="shared" si="89"/>
        <v>0</v>
      </c>
      <c r="AI106" s="5">
        <f t="shared" si="89"/>
        <v>14.36464088</v>
      </c>
      <c r="AJ106" s="5">
        <f t="shared" si="89"/>
        <v>14.36464088</v>
      </c>
      <c r="AK106" s="5">
        <f t="shared" si="89"/>
        <v>19.47809879</v>
      </c>
      <c r="AL106" s="5">
        <f t="shared" si="89"/>
        <v>18.48494658</v>
      </c>
      <c r="AM106" s="5">
        <f t="shared" si="89"/>
        <v>35.59693319</v>
      </c>
      <c r="AN106" s="5">
        <f t="shared" si="89"/>
        <v>101.5240586</v>
      </c>
      <c r="AO106" s="5">
        <f t="shared" si="89"/>
        <v>0.7443192793</v>
      </c>
      <c r="AP106" s="5">
        <f t="shared" si="89"/>
        <v>-4.363647257</v>
      </c>
    </row>
    <row r="107" ht="12.75" customHeight="1">
      <c r="H107" s="5">
        <f t="shared" ref="H107:AP107" si="90">(H32/H30 -1)*100</f>
        <v>2.23880597</v>
      </c>
      <c r="I107" s="5">
        <f t="shared" si="90"/>
        <v>-1.717815094</v>
      </c>
      <c r="J107" s="5">
        <f t="shared" si="90"/>
        <v>32.59488247</v>
      </c>
      <c r="K107" s="5">
        <f t="shared" si="90"/>
        <v>-40.4485834</v>
      </c>
      <c r="L107" s="5">
        <f t="shared" si="90"/>
        <v>-39.0647482</v>
      </c>
      <c r="M107" s="5" t="str">
        <f t="shared" si="90"/>
        <v>#DIV/0!</v>
      </c>
      <c r="N107" s="5">
        <f t="shared" si="90"/>
        <v>-9.551514217</v>
      </c>
      <c r="O107" s="5">
        <f t="shared" si="90"/>
        <v>-15.51098673</v>
      </c>
      <c r="P107" s="5">
        <f t="shared" si="90"/>
        <v>-19.11003506</v>
      </c>
      <c r="Q107" s="5">
        <f t="shared" si="90"/>
        <v>9.131396042</v>
      </c>
      <c r="R107" s="5">
        <f t="shared" si="90"/>
        <v>-50.98640912</v>
      </c>
      <c r="S107" s="5">
        <f t="shared" si="90"/>
        <v>-49.84443062</v>
      </c>
      <c r="T107" s="5" t="str">
        <f t="shared" si="90"/>
        <v>#DIV/0!</v>
      </c>
      <c r="U107" s="5">
        <f t="shared" si="90"/>
        <v>-25.55829611</v>
      </c>
      <c r="V107" s="5">
        <f t="shared" si="90"/>
        <v>289.2250443</v>
      </c>
      <c r="W107" s="5">
        <f t="shared" si="90"/>
        <v>-84.33919022</v>
      </c>
      <c r="X107" s="5">
        <f t="shared" si="90"/>
        <v>-22.60183968</v>
      </c>
      <c r="Y107" s="5">
        <f t="shared" si="90"/>
        <v>-46.45490833</v>
      </c>
      <c r="Z107" s="5">
        <f t="shared" si="90"/>
        <v>5.605263158</v>
      </c>
      <c r="AA107" s="5">
        <f t="shared" si="90"/>
        <v>-6.695464363</v>
      </c>
      <c r="AB107" s="5">
        <f t="shared" si="90"/>
        <v>2.078891258</v>
      </c>
      <c r="AC107" s="5">
        <f t="shared" si="90"/>
        <v>7.102272727</v>
      </c>
      <c r="AD107" s="5">
        <f t="shared" si="90"/>
        <v>10.82251082</v>
      </c>
      <c r="AE107" s="5">
        <f t="shared" si="90"/>
        <v>-5.054151625</v>
      </c>
      <c r="AF107" s="5">
        <f t="shared" si="90"/>
        <v>7.837445573</v>
      </c>
      <c r="AG107" s="5">
        <f t="shared" si="90"/>
        <v>-6.312900274</v>
      </c>
      <c r="AH107" s="5">
        <f t="shared" si="90"/>
        <v>-14.28571429</v>
      </c>
      <c r="AI107" s="5">
        <f t="shared" si="90"/>
        <v>-17.30769231</v>
      </c>
      <c r="AJ107" s="5">
        <f t="shared" si="90"/>
        <v>-17.30769231</v>
      </c>
      <c r="AK107" s="5">
        <f t="shared" si="90"/>
        <v>3.897254207</v>
      </c>
      <c r="AL107" s="5">
        <f t="shared" si="90"/>
        <v>10.67476984</v>
      </c>
      <c r="AM107" s="5">
        <f t="shared" si="90"/>
        <v>4.286660046</v>
      </c>
      <c r="AN107" s="5">
        <f t="shared" si="90"/>
        <v>20.36541305</v>
      </c>
      <c r="AO107" s="5">
        <f t="shared" si="90"/>
        <v>-5.960487342</v>
      </c>
      <c r="AP107" s="5">
        <f t="shared" si="90"/>
        <v>4.449313785</v>
      </c>
    </row>
    <row r="108" ht="12.75" customHeight="1">
      <c r="H108" s="5">
        <f t="shared" ref="H108:AP108" si="91">(H33/H29 -1)*100</f>
        <v>-17.30769231</v>
      </c>
      <c r="I108" s="5">
        <f t="shared" si="91"/>
        <v>45.03417772</v>
      </c>
      <c r="J108" s="5">
        <f t="shared" si="91"/>
        <v>7.941438889</v>
      </c>
      <c r="K108" s="5">
        <f t="shared" si="91"/>
        <v>66.91908595</v>
      </c>
      <c r="L108" s="5">
        <f t="shared" si="91"/>
        <v>-32.65086207</v>
      </c>
      <c r="M108" s="5" t="str">
        <f t="shared" si="91"/>
        <v>#DIV/0!</v>
      </c>
      <c r="N108" s="5">
        <f t="shared" si="91"/>
        <v>2.956921999</v>
      </c>
      <c r="O108" s="5">
        <f t="shared" si="91"/>
        <v>63.84163521</v>
      </c>
      <c r="P108" s="5">
        <f t="shared" si="91"/>
        <v>228.9701999</v>
      </c>
      <c r="Q108" s="5">
        <f t="shared" si="91"/>
        <v>144.8359571</v>
      </c>
      <c r="R108" s="5">
        <f t="shared" si="91"/>
        <v>278.610455</v>
      </c>
      <c r="S108" s="5">
        <f t="shared" si="91"/>
        <v>52.76280323</v>
      </c>
      <c r="T108" s="5" t="str">
        <f t="shared" si="91"/>
        <v>#DIV/0!</v>
      </c>
      <c r="U108" s="5">
        <f t="shared" si="91"/>
        <v>133.528381</v>
      </c>
      <c r="V108" s="5">
        <f t="shared" si="91"/>
        <v>-84.84711723</v>
      </c>
      <c r="W108" s="5">
        <f t="shared" si="91"/>
        <v>340.4669261</v>
      </c>
      <c r="X108" s="5">
        <f t="shared" si="91"/>
        <v>44.88636364</v>
      </c>
      <c r="Y108" s="5">
        <f t="shared" si="91"/>
        <v>70.24063581</v>
      </c>
      <c r="Z108" s="5">
        <f t="shared" si="91"/>
        <v>4.862630683</v>
      </c>
      <c r="AA108" s="5">
        <f t="shared" si="91"/>
        <v>15.89403974</v>
      </c>
      <c r="AB108" s="5">
        <f t="shared" si="91"/>
        <v>-13.35931411</v>
      </c>
      <c r="AC108" s="5">
        <f t="shared" si="91"/>
        <v>2.294853964</v>
      </c>
      <c r="AD108" s="5">
        <f t="shared" si="91"/>
        <v>14.95748742</v>
      </c>
      <c r="AE108" s="5">
        <f t="shared" si="91"/>
        <v>10.55555556</v>
      </c>
      <c r="AF108" s="5">
        <f t="shared" si="91"/>
        <v>-8.577586207</v>
      </c>
      <c r="AG108" s="5">
        <f t="shared" si="91"/>
        <v>0.2258185924</v>
      </c>
      <c r="AH108" s="5">
        <f t="shared" si="91"/>
        <v>-13.33333333</v>
      </c>
      <c r="AI108" s="5">
        <f t="shared" si="91"/>
        <v>98.06629834</v>
      </c>
      <c r="AJ108" s="5">
        <f t="shared" si="91"/>
        <v>98.06629834</v>
      </c>
      <c r="AK108" s="5">
        <f t="shared" si="91"/>
        <v>97.94967381</v>
      </c>
      <c r="AL108" s="5">
        <f t="shared" si="91"/>
        <v>47.83425057</v>
      </c>
      <c r="AM108" s="5">
        <f t="shared" si="91"/>
        <v>343.0887185</v>
      </c>
      <c r="AN108" s="5">
        <f t="shared" si="91"/>
        <v>192.4705488</v>
      </c>
      <c r="AO108" s="5">
        <f t="shared" si="91"/>
        <v>33.77506388</v>
      </c>
      <c r="AP108" s="5">
        <f t="shared" si="91"/>
        <v>-50.1955997</v>
      </c>
    </row>
    <row r="109" ht="12.75" customHeight="1">
      <c r="H109" s="5">
        <f t="shared" ref="H109:AP109" si="92">(H34/H29 -1)*100</f>
        <v>-13.46153846</v>
      </c>
      <c r="I109" s="5">
        <f t="shared" si="92"/>
        <v>17.048653</v>
      </c>
      <c r="J109" s="5">
        <f t="shared" si="92"/>
        <v>13.20881282</v>
      </c>
      <c r="K109" s="5">
        <f t="shared" si="92"/>
        <v>71.81360394</v>
      </c>
      <c r="L109" s="5">
        <f t="shared" si="92"/>
        <v>-31.14224138</v>
      </c>
      <c r="M109" s="5" t="str">
        <f t="shared" si="92"/>
        <v>#DIV/0!</v>
      </c>
      <c r="N109" s="5">
        <f t="shared" si="92"/>
        <v>8.315405013</v>
      </c>
      <c r="O109" s="5">
        <f t="shared" si="92"/>
        <v>19.25203338</v>
      </c>
      <c r="P109" s="5">
        <f t="shared" si="92"/>
        <v>91.95272224</v>
      </c>
      <c r="Q109" s="5">
        <f t="shared" si="92"/>
        <v>85.65220048</v>
      </c>
      <c r="R109" s="5">
        <f t="shared" si="92"/>
        <v>181.7586429</v>
      </c>
      <c r="S109" s="5">
        <f t="shared" si="92"/>
        <v>12.93800539</v>
      </c>
      <c r="T109" s="5" t="str">
        <f t="shared" si="92"/>
        <v>#DIV/0!</v>
      </c>
      <c r="U109" s="5">
        <f t="shared" si="92"/>
        <v>77.62688529</v>
      </c>
      <c r="V109" s="5">
        <f t="shared" si="92"/>
        <v>-83.83165971</v>
      </c>
      <c r="W109" s="5">
        <f t="shared" si="92"/>
        <v>453.9559014</v>
      </c>
      <c r="X109" s="5">
        <f t="shared" si="92"/>
        <v>50.37878788</v>
      </c>
      <c r="Y109" s="5">
        <f t="shared" si="92"/>
        <v>89.00581353</v>
      </c>
      <c r="Z109" s="5">
        <f t="shared" si="92"/>
        <v>-7.610017019</v>
      </c>
      <c r="AA109" s="5">
        <f t="shared" si="92"/>
        <v>-1.324503311</v>
      </c>
      <c r="AB109" s="5">
        <f t="shared" si="92"/>
        <v>-19.32969602</v>
      </c>
      <c r="AC109" s="5">
        <f t="shared" si="92"/>
        <v>5.910987483</v>
      </c>
      <c r="AD109" s="5">
        <f t="shared" si="92"/>
        <v>7.582856151</v>
      </c>
      <c r="AE109" s="5">
        <f t="shared" si="92"/>
        <v>0.9259259259</v>
      </c>
      <c r="AF109" s="5">
        <f t="shared" si="92"/>
        <v>-13.14655172</v>
      </c>
      <c r="AG109" s="5">
        <f t="shared" si="92"/>
        <v>-0.7150922093</v>
      </c>
      <c r="AH109" s="5">
        <f t="shared" si="92"/>
        <v>-6.666666667</v>
      </c>
      <c r="AI109" s="5">
        <f t="shared" si="92"/>
        <v>37.70718232</v>
      </c>
      <c r="AJ109" s="5">
        <f t="shared" si="92"/>
        <v>37.70718232</v>
      </c>
      <c r="AK109" s="5">
        <f t="shared" si="92"/>
        <v>16.5890028</v>
      </c>
      <c r="AL109" s="5">
        <f t="shared" si="92"/>
        <v>-6.472968598</v>
      </c>
      <c r="AM109" s="5">
        <f t="shared" si="92"/>
        <v>104.381161</v>
      </c>
      <c r="AN109" s="5">
        <f t="shared" si="92"/>
        <v>108.3956303</v>
      </c>
      <c r="AO109" s="5">
        <f t="shared" si="92"/>
        <v>-19.86615753</v>
      </c>
      <c r="AP109" s="5">
        <f t="shared" si="92"/>
        <v>-37.8742682</v>
      </c>
    </row>
    <row r="110" ht="12.75" customHeight="1"/>
    <row r="111" ht="12.75" customHeight="1">
      <c r="H111" s="7">
        <f t="shared" ref="H111:AP111" si="93">AVERAGE(H82,H90,H98,H106)</f>
        <v>1.446755533</v>
      </c>
      <c r="I111" s="8">
        <f t="shared" si="93"/>
        <v>-4.034040235</v>
      </c>
      <c r="J111" s="8">
        <f t="shared" si="93"/>
        <v>18.96711308</v>
      </c>
      <c r="K111" s="8">
        <f t="shared" si="93"/>
        <v>-2.539467219</v>
      </c>
      <c r="L111" s="8">
        <f t="shared" si="93"/>
        <v>-23.1705845</v>
      </c>
      <c r="M111" s="8" t="str">
        <f t="shared" si="93"/>
        <v>#DIV/0!</v>
      </c>
      <c r="N111" s="8">
        <f t="shared" si="93"/>
        <v>-2.780479939</v>
      </c>
      <c r="O111" s="8">
        <f t="shared" si="93"/>
        <v>12.35524809</v>
      </c>
      <c r="P111" s="8">
        <f t="shared" si="93"/>
        <v>1.757638089</v>
      </c>
      <c r="Q111" s="8">
        <f t="shared" si="93"/>
        <v>28.34294991</v>
      </c>
      <c r="R111" s="8">
        <f t="shared" si="93"/>
        <v>7.70285634</v>
      </c>
      <c r="S111" s="8">
        <f t="shared" si="93"/>
        <v>-21.26550932</v>
      </c>
      <c r="T111" s="8" t="str">
        <f t="shared" si="93"/>
        <v>#DIV/0!</v>
      </c>
      <c r="U111" s="8">
        <f t="shared" si="93"/>
        <v>4.462995337</v>
      </c>
      <c r="V111" s="8">
        <f t="shared" si="93"/>
        <v>8.644942457</v>
      </c>
      <c r="W111" s="8" t="str">
        <f t="shared" si="93"/>
        <v>#DIV/0!</v>
      </c>
      <c r="X111" s="8">
        <f t="shared" si="93"/>
        <v>3.868773892</v>
      </c>
      <c r="Y111" s="8">
        <f t="shared" si="93"/>
        <v>53.42932402</v>
      </c>
      <c r="Z111" s="8">
        <f t="shared" si="93"/>
        <v>2.335587803</v>
      </c>
      <c r="AA111" s="8">
        <f t="shared" si="93"/>
        <v>0.3741794404</v>
      </c>
      <c r="AB111" s="8">
        <f t="shared" si="93"/>
        <v>-0.09603575458</v>
      </c>
      <c r="AC111" s="8">
        <f t="shared" si="93"/>
        <v>-3.33530949</v>
      </c>
      <c r="AD111" s="8">
        <f t="shared" si="93"/>
        <v>3.70509996</v>
      </c>
      <c r="AE111" s="8">
        <f t="shared" si="93"/>
        <v>3.545901316</v>
      </c>
      <c r="AF111" s="8">
        <f t="shared" si="93"/>
        <v>-1.130449438</v>
      </c>
      <c r="AG111" s="8">
        <f t="shared" si="93"/>
        <v>2.563796933</v>
      </c>
      <c r="AH111" s="8">
        <f t="shared" si="93"/>
        <v>11.73076923</v>
      </c>
      <c r="AI111" s="8">
        <f t="shared" si="93"/>
        <v>12.30920177</v>
      </c>
      <c r="AJ111" s="8">
        <f t="shared" si="93"/>
        <v>12.30920177</v>
      </c>
      <c r="AK111" s="8">
        <f t="shared" si="93"/>
        <v>15.73661191</v>
      </c>
      <c r="AL111" s="8">
        <f t="shared" si="93"/>
        <v>15.04829303</v>
      </c>
      <c r="AM111" s="8">
        <f t="shared" si="93"/>
        <v>5.025441171</v>
      </c>
      <c r="AN111" s="8">
        <f t="shared" si="93"/>
        <v>37.84721039</v>
      </c>
      <c r="AO111" s="8">
        <f t="shared" si="93"/>
        <v>1.811675436</v>
      </c>
      <c r="AP111" s="9">
        <f t="shared" si="93"/>
        <v>18.40810824</v>
      </c>
    </row>
    <row r="112" ht="12.75" customHeight="1">
      <c r="H112" s="11">
        <f t="shared" ref="H112:AP112" si="94">AVERAGE(H83,H91,H99,H107)</f>
        <v>8.74441708</v>
      </c>
      <c r="I112" s="1">
        <f t="shared" si="94"/>
        <v>-2.800722187</v>
      </c>
      <c r="J112" s="1">
        <f t="shared" si="94"/>
        <v>35.59033195</v>
      </c>
      <c r="K112" s="1">
        <f t="shared" si="94"/>
        <v>-27.61209265</v>
      </c>
      <c r="L112" s="1">
        <f t="shared" si="94"/>
        <v>4.252511839</v>
      </c>
      <c r="M112" s="1" t="str">
        <f t="shared" si="94"/>
        <v>#DIV/0!</v>
      </c>
      <c r="N112" s="1">
        <f t="shared" si="94"/>
        <v>-2.158583352</v>
      </c>
      <c r="O112" s="1">
        <f t="shared" si="94"/>
        <v>-6.634720648</v>
      </c>
      <c r="P112" s="1">
        <f t="shared" si="94"/>
        <v>-25.28506873</v>
      </c>
      <c r="Q112" s="1">
        <f t="shared" si="94"/>
        <v>4.855753956</v>
      </c>
      <c r="R112" s="1">
        <f t="shared" si="94"/>
        <v>-45.31016918</v>
      </c>
      <c r="S112" s="1">
        <f t="shared" si="94"/>
        <v>-10.48127728</v>
      </c>
      <c r="T112" s="1" t="str">
        <f t="shared" si="94"/>
        <v>#DIV/0!</v>
      </c>
      <c r="U112" s="1">
        <f t="shared" si="94"/>
        <v>-24.99275589</v>
      </c>
      <c r="V112" s="1">
        <f t="shared" si="94"/>
        <v>333.845084</v>
      </c>
      <c r="W112" s="1">
        <f t="shared" si="94"/>
        <v>-81.10763373</v>
      </c>
      <c r="X112" s="1">
        <f t="shared" si="94"/>
        <v>-24.49534748</v>
      </c>
      <c r="Y112" s="1">
        <f t="shared" si="94"/>
        <v>-31.69520553</v>
      </c>
      <c r="Z112" s="1">
        <f t="shared" si="94"/>
        <v>1.86928171</v>
      </c>
      <c r="AA112" s="1">
        <f t="shared" si="94"/>
        <v>-2.946183426</v>
      </c>
      <c r="AB112" s="1">
        <f t="shared" si="94"/>
        <v>6.447256895</v>
      </c>
      <c r="AC112" s="1">
        <f t="shared" si="94"/>
        <v>-2.199145895</v>
      </c>
      <c r="AD112" s="1">
        <f t="shared" si="94"/>
        <v>2.464731352</v>
      </c>
      <c r="AE112" s="1">
        <f t="shared" si="94"/>
        <v>-3.055344359</v>
      </c>
      <c r="AF112" s="1">
        <f t="shared" si="94"/>
        <v>3.986422201</v>
      </c>
      <c r="AG112" s="1">
        <f t="shared" si="94"/>
        <v>1.715162164</v>
      </c>
      <c r="AH112" s="1">
        <f t="shared" si="94"/>
        <v>-3.571428571</v>
      </c>
      <c r="AI112" s="1">
        <f t="shared" si="94"/>
        <v>-13.28357289</v>
      </c>
      <c r="AJ112" s="1">
        <f t="shared" si="94"/>
        <v>-13.28357289</v>
      </c>
      <c r="AK112" s="1">
        <f t="shared" si="94"/>
        <v>3.829981693</v>
      </c>
      <c r="AL112" s="1" t="str">
        <f t="shared" si="94"/>
        <v>#VALUE!</v>
      </c>
      <c r="AM112" s="1">
        <f t="shared" si="94"/>
        <v>-9.935024205</v>
      </c>
      <c r="AN112" s="1">
        <f t="shared" si="94"/>
        <v>15.04793975</v>
      </c>
      <c r="AO112" s="1" t="str">
        <f t="shared" si="94"/>
        <v>#VALUE!</v>
      </c>
      <c r="AP112" s="12" t="str">
        <f t="shared" si="94"/>
        <v>#VALUE!</v>
      </c>
    </row>
    <row r="113" ht="12.75" customHeight="1">
      <c r="H113" s="11">
        <f t="shared" ref="H113:AP113" si="95">AVERAGE(H84,H92,H100,H108)</f>
        <v>-14.61387795</v>
      </c>
      <c r="I113" s="1">
        <f t="shared" si="95"/>
        <v>23.96492296</v>
      </c>
      <c r="J113" s="1">
        <f t="shared" si="95"/>
        <v>-11.13166892</v>
      </c>
      <c r="K113" s="1">
        <f t="shared" si="95"/>
        <v>15.69354845</v>
      </c>
      <c r="L113" s="1">
        <f t="shared" si="95"/>
        <v>-40.63806407</v>
      </c>
      <c r="M113" s="1" t="str">
        <f t="shared" si="95"/>
        <v>#DIV/0!</v>
      </c>
      <c r="N113" s="1">
        <f t="shared" si="95"/>
        <v>-17.45819483</v>
      </c>
      <c r="O113" s="1">
        <f t="shared" si="95"/>
        <v>54.64567258</v>
      </c>
      <c r="P113" s="1">
        <f t="shared" si="95"/>
        <v>125.1504708</v>
      </c>
      <c r="Q113" s="1">
        <f t="shared" si="95"/>
        <v>59.36277973</v>
      </c>
      <c r="R113" s="1">
        <f t="shared" si="95"/>
        <v>114.1371675</v>
      </c>
      <c r="S113" s="1">
        <f t="shared" si="95"/>
        <v>9.679536796</v>
      </c>
      <c r="T113" s="1" t="str">
        <f t="shared" si="95"/>
        <v>#DIV/0!</v>
      </c>
      <c r="U113" s="1">
        <f t="shared" si="95"/>
        <v>50.65673363</v>
      </c>
      <c r="V113" s="1">
        <f t="shared" si="95"/>
        <v>-81.43614637</v>
      </c>
      <c r="W113" s="1" t="str">
        <f t="shared" si="95"/>
        <v>#DIV/0!</v>
      </c>
      <c r="X113" s="1">
        <f t="shared" si="95"/>
        <v>48.3649069</v>
      </c>
      <c r="Y113" s="1">
        <f t="shared" si="95"/>
        <v>93.36656027</v>
      </c>
      <c r="Z113" s="1">
        <f t="shared" si="95"/>
        <v>16.10001842</v>
      </c>
      <c r="AA113" s="1">
        <f t="shared" si="95"/>
        <v>6.922739501</v>
      </c>
      <c r="AB113" s="1">
        <f t="shared" si="95"/>
        <v>-3.775354882</v>
      </c>
      <c r="AC113" s="1">
        <f t="shared" si="95"/>
        <v>-8.024419069</v>
      </c>
      <c r="AD113" s="1">
        <f t="shared" si="95"/>
        <v>14.00986874</v>
      </c>
      <c r="AE113" s="1">
        <f t="shared" si="95"/>
        <v>13.26345135</v>
      </c>
      <c r="AF113" s="1">
        <f t="shared" si="95"/>
        <v>-6.209045207</v>
      </c>
      <c r="AG113" s="1">
        <f t="shared" si="95"/>
        <v>2.525224256</v>
      </c>
      <c r="AH113" s="1">
        <f t="shared" si="95"/>
        <v>28.01282051</v>
      </c>
      <c r="AI113" s="1">
        <f t="shared" si="95"/>
        <v>82.01268747</v>
      </c>
      <c r="AJ113" s="1">
        <f t="shared" si="95"/>
        <v>82.01268747</v>
      </c>
      <c r="AK113" s="1">
        <f t="shared" si="95"/>
        <v>79.02102844</v>
      </c>
      <c r="AL113" s="1">
        <f t="shared" si="95"/>
        <v>42.25399612</v>
      </c>
      <c r="AM113" s="1">
        <f t="shared" si="95"/>
        <v>150.6830909</v>
      </c>
      <c r="AN113" s="1">
        <f t="shared" si="95"/>
        <v>67.94988969</v>
      </c>
      <c r="AO113" s="1">
        <f t="shared" si="95"/>
        <v>31.81667056</v>
      </c>
      <c r="AP113" s="12">
        <f t="shared" si="95"/>
        <v>-18.93788575</v>
      </c>
    </row>
    <row r="114" ht="12.75" customHeight="1">
      <c r="H114" s="13">
        <f t="shared" ref="H114:AP114" si="96">AVERAGE(H85,H93,H101,H109)</f>
        <v>-18.37693209</v>
      </c>
      <c r="I114" s="14">
        <f t="shared" si="96"/>
        <v>6.445028922</v>
      </c>
      <c r="J114" s="14">
        <f t="shared" si="96"/>
        <v>-0.766059737</v>
      </c>
      <c r="K114" s="14">
        <f t="shared" si="96"/>
        <v>20.26040044</v>
      </c>
      <c r="L114" s="14">
        <f t="shared" si="96"/>
        <v>-39.07509719</v>
      </c>
      <c r="M114" s="14" t="str">
        <f t="shared" si="96"/>
        <v>#DIV/0!</v>
      </c>
      <c r="N114" s="14">
        <f t="shared" si="96"/>
        <v>-8.641452754</v>
      </c>
      <c r="O114" s="14">
        <f t="shared" si="96"/>
        <v>6.96118933</v>
      </c>
      <c r="P114" s="14">
        <f t="shared" si="96"/>
        <v>48.02832829</v>
      </c>
      <c r="Q114" s="14">
        <f t="shared" si="96"/>
        <v>38.20124914</v>
      </c>
      <c r="R114" s="14">
        <f t="shared" si="96"/>
        <v>64.54728337</v>
      </c>
      <c r="S114" s="14">
        <f t="shared" si="96"/>
        <v>-7.068720562</v>
      </c>
      <c r="T114" s="14" t="str">
        <f t="shared" si="96"/>
        <v>#DIV/0!</v>
      </c>
      <c r="U114" s="14">
        <f t="shared" si="96"/>
        <v>26.87002181</v>
      </c>
      <c r="V114" s="14">
        <f t="shared" si="96"/>
        <v>-79.95720963</v>
      </c>
      <c r="W114" s="14" t="str">
        <f t="shared" si="96"/>
        <v>#DIV/0!</v>
      </c>
      <c r="X114" s="14">
        <f t="shared" si="96"/>
        <v>51.91992608</v>
      </c>
      <c r="Y114" s="14">
        <f t="shared" si="96"/>
        <v>104.9818105</v>
      </c>
      <c r="Z114" s="14">
        <f t="shared" si="96"/>
        <v>5.33796729</v>
      </c>
      <c r="AA114" s="14">
        <f t="shared" si="96"/>
        <v>2.882571091</v>
      </c>
      <c r="AB114" s="14">
        <f t="shared" si="96"/>
        <v>-4.594985775</v>
      </c>
      <c r="AC114" s="14">
        <f t="shared" si="96"/>
        <v>-3.08882585</v>
      </c>
      <c r="AD114" s="14">
        <f t="shared" si="96"/>
        <v>7.746254581</v>
      </c>
      <c r="AE114" s="14">
        <f t="shared" si="96"/>
        <v>7.347848388</v>
      </c>
      <c r="AF114" s="14">
        <f t="shared" si="96"/>
        <v>-7.208330351</v>
      </c>
      <c r="AG114" s="14">
        <f t="shared" si="96"/>
        <v>0.7367486251</v>
      </c>
      <c r="AH114" s="14">
        <f t="shared" si="96"/>
        <v>-0.5128205128</v>
      </c>
      <c r="AI114" s="14">
        <f t="shared" si="96"/>
        <v>34.0637041</v>
      </c>
      <c r="AJ114" s="14">
        <f t="shared" si="96"/>
        <v>34.0637041</v>
      </c>
      <c r="AK114" s="14">
        <f t="shared" si="96"/>
        <v>17.49346698</v>
      </c>
      <c r="AL114" s="14">
        <f t="shared" si="96"/>
        <v>-13.86942726</v>
      </c>
      <c r="AM114" s="14">
        <f t="shared" si="96"/>
        <v>36.63155801</v>
      </c>
      <c r="AN114" s="14">
        <f t="shared" si="96"/>
        <v>40.16205725</v>
      </c>
      <c r="AO114" s="14">
        <f t="shared" si="96"/>
        <v>2.6578788</v>
      </c>
      <c r="AP114" s="15">
        <f t="shared" si="96"/>
        <v>-12.74307532</v>
      </c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88"/>
    <col customWidth="1" min="3" max="26" width="6.63"/>
  </cols>
  <sheetData>
    <row r="1" ht="12.75" customHeight="1">
      <c r="A1" s="16" t="s">
        <v>71</v>
      </c>
    </row>
    <row r="2" ht="12.75" customHeight="1">
      <c r="A2" s="10" t="s">
        <v>72</v>
      </c>
      <c r="B2" s="10" t="s">
        <v>73</v>
      </c>
    </row>
    <row r="3" ht="12.75" customHeight="1">
      <c r="A3" s="10" t="s">
        <v>74</v>
      </c>
      <c r="B3" s="17">
        <v>45818.0</v>
      </c>
    </row>
    <row r="4" ht="12.75" customHeight="1">
      <c r="A4" s="10" t="s">
        <v>75</v>
      </c>
      <c r="B4" s="17">
        <v>45849.0</v>
      </c>
    </row>
    <row r="5" ht="12.75" customHeight="1">
      <c r="A5" s="10" t="s">
        <v>76</v>
      </c>
      <c r="B5" s="17">
        <v>45850.0</v>
      </c>
    </row>
    <row r="6" ht="12.75" customHeight="1">
      <c r="A6" s="10" t="s">
        <v>77</v>
      </c>
      <c r="B6" s="17">
        <v>45856.0</v>
      </c>
    </row>
    <row r="7" ht="12.75" customHeight="1">
      <c r="A7" s="10" t="s">
        <v>78</v>
      </c>
      <c r="B7" s="17">
        <v>45869.0</v>
      </c>
    </row>
    <row r="8" ht="12.75" customHeight="1">
      <c r="A8" s="10" t="s">
        <v>79</v>
      </c>
      <c r="B8" s="17">
        <v>45874.0</v>
      </c>
    </row>
    <row r="9" ht="12.75" customHeight="1">
      <c r="A9" s="10" t="s">
        <v>80</v>
      </c>
      <c r="B9" s="17">
        <v>45887.0</v>
      </c>
    </row>
    <row r="10" ht="12.75" customHeight="1">
      <c r="A10" s="10" t="s">
        <v>81</v>
      </c>
      <c r="B10" s="17">
        <v>45887.0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7.75"/>
    <col customWidth="1" min="3" max="6" width="3.88"/>
    <col customWidth="1" min="7" max="7" width="5.38"/>
    <col customWidth="1" min="8" max="8" width="9.75"/>
    <col customWidth="1" min="9" max="9" width="9.13"/>
    <col customWidth="1" min="10" max="11" width="7.75"/>
    <col customWidth="1" min="12" max="12" width="9.13"/>
    <col customWidth="1" min="13" max="13" width="34.75"/>
    <col customWidth="1" min="14" max="26" width="9.75"/>
  </cols>
  <sheetData>
    <row r="1" ht="12.75" customHeight="1">
      <c r="A1" s="18" t="s">
        <v>82</v>
      </c>
      <c r="B1" s="18" t="s">
        <v>83</v>
      </c>
    </row>
    <row r="2" ht="12.75" customHeight="1">
      <c r="A2" s="18" t="s">
        <v>84</v>
      </c>
      <c r="B2" s="18" t="s">
        <v>85</v>
      </c>
      <c r="C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I2" s="19" t="s">
        <v>91</v>
      </c>
      <c r="J2" s="18" t="s">
        <v>92</v>
      </c>
      <c r="K2" s="18"/>
      <c r="L2" s="20" t="s">
        <v>91</v>
      </c>
      <c r="M2" s="21" t="s">
        <v>93</v>
      </c>
    </row>
    <row r="3" ht="12.75" customHeight="1">
      <c r="A3" s="22" t="s">
        <v>94</v>
      </c>
      <c r="B3" s="18" t="s">
        <v>53</v>
      </c>
      <c r="C3" s="18">
        <v>0.07</v>
      </c>
      <c r="D3" s="18">
        <v>0.07</v>
      </c>
      <c r="E3" s="18">
        <v>0.07</v>
      </c>
      <c r="F3" s="18">
        <v>0.09</v>
      </c>
      <c r="G3" s="18">
        <f t="shared" ref="G3:G34" si="1">AVERAGE(C3:F3)</f>
        <v>0.075</v>
      </c>
      <c r="H3" s="23"/>
      <c r="I3" s="19" t="s">
        <v>53</v>
      </c>
      <c r="J3" s="24">
        <f t="shared" ref="J3:J10" si="2">AVERAGE(G3,G11,G19,G27)</f>
        <v>0.054375</v>
      </c>
      <c r="K3" s="24"/>
      <c r="L3" s="25" t="s">
        <v>95</v>
      </c>
      <c r="M3" s="26" t="s">
        <v>96</v>
      </c>
    </row>
    <row r="4" ht="12.75" customHeight="1">
      <c r="A4" s="22" t="s">
        <v>94</v>
      </c>
      <c r="B4" s="18" t="s">
        <v>57</v>
      </c>
      <c r="C4" s="18">
        <v>0.26</v>
      </c>
      <c r="D4" s="18">
        <v>0.28</v>
      </c>
      <c r="E4" s="18">
        <v>0.3</v>
      </c>
      <c r="F4" s="18">
        <v>0.28</v>
      </c>
      <c r="G4" s="18">
        <f t="shared" si="1"/>
        <v>0.28</v>
      </c>
      <c r="I4" s="19" t="s">
        <v>57</v>
      </c>
      <c r="J4" s="24">
        <f t="shared" si="2"/>
        <v>0.27875</v>
      </c>
      <c r="K4" s="24"/>
      <c r="L4" s="25" t="s">
        <v>97</v>
      </c>
      <c r="M4" s="26" t="s">
        <v>98</v>
      </c>
    </row>
    <row r="5" ht="12.75" customHeight="1">
      <c r="A5" s="22" t="s">
        <v>94</v>
      </c>
      <c r="B5" s="18" t="s">
        <v>59</v>
      </c>
      <c r="C5" s="18">
        <v>0.25</v>
      </c>
      <c r="D5" s="18">
        <v>0.13</v>
      </c>
      <c r="E5" s="18">
        <v>0.12</v>
      </c>
      <c r="F5" s="18">
        <v>0.1</v>
      </c>
      <c r="G5" s="18">
        <f t="shared" si="1"/>
        <v>0.15</v>
      </c>
      <c r="I5" s="19" t="s">
        <v>59</v>
      </c>
      <c r="J5" s="24">
        <f t="shared" si="2"/>
        <v>0.18</v>
      </c>
      <c r="K5" s="24"/>
      <c r="L5" s="25" t="s">
        <v>99</v>
      </c>
      <c r="M5" s="26" t="s">
        <v>100</v>
      </c>
    </row>
    <row r="6" ht="12.75" customHeight="1">
      <c r="A6" s="22" t="s">
        <v>94</v>
      </c>
      <c r="B6" s="18" t="s">
        <v>61</v>
      </c>
      <c r="C6" s="18">
        <v>0.19</v>
      </c>
      <c r="D6" s="18">
        <v>0.47</v>
      </c>
      <c r="E6" s="18">
        <v>0.24</v>
      </c>
      <c r="F6" s="18">
        <v>0.32</v>
      </c>
      <c r="G6" s="18">
        <f t="shared" si="1"/>
        <v>0.305</v>
      </c>
      <c r="I6" s="19" t="s">
        <v>61</v>
      </c>
      <c r="J6" s="24">
        <f t="shared" si="2"/>
        <v>0.31625</v>
      </c>
      <c r="K6" s="24"/>
      <c r="L6" s="25" t="s">
        <v>101</v>
      </c>
      <c r="M6" s="26" t="s">
        <v>102</v>
      </c>
    </row>
    <row r="7" ht="12.75" customHeight="1">
      <c r="A7" s="22" t="s">
        <v>94</v>
      </c>
      <c r="B7" s="18" t="s">
        <v>62</v>
      </c>
      <c r="C7" s="18">
        <v>0.18</v>
      </c>
      <c r="D7" s="18">
        <v>0.16</v>
      </c>
      <c r="E7" s="18">
        <v>0.18</v>
      </c>
      <c r="F7" s="18">
        <v>0.18</v>
      </c>
      <c r="G7" s="18">
        <f t="shared" si="1"/>
        <v>0.175</v>
      </c>
      <c r="I7" s="19" t="s">
        <v>62</v>
      </c>
      <c r="J7" s="24">
        <f t="shared" si="2"/>
        <v>0.296875</v>
      </c>
      <c r="K7" s="24"/>
      <c r="L7" s="25" t="s">
        <v>103</v>
      </c>
      <c r="M7" s="26" t="s">
        <v>104</v>
      </c>
    </row>
    <row r="8" ht="12.75" customHeight="1">
      <c r="A8" s="22" t="s">
        <v>94</v>
      </c>
      <c r="B8" s="18" t="s">
        <v>64</v>
      </c>
      <c r="C8" s="18">
        <v>0.26</v>
      </c>
      <c r="D8" s="18">
        <v>0.27</v>
      </c>
      <c r="E8" s="18">
        <v>0.16</v>
      </c>
      <c r="F8" s="18">
        <v>0.36</v>
      </c>
      <c r="G8" s="18">
        <f t="shared" si="1"/>
        <v>0.2625</v>
      </c>
      <c r="I8" s="19" t="s">
        <v>64</v>
      </c>
      <c r="J8" s="24">
        <f t="shared" si="2"/>
        <v>0.245625</v>
      </c>
      <c r="K8" s="24"/>
      <c r="L8" s="25" t="s">
        <v>105</v>
      </c>
      <c r="M8" s="26" t="s">
        <v>106</v>
      </c>
    </row>
    <row r="9" ht="12.75" customHeight="1">
      <c r="A9" s="22" t="s">
        <v>94</v>
      </c>
      <c r="B9" s="18" t="s">
        <v>66</v>
      </c>
      <c r="C9" s="18">
        <v>0.46</v>
      </c>
      <c r="D9" s="18">
        <v>0.38</v>
      </c>
      <c r="E9" s="18">
        <v>0.52</v>
      </c>
      <c r="F9" s="18">
        <v>0.26</v>
      </c>
      <c r="G9" s="18">
        <f t="shared" si="1"/>
        <v>0.405</v>
      </c>
      <c r="I9" s="19" t="s">
        <v>66</v>
      </c>
      <c r="J9" s="24">
        <f t="shared" si="2"/>
        <v>0.345</v>
      </c>
      <c r="K9" s="24"/>
      <c r="L9" s="25" t="s">
        <v>107</v>
      </c>
      <c r="M9" s="26" t="s">
        <v>108</v>
      </c>
    </row>
    <row r="10" ht="12.75" customHeight="1">
      <c r="A10" s="22" t="s">
        <v>94</v>
      </c>
      <c r="B10" s="18" t="s">
        <v>67</v>
      </c>
      <c r="C10" s="18">
        <v>0.33</v>
      </c>
      <c r="D10" s="18">
        <v>0.25</v>
      </c>
      <c r="E10" s="18">
        <v>0.3</v>
      </c>
      <c r="F10" s="18">
        <v>0.37</v>
      </c>
      <c r="G10" s="18">
        <f t="shared" si="1"/>
        <v>0.3125</v>
      </c>
      <c r="I10" s="19" t="s">
        <v>67</v>
      </c>
      <c r="J10" s="24">
        <f t="shared" si="2"/>
        <v>0.333125</v>
      </c>
      <c r="K10" s="24"/>
      <c r="L10" s="25" t="s">
        <v>109</v>
      </c>
      <c r="M10" s="26" t="s">
        <v>110</v>
      </c>
    </row>
    <row r="11" ht="12.75" customHeight="1">
      <c r="A11" s="22" t="s">
        <v>111</v>
      </c>
      <c r="B11" s="18" t="s">
        <v>53</v>
      </c>
      <c r="C11" s="18">
        <v>0.05</v>
      </c>
      <c r="D11" s="18">
        <v>0.05</v>
      </c>
      <c r="E11" s="18">
        <v>0.04</v>
      </c>
      <c r="F11" s="18">
        <v>0.04</v>
      </c>
      <c r="G11" s="18">
        <f t="shared" si="1"/>
        <v>0.045</v>
      </c>
    </row>
    <row r="12" ht="12.75" customHeight="1">
      <c r="A12" s="22" t="s">
        <v>111</v>
      </c>
      <c r="B12" s="18" t="s">
        <v>57</v>
      </c>
      <c r="C12" s="18">
        <v>0.23</v>
      </c>
      <c r="D12" s="18">
        <v>0.2</v>
      </c>
      <c r="E12" s="18">
        <v>0.28</v>
      </c>
      <c r="F12" s="18">
        <v>0.38</v>
      </c>
      <c r="G12" s="18">
        <f t="shared" si="1"/>
        <v>0.2725</v>
      </c>
    </row>
    <row r="13" ht="12.75" customHeight="1">
      <c r="A13" s="22" t="s">
        <v>111</v>
      </c>
      <c r="B13" s="18" t="s">
        <v>59</v>
      </c>
      <c r="C13" s="18">
        <v>0.17</v>
      </c>
      <c r="D13" s="18">
        <v>0.2</v>
      </c>
      <c r="E13" s="18">
        <v>0.11</v>
      </c>
      <c r="F13" s="18">
        <v>0.1</v>
      </c>
      <c r="G13" s="18">
        <f t="shared" si="1"/>
        <v>0.145</v>
      </c>
    </row>
    <row r="14" ht="12.75" customHeight="1">
      <c r="A14" s="22" t="s">
        <v>111</v>
      </c>
      <c r="B14" s="18" t="s">
        <v>61</v>
      </c>
      <c r="C14" s="18">
        <v>0.34</v>
      </c>
      <c r="D14" s="18">
        <v>0.25</v>
      </c>
      <c r="E14" s="18">
        <v>0.32</v>
      </c>
      <c r="F14" s="18">
        <v>0.38</v>
      </c>
      <c r="G14" s="18">
        <f t="shared" si="1"/>
        <v>0.3225</v>
      </c>
    </row>
    <row r="15" ht="12.75" customHeight="1">
      <c r="A15" s="22" t="s">
        <v>111</v>
      </c>
      <c r="B15" s="18" t="s">
        <v>62</v>
      </c>
      <c r="C15" s="18">
        <v>0.28</v>
      </c>
      <c r="D15" s="18">
        <v>0.36</v>
      </c>
      <c r="E15" s="18">
        <v>0.46</v>
      </c>
      <c r="F15" s="18">
        <v>0.37</v>
      </c>
      <c r="G15" s="18">
        <f t="shared" si="1"/>
        <v>0.3675</v>
      </c>
    </row>
    <row r="16" ht="12.75" customHeight="1">
      <c r="A16" s="22" t="s">
        <v>111</v>
      </c>
      <c r="B16" s="18" t="s">
        <v>64</v>
      </c>
      <c r="C16" s="18">
        <v>0.31</v>
      </c>
      <c r="D16" s="18">
        <v>0.26</v>
      </c>
      <c r="E16" s="18">
        <v>0.49</v>
      </c>
      <c r="F16" s="18">
        <v>0.2</v>
      </c>
      <c r="G16" s="18">
        <f t="shared" si="1"/>
        <v>0.315</v>
      </c>
    </row>
    <row r="17" ht="12.75" customHeight="1">
      <c r="A17" s="22" t="s">
        <v>111</v>
      </c>
      <c r="B17" s="18" t="s">
        <v>66</v>
      </c>
      <c r="C17" s="18">
        <v>0.43</v>
      </c>
      <c r="D17" s="18">
        <v>0.38</v>
      </c>
      <c r="E17" s="18">
        <v>0.28</v>
      </c>
      <c r="F17" s="18">
        <v>0.38</v>
      </c>
      <c r="G17" s="18">
        <f t="shared" si="1"/>
        <v>0.3675</v>
      </c>
    </row>
    <row r="18" ht="12.75" customHeight="1">
      <c r="A18" s="22" t="s">
        <v>111</v>
      </c>
      <c r="B18" s="18" t="s">
        <v>67</v>
      </c>
      <c r="C18" s="18">
        <v>0.26</v>
      </c>
      <c r="D18" s="18">
        <v>0.35</v>
      </c>
      <c r="E18" s="18">
        <v>0.37</v>
      </c>
      <c r="F18" s="18">
        <v>0.2</v>
      </c>
      <c r="G18" s="18">
        <f t="shared" si="1"/>
        <v>0.295</v>
      </c>
    </row>
    <row r="19" ht="12.75" customHeight="1">
      <c r="A19" s="22" t="s">
        <v>112</v>
      </c>
      <c r="B19" s="18" t="s">
        <v>53</v>
      </c>
      <c r="C19" s="18">
        <v>0.07</v>
      </c>
      <c r="D19" s="18">
        <v>0.05</v>
      </c>
      <c r="E19" s="18">
        <v>0.06</v>
      </c>
      <c r="F19" s="18">
        <v>0.05</v>
      </c>
      <c r="G19" s="18">
        <f t="shared" si="1"/>
        <v>0.0575</v>
      </c>
    </row>
    <row r="20" ht="12.75" customHeight="1">
      <c r="A20" s="22" t="s">
        <v>112</v>
      </c>
      <c r="B20" s="18" t="s">
        <v>57</v>
      </c>
      <c r="C20" s="18">
        <v>0.23</v>
      </c>
      <c r="D20" s="18">
        <v>0.3</v>
      </c>
      <c r="E20" s="18">
        <v>0.29</v>
      </c>
      <c r="F20" s="18">
        <v>0.28</v>
      </c>
      <c r="G20" s="18">
        <f t="shared" si="1"/>
        <v>0.275</v>
      </c>
    </row>
    <row r="21" ht="12.75" customHeight="1">
      <c r="A21" s="22" t="s">
        <v>112</v>
      </c>
      <c r="B21" s="18" t="s">
        <v>59</v>
      </c>
      <c r="C21" s="18">
        <v>0.18</v>
      </c>
      <c r="D21" s="18">
        <v>0.25</v>
      </c>
      <c r="E21" s="18">
        <v>0.13</v>
      </c>
      <c r="F21" s="18">
        <v>0.16</v>
      </c>
      <c r="G21" s="18">
        <f t="shared" si="1"/>
        <v>0.18</v>
      </c>
    </row>
    <row r="22" ht="12.75" customHeight="1">
      <c r="A22" s="22" t="s">
        <v>112</v>
      </c>
      <c r="B22" s="18" t="s">
        <v>61</v>
      </c>
      <c r="C22" s="18">
        <v>0.41</v>
      </c>
      <c r="D22" s="18">
        <v>0.27</v>
      </c>
      <c r="E22" s="18">
        <v>0.23</v>
      </c>
      <c r="F22" s="18">
        <v>0.31</v>
      </c>
      <c r="G22" s="18">
        <f t="shared" si="1"/>
        <v>0.305</v>
      </c>
    </row>
    <row r="23" ht="12.75" customHeight="1">
      <c r="A23" s="22" t="s">
        <v>112</v>
      </c>
      <c r="B23" s="18" t="s">
        <v>62</v>
      </c>
      <c r="C23" s="18">
        <v>0.3</v>
      </c>
      <c r="D23" s="18">
        <v>0.31</v>
      </c>
      <c r="E23" s="18">
        <v>0.38</v>
      </c>
      <c r="F23" s="18">
        <v>0.3</v>
      </c>
      <c r="G23" s="18">
        <f t="shared" si="1"/>
        <v>0.3225</v>
      </c>
    </row>
    <row r="24" ht="12.75" customHeight="1">
      <c r="A24" s="22" t="s">
        <v>112</v>
      </c>
      <c r="B24" s="18" t="s">
        <v>64</v>
      </c>
      <c r="C24" s="18">
        <v>0.18</v>
      </c>
      <c r="D24" s="18">
        <v>0.14</v>
      </c>
      <c r="E24" s="18">
        <v>0.18</v>
      </c>
      <c r="F24" s="18">
        <v>0.29</v>
      </c>
      <c r="G24" s="18">
        <f t="shared" si="1"/>
        <v>0.1975</v>
      </c>
    </row>
    <row r="25" ht="12.75" customHeight="1">
      <c r="A25" s="22" t="s">
        <v>112</v>
      </c>
      <c r="B25" s="18" t="s">
        <v>66</v>
      </c>
      <c r="C25" s="18">
        <v>0.4</v>
      </c>
      <c r="D25" s="18">
        <v>0.41</v>
      </c>
      <c r="E25" s="18">
        <v>0.48</v>
      </c>
      <c r="F25" s="18">
        <v>0.33</v>
      </c>
      <c r="G25" s="18">
        <f t="shared" si="1"/>
        <v>0.405</v>
      </c>
    </row>
    <row r="26" ht="12.75" customHeight="1">
      <c r="A26" s="22" t="s">
        <v>112</v>
      </c>
      <c r="B26" s="18" t="s">
        <v>67</v>
      </c>
      <c r="C26" s="18">
        <v>0.36</v>
      </c>
      <c r="D26" s="18">
        <v>0.43</v>
      </c>
      <c r="E26" s="18">
        <v>0.31</v>
      </c>
      <c r="F26" s="18">
        <v>0.27</v>
      </c>
      <c r="G26" s="18">
        <f t="shared" si="1"/>
        <v>0.3425</v>
      </c>
    </row>
    <row r="27" ht="12.75" customHeight="1">
      <c r="A27" s="22" t="s">
        <v>113</v>
      </c>
      <c r="B27" s="18" t="s">
        <v>53</v>
      </c>
      <c r="C27" s="18">
        <v>0.03</v>
      </c>
      <c r="D27" s="18">
        <v>0.03</v>
      </c>
      <c r="E27" s="18">
        <v>0.05</v>
      </c>
      <c r="F27" s="18">
        <v>0.05</v>
      </c>
      <c r="G27" s="18">
        <f t="shared" si="1"/>
        <v>0.04</v>
      </c>
    </row>
    <row r="28" ht="12.75" customHeight="1">
      <c r="A28" s="22" t="s">
        <v>113</v>
      </c>
      <c r="B28" s="18" t="s">
        <v>57</v>
      </c>
      <c r="C28" s="18">
        <v>0.31</v>
      </c>
      <c r="D28" s="18">
        <v>0.24</v>
      </c>
      <c r="E28" s="18">
        <v>0.33</v>
      </c>
      <c r="F28" s="18">
        <v>0.27</v>
      </c>
      <c r="G28" s="18">
        <f t="shared" si="1"/>
        <v>0.2875</v>
      </c>
    </row>
    <row r="29" ht="12.75" customHeight="1">
      <c r="A29" s="22" t="s">
        <v>113</v>
      </c>
      <c r="B29" s="18" t="s">
        <v>59</v>
      </c>
      <c r="C29" s="18">
        <v>0.23</v>
      </c>
      <c r="D29" s="18">
        <v>0.23</v>
      </c>
      <c r="E29" s="18">
        <v>0.32</v>
      </c>
      <c r="F29" s="18">
        <v>0.2</v>
      </c>
      <c r="G29" s="18">
        <f t="shared" si="1"/>
        <v>0.245</v>
      </c>
    </row>
    <row r="30" ht="12.75" customHeight="1">
      <c r="A30" s="22" t="s">
        <v>113</v>
      </c>
      <c r="B30" s="18" t="s">
        <v>61</v>
      </c>
      <c r="C30" s="18">
        <v>0.44</v>
      </c>
      <c r="D30" s="18">
        <v>0.25</v>
      </c>
      <c r="E30" s="18">
        <v>0.34</v>
      </c>
      <c r="F30" s="18">
        <v>0.3</v>
      </c>
      <c r="G30" s="18">
        <f t="shared" si="1"/>
        <v>0.3325</v>
      </c>
    </row>
    <row r="31" ht="12.75" customHeight="1">
      <c r="A31" s="22" t="s">
        <v>113</v>
      </c>
      <c r="B31" s="18" t="s">
        <v>62</v>
      </c>
      <c r="C31" s="18">
        <v>0.3</v>
      </c>
      <c r="D31" s="18">
        <v>0.31</v>
      </c>
      <c r="E31" s="18">
        <v>0.38</v>
      </c>
      <c r="F31" s="18">
        <v>0.3</v>
      </c>
      <c r="G31" s="18">
        <f t="shared" si="1"/>
        <v>0.3225</v>
      </c>
    </row>
    <row r="32" ht="12.75" customHeight="1">
      <c r="A32" s="22" t="s">
        <v>113</v>
      </c>
      <c r="B32" s="18" t="s">
        <v>64</v>
      </c>
      <c r="C32" s="18">
        <v>0.2</v>
      </c>
      <c r="D32" s="18">
        <v>0.22</v>
      </c>
      <c r="E32" s="18">
        <v>0.17</v>
      </c>
      <c r="F32" s="18">
        <v>0.24</v>
      </c>
      <c r="G32" s="18">
        <f t="shared" si="1"/>
        <v>0.2075</v>
      </c>
    </row>
    <row r="33" ht="12.75" customHeight="1">
      <c r="A33" s="22" t="s">
        <v>113</v>
      </c>
      <c r="B33" s="18" t="s">
        <v>66</v>
      </c>
      <c r="C33" s="18">
        <v>0.14</v>
      </c>
      <c r="D33" s="18">
        <v>0.32</v>
      </c>
      <c r="E33" s="18">
        <v>0.11</v>
      </c>
      <c r="F33" s="18">
        <v>0.24</v>
      </c>
      <c r="G33" s="18">
        <f t="shared" si="1"/>
        <v>0.2025</v>
      </c>
    </row>
    <row r="34" ht="12.75" customHeight="1">
      <c r="A34" s="22" t="s">
        <v>113</v>
      </c>
      <c r="B34" s="18" t="s">
        <v>67</v>
      </c>
      <c r="C34" s="18">
        <v>0.32</v>
      </c>
      <c r="D34" s="18">
        <v>0.42</v>
      </c>
      <c r="E34" s="18">
        <v>0.43</v>
      </c>
      <c r="F34" s="18">
        <v>0.36</v>
      </c>
      <c r="G34" s="18">
        <f t="shared" si="1"/>
        <v>0.3825</v>
      </c>
    </row>
    <row r="35" ht="12.75" customHeight="1">
      <c r="A35" s="19"/>
      <c r="B35" s="18"/>
      <c r="C35" s="18"/>
      <c r="D35" s="18"/>
      <c r="E35" s="18"/>
      <c r="F35" s="18"/>
      <c r="G35" s="18"/>
    </row>
    <row r="36" ht="12.75" customHeight="1">
      <c r="C36" s="18"/>
      <c r="D36" s="18"/>
      <c r="E36" s="18"/>
      <c r="F36" s="18"/>
      <c r="G36" s="18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9.75"/>
    <col customWidth="1" min="12" max="12" width="9.13"/>
    <col customWidth="1" min="13" max="13" width="35.25"/>
    <col customWidth="1" min="14" max="26" width="9.75"/>
  </cols>
  <sheetData>
    <row r="1" ht="15.75" customHeight="1">
      <c r="A1" s="18" t="s">
        <v>114</v>
      </c>
      <c r="B1" s="18" t="s">
        <v>115</v>
      </c>
    </row>
    <row r="2" ht="15.75" customHeight="1">
      <c r="A2" s="18" t="s">
        <v>84</v>
      </c>
      <c r="B2" s="18" t="s">
        <v>85</v>
      </c>
      <c r="C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I2" s="19" t="s">
        <v>91</v>
      </c>
      <c r="J2" s="18" t="s">
        <v>92</v>
      </c>
      <c r="L2" s="20" t="s">
        <v>91</v>
      </c>
      <c r="M2" s="21" t="s">
        <v>93</v>
      </c>
    </row>
    <row r="3" ht="15.75" customHeight="1">
      <c r="A3" s="22" t="s">
        <v>94</v>
      </c>
      <c r="B3" s="18" t="s">
        <v>53</v>
      </c>
      <c r="C3" s="18">
        <v>7.82</v>
      </c>
      <c r="D3" s="18">
        <v>10.3</v>
      </c>
      <c r="E3" s="18">
        <v>9.3</v>
      </c>
      <c r="F3" s="18">
        <v>7.2</v>
      </c>
      <c r="G3" s="18">
        <f t="shared" ref="G3:G34" si="1">AVERAGE(C3:F3)</f>
        <v>8.655</v>
      </c>
      <c r="I3" s="18" t="s">
        <v>53</v>
      </c>
      <c r="J3" s="27">
        <f t="shared" ref="J3:J10" si="2">AVERAGEA(G3,G11,G19,G27)</f>
        <v>8.88875</v>
      </c>
      <c r="L3" s="25" t="s">
        <v>116</v>
      </c>
      <c r="M3" s="26" t="s">
        <v>96</v>
      </c>
    </row>
    <row r="4" ht="15.75" customHeight="1">
      <c r="A4" s="22" t="s">
        <v>94</v>
      </c>
      <c r="B4" s="18" t="s">
        <v>57</v>
      </c>
      <c r="C4" s="18">
        <v>10.0</v>
      </c>
      <c r="D4" s="18">
        <v>10.5</v>
      </c>
      <c r="E4" s="18">
        <v>11.1</v>
      </c>
      <c r="F4" s="18">
        <v>9.4</v>
      </c>
      <c r="G4" s="18">
        <f t="shared" si="1"/>
        <v>10.25</v>
      </c>
      <c r="I4" s="18" t="s">
        <v>57</v>
      </c>
      <c r="J4" s="27">
        <f t="shared" si="2"/>
        <v>9.589375</v>
      </c>
      <c r="L4" s="25" t="s">
        <v>117</v>
      </c>
      <c r="M4" s="26" t="s">
        <v>98</v>
      </c>
    </row>
    <row r="5" ht="15.75" customHeight="1">
      <c r="A5" s="22" t="s">
        <v>94</v>
      </c>
      <c r="B5" s="18" t="s">
        <v>59</v>
      </c>
      <c r="C5" s="18">
        <v>6.77</v>
      </c>
      <c r="D5" s="18">
        <v>6.9</v>
      </c>
      <c r="E5" s="18">
        <v>6.91</v>
      </c>
      <c r="F5" s="18">
        <v>6.45</v>
      </c>
      <c r="G5" s="18">
        <f t="shared" si="1"/>
        <v>6.7575</v>
      </c>
      <c r="I5" s="18" t="s">
        <v>59</v>
      </c>
      <c r="J5" s="27">
        <f t="shared" si="2"/>
        <v>6.44</v>
      </c>
      <c r="L5" s="25" t="s">
        <v>118</v>
      </c>
      <c r="M5" s="26" t="s">
        <v>100</v>
      </c>
    </row>
    <row r="6" ht="15.75" customHeight="1">
      <c r="A6" s="22" t="s">
        <v>94</v>
      </c>
      <c r="B6" s="18" t="s">
        <v>61</v>
      </c>
      <c r="C6" s="18">
        <v>6.44</v>
      </c>
      <c r="D6" s="18">
        <v>6.23</v>
      </c>
      <c r="E6" s="18">
        <v>6.2</v>
      </c>
      <c r="F6" s="18">
        <v>6.26</v>
      </c>
      <c r="G6" s="18">
        <f t="shared" si="1"/>
        <v>6.2825</v>
      </c>
      <c r="I6" s="18" t="s">
        <v>61</v>
      </c>
      <c r="J6" s="27">
        <f t="shared" si="2"/>
        <v>7.873125</v>
      </c>
      <c r="L6" s="25" t="s">
        <v>119</v>
      </c>
      <c r="M6" s="26" t="s">
        <v>102</v>
      </c>
    </row>
    <row r="7" ht="15.75" customHeight="1">
      <c r="A7" s="22" t="s">
        <v>94</v>
      </c>
      <c r="B7" s="18" t="s">
        <v>62</v>
      </c>
      <c r="C7" s="18">
        <v>9.7</v>
      </c>
      <c r="D7" s="18">
        <v>9.7</v>
      </c>
      <c r="E7" s="18">
        <v>9.1</v>
      </c>
      <c r="F7" s="18">
        <v>9.0</v>
      </c>
      <c r="G7" s="18">
        <f t="shared" si="1"/>
        <v>9.375</v>
      </c>
      <c r="I7" s="18" t="s">
        <v>62</v>
      </c>
      <c r="J7" s="27">
        <f t="shared" si="2"/>
        <v>6.9225</v>
      </c>
      <c r="L7" s="25" t="s">
        <v>120</v>
      </c>
      <c r="M7" s="26" t="s">
        <v>104</v>
      </c>
    </row>
    <row r="8" ht="15.75" customHeight="1">
      <c r="A8" s="22" t="s">
        <v>94</v>
      </c>
      <c r="B8" s="18" t="s">
        <v>64</v>
      </c>
      <c r="C8" s="18">
        <v>9.8</v>
      </c>
      <c r="D8" s="18">
        <v>9.9</v>
      </c>
      <c r="E8" s="18">
        <v>9.8</v>
      </c>
      <c r="F8" s="18">
        <v>10.2</v>
      </c>
      <c r="G8" s="18">
        <f t="shared" si="1"/>
        <v>9.925</v>
      </c>
      <c r="I8" s="18" t="s">
        <v>64</v>
      </c>
      <c r="J8" s="27">
        <f t="shared" si="2"/>
        <v>7.78375</v>
      </c>
      <c r="L8" s="25" t="s">
        <v>121</v>
      </c>
      <c r="M8" s="26" t="s">
        <v>106</v>
      </c>
    </row>
    <row r="9" ht="15.75" customHeight="1">
      <c r="A9" s="22" t="s">
        <v>94</v>
      </c>
      <c r="B9" s="18" t="s">
        <v>66</v>
      </c>
      <c r="C9" s="18">
        <v>8.3</v>
      </c>
      <c r="D9" s="18">
        <v>7.69</v>
      </c>
      <c r="E9" s="18">
        <v>7.58</v>
      </c>
      <c r="F9" s="18">
        <v>7.5</v>
      </c>
      <c r="G9" s="18">
        <f t="shared" si="1"/>
        <v>7.7675</v>
      </c>
      <c r="I9" s="18" t="s">
        <v>66</v>
      </c>
      <c r="J9" s="27">
        <f t="shared" si="2"/>
        <v>6.58625</v>
      </c>
      <c r="L9" s="25" t="s">
        <v>122</v>
      </c>
      <c r="M9" s="26" t="s">
        <v>108</v>
      </c>
    </row>
    <row r="10" ht="15.75" customHeight="1">
      <c r="A10" s="22" t="s">
        <v>94</v>
      </c>
      <c r="B10" s="18" t="s">
        <v>67</v>
      </c>
      <c r="C10" s="18">
        <v>5.25</v>
      </c>
      <c r="D10" s="18">
        <v>5.24</v>
      </c>
      <c r="E10" s="18">
        <v>5.13</v>
      </c>
      <c r="F10" s="18">
        <v>5.18</v>
      </c>
      <c r="G10" s="18">
        <f t="shared" si="1"/>
        <v>5.2</v>
      </c>
      <c r="I10" s="18" t="s">
        <v>67</v>
      </c>
      <c r="J10" s="27">
        <f t="shared" si="2"/>
        <v>8.149375</v>
      </c>
      <c r="L10" s="25" t="s">
        <v>123</v>
      </c>
      <c r="M10" s="26" t="s">
        <v>110</v>
      </c>
    </row>
    <row r="11" ht="15.75" customHeight="1">
      <c r="A11" s="22" t="s">
        <v>111</v>
      </c>
      <c r="B11" s="18" t="s">
        <v>53</v>
      </c>
      <c r="C11" s="18">
        <v>8.7</v>
      </c>
      <c r="D11" s="18">
        <v>8.7</v>
      </c>
      <c r="E11" s="18">
        <v>8.3</v>
      </c>
      <c r="F11" s="18">
        <v>8.2</v>
      </c>
      <c r="G11" s="18">
        <f t="shared" si="1"/>
        <v>8.475</v>
      </c>
    </row>
    <row r="12" ht="15.75" customHeight="1">
      <c r="A12" s="22" t="s">
        <v>111</v>
      </c>
      <c r="B12" s="18" t="s">
        <v>57</v>
      </c>
      <c r="C12" s="18">
        <v>7.67</v>
      </c>
      <c r="D12" s="18">
        <v>10.5</v>
      </c>
      <c r="E12" s="18">
        <v>10.8</v>
      </c>
      <c r="F12" s="18">
        <v>11.1</v>
      </c>
      <c r="G12" s="18">
        <f t="shared" si="1"/>
        <v>10.0175</v>
      </c>
    </row>
    <row r="13" ht="15.75" customHeight="1">
      <c r="A13" s="22" t="s">
        <v>111</v>
      </c>
      <c r="B13" s="18" t="s">
        <v>59</v>
      </c>
      <c r="C13" s="18">
        <v>7.42</v>
      </c>
      <c r="D13" s="18">
        <v>7.16</v>
      </c>
      <c r="E13" s="18">
        <v>7.45</v>
      </c>
      <c r="F13" s="18">
        <v>7.39</v>
      </c>
      <c r="G13" s="18">
        <f t="shared" si="1"/>
        <v>7.355</v>
      </c>
    </row>
    <row r="14" ht="15.75" customHeight="1">
      <c r="A14" s="22" t="s">
        <v>111</v>
      </c>
      <c r="B14" s="18" t="s">
        <v>61</v>
      </c>
      <c r="C14" s="18">
        <v>9.8</v>
      </c>
      <c r="D14" s="18">
        <v>10.0</v>
      </c>
      <c r="E14" s="18">
        <v>10.7</v>
      </c>
      <c r="F14" s="18">
        <v>11.2</v>
      </c>
      <c r="G14" s="18">
        <f t="shared" si="1"/>
        <v>10.425</v>
      </c>
    </row>
    <row r="15" ht="15.75" customHeight="1">
      <c r="A15" s="22" t="s">
        <v>111</v>
      </c>
      <c r="B15" s="18" t="s">
        <v>62</v>
      </c>
      <c r="C15" s="18">
        <v>5.7</v>
      </c>
      <c r="D15" s="18">
        <v>5.71</v>
      </c>
      <c r="E15" s="18">
        <v>5.75</v>
      </c>
      <c r="F15" s="18">
        <v>5.94</v>
      </c>
      <c r="G15" s="18">
        <f t="shared" si="1"/>
        <v>5.775</v>
      </c>
    </row>
    <row r="16" ht="15.75" customHeight="1">
      <c r="A16" s="22" t="s">
        <v>111</v>
      </c>
      <c r="B16" s="18" t="s">
        <v>64</v>
      </c>
      <c r="C16" s="18">
        <v>8.1</v>
      </c>
      <c r="D16" s="18">
        <v>7.31</v>
      </c>
      <c r="E16" s="18">
        <v>8.1</v>
      </c>
      <c r="F16" s="18">
        <v>8.1</v>
      </c>
      <c r="G16" s="18">
        <f t="shared" si="1"/>
        <v>7.9025</v>
      </c>
    </row>
    <row r="17" ht="15.75" customHeight="1">
      <c r="A17" s="22" t="s">
        <v>111</v>
      </c>
      <c r="B17" s="18" t="s">
        <v>66</v>
      </c>
      <c r="C17" s="18">
        <v>5.37</v>
      </c>
      <c r="D17" s="18">
        <v>5.3</v>
      </c>
      <c r="E17" s="18">
        <v>5.26</v>
      </c>
      <c r="F17" s="18">
        <v>5.3</v>
      </c>
      <c r="G17" s="18">
        <f t="shared" si="1"/>
        <v>5.3075</v>
      </c>
    </row>
    <row r="18" ht="15.75" customHeight="1">
      <c r="A18" s="22" t="s">
        <v>111</v>
      </c>
      <c r="B18" s="18" t="s">
        <v>67</v>
      </c>
      <c r="C18" s="18">
        <v>10.5</v>
      </c>
      <c r="D18" s="18">
        <v>10.4</v>
      </c>
      <c r="E18" s="18">
        <v>10.3</v>
      </c>
      <c r="F18" s="18">
        <v>10.9</v>
      </c>
      <c r="G18" s="18">
        <f t="shared" si="1"/>
        <v>10.525</v>
      </c>
    </row>
    <row r="19" ht="15.75" customHeight="1">
      <c r="A19" s="22" t="s">
        <v>112</v>
      </c>
      <c r="B19" s="18" t="s">
        <v>53</v>
      </c>
      <c r="C19" s="18">
        <v>9.0</v>
      </c>
      <c r="D19" s="18">
        <v>8.7</v>
      </c>
      <c r="E19" s="18">
        <v>8.6</v>
      </c>
      <c r="F19" s="18">
        <v>9.5</v>
      </c>
      <c r="G19" s="18">
        <f t="shared" si="1"/>
        <v>8.95</v>
      </c>
    </row>
    <row r="20" ht="15.75" customHeight="1">
      <c r="A20" s="22" t="s">
        <v>112</v>
      </c>
      <c r="B20" s="18" t="s">
        <v>57</v>
      </c>
      <c r="C20" s="18">
        <v>11.4</v>
      </c>
      <c r="D20" s="18">
        <v>9.2</v>
      </c>
      <c r="E20" s="18">
        <v>11.7</v>
      </c>
      <c r="F20" s="18">
        <v>13.0</v>
      </c>
      <c r="G20" s="18">
        <f t="shared" si="1"/>
        <v>11.325</v>
      </c>
    </row>
    <row r="21" ht="15.75" customHeight="1">
      <c r="A21" s="22" t="s">
        <v>112</v>
      </c>
      <c r="B21" s="18" t="s">
        <v>59</v>
      </c>
      <c r="C21" s="18">
        <v>5.43</v>
      </c>
      <c r="D21" s="18">
        <v>5.98</v>
      </c>
      <c r="E21" s="18">
        <v>5.96</v>
      </c>
      <c r="F21" s="18">
        <v>6.02</v>
      </c>
      <c r="G21" s="18">
        <f t="shared" si="1"/>
        <v>5.8475</v>
      </c>
    </row>
    <row r="22" ht="15.75" customHeight="1">
      <c r="A22" s="22" t="s">
        <v>112</v>
      </c>
      <c r="B22" s="18" t="s">
        <v>61</v>
      </c>
      <c r="C22" s="18">
        <v>6.83</v>
      </c>
      <c r="D22" s="18">
        <v>6.88</v>
      </c>
      <c r="E22" s="18">
        <v>6.82</v>
      </c>
      <c r="F22" s="18">
        <v>7.66</v>
      </c>
      <c r="G22" s="18">
        <f t="shared" si="1"/>
        <v>7.0475</v>
      </c>
    </row>
    <row r="23" ht="15.75" customHeight="1">
      <c r="A23" s="22" t="s">
        <v>112</v>
      </c>
      <c r="B23" s="18" t="s">
        <v>62</v>
      </c>
      <c r="C23" s="18">
        <v>5.65</v>
      </c>
      <c r="D23" s="18">
        <v>5.86</v>
      </c>
      <c r="E23" s="18">
        <v>5.9</v>
      </c>
      <c r="F23" s="18">
        <v>5.83</v>
      </c>
      <c r="G23" s="18">
        <f t="shared" si="1"/>
        <v>5.81</v>
      </c>
    </row>
    <row r="24" ht="15.75" customHeight="1">
      <c r="A24" s="22" t="s">
        <v>112</v>
      </c>
      <c r="B24" s="18" t="s">
        <v>64</v>
      </c>
      <c r="C24" s="18">
        <v>7.03</v>
      </c>
      <c r="D24" s="18">
        <v>6.91</v>
      </c>
      <c r="E24" s="18">
        <v>6.83</v>
      </c>
      <c r="F24" s="18">
        <v>6.77</v>
      </c>
      <c r="G24" s="18">
        <f t="shared" si="1"/>
        <v>6.885</v>
      </c>
    </row>
    <row r="25" ht="15.75" customHeight="1">
      <c r="A25" s="22" t="s">
        <v>112</v>
      </c>
      <c r="B25" s="18" t="s">
        <v>66</v>
      </c>
      <c r="C25" s="18">
        <v>5.98</v>
      </c>
      <c r="D25" s="18">
        <v>5.3</v>
      </c>
      <c r="E25" s="18">
        <v>4.34</v>
      </c>
      <c r="F25" s="18">
        <v>5.3</v>
      </c>
      <c r="G25" s="18">
        <f t="shared" si="1"/>
        <v>5.23</v>
      </c>
    </row>
    <row r="26" ht="15.75" customHeight="1">
      <c r="A26" s="22" t="s">
        <v>112</v>
      </c>
      <c r="B26" s="18" t="s">
        <v>67</v>
      </c>
      <c r="C26" s="18">
        <v>9.2</v>
      </c>
      <c r="D26" s="18">
        <v>9.3</v>
      </c>
      <c r="E26" s="18">
        <v>9.1</v>
      </c>
      <c r="F26" s="18">
        <v>7.83</v>
      </c>
      <c r="G26" s="18">
        <f t="shared" si="1"/>
        <v>8.8575</v>
      </c>
    </row>
    <row r="27" ht="15.75" customHeight="1">
      <c r="A27" s="22" t="s">
        <v>113</v>
      </c>
      <c r="B27" s="18" t="s">
        <v>53</v>
      </c>
      <c r="C27" s="18">
        <v>8.6</v>
      </c>
      <c r="D27" s="18">
        <v>9.7</v>
      </c>
      <c r="E27" s="18">
        <v>9.8</v>
      </c>
      <c r="F27" s="18">
        <v>9.8</v>
      </c>
      <c r="G27" s="18">
        <f t="shared" si="1"/>
        <v>9.475</v>
      </c>
    </row>
    <row r="28" ht="15.75" customHeight="1">
      <c r="A28" s="22" t="s">
        <v>113</v>
      </c>
      <c r="B28" s="18" t="s">
        <v>57</v>
      </c>
      <c r="C28" s="18">
        <v>6.42</v>
      </c>
      <c r="D28" s="18">
        <v>6.22</v>
      </c>
      <c r="E28" s="18">
        <v>6.22</v>
      </c>
      <c r="F28" s="18">
        <v>8.2</v>
      </c>
      <c r="G28" s="18">
        <f t="shared" si="1"/>
        <v>6.765</v>
      </c>
    </row>
    <row r="29" ht="15.75" customHeight="1">
      <c r="A29" s="22" t="s">
        <v>113</v>
      </c>
      <c r="B29" s="18" t="s">
        <v>59</v>
      </c>
      <c r="C29" s="18">
        <v>5.7</v>
      </c>
      <c r="D29" s="18">
        <v>6.03</v>
      </c>
      <c r="E29" s="18">
        <v>5.73</v>
      </c>
      <c r="F29" s="18">
        <v>5.74</v>
      </c>
      <c r="G29" s="18">
        <f t="shared" si="1"/>
        <v>5.8</v>
      </c>
    </row>
    <row r="30" ht="15.75" customHeight="1">
      <c r="A30" s="22" t="s">
        <v>113</v>
      </c>
      <c r="B30" s="18" t="s">
        <v>61</v>
      </c>
      <c r="C30" s="18">
        <v>7.23</v>
      </c>
      <c r="D30" s="18">
        <v>6.32</v>
      </c>
      <c r="E30" s="18">
        <v>9.1</v>
      </c>
      <c r="F30" s="18">
        <v>8.3</v>
      </c>
      <c r="G30" s="18">
        <f t="shared" si="1"/>
        <v>7.7375</v>
      </c>
    </row>
    <row r="31" ht="15.75" customHeight="1">
      <c r="A31" s="22" t="s">
        <v>113</v>
      </c>
      <c r="B31" s="18" t="s">
        <v>62</v>
      </c>
      <c r="C31" s="18">
        <v>6.68</v>
      </c>
      <c r="D31" s="18">
        <v>6.86</v>
      </c>
      <c r="E31" s="18">
        <v>6.64</v>
      </c>
      <c r="F31" s="18">
        <v>6.74</v>
      </c>
      <c r="G31" s="18">
        <f t="shared" si="1"/>
        <v>6.73</v>
      </c>
    </row>
    <row r="32" ht="15.75" customHeight="1">
      <c r="A32" s="22" t="s">
        <v>113</v>
      </c>
      <c r="B32" s="18" t="s">
        <v>64</v>
      </c>
      <c r="C32" s="18">
        <v>6.03</v>
      </c>
      <c r="D32" s="18">
        <v>6.39</v>
      </c>
      <c r="E32" s="18">
        <v>6.66</v>
      </c>
      <c r="F32" s="18">
        <v>6.61</v>
      </c>
      <c r="G32" s="18">
        <f t="shared" si="1"/>
        <v>6.4225</v>
      </c>
    </row>
    <row r="33" ht="15.75" customHeight="1">
      <c r="A33" s="22" t="s">
        <v>113</v>
      </c>
      <c r="B33" s="18" t="s">
        <v>66</v>
      </c>
      <c r="C33" s="18">
        <v>8.1</v>
      </c>
      <c r="D33" s="18">
        <v>7.89</v>
      </c>
      <c r="E33" s="18">
        <v>8.2</v>
      </c>
      <c r="F33" s="18">
        <v>7.97</v>
      </c>
      <c r="G33" s="18">
        <f t="shared" si="1"/>
        <v>8.04</v>
      </c>
    </row>
    <row r="34" ht="15.75" customHeight="1">
      <c r="A34" s="22" t="s">
        <v>113</v>
      </c>
      <c r="B34" s="18" t="s">
        <v>67</v>
      </c>
      <c r="C34" s="18">
        <v>7.56</v>
      </c>
      <c r="D34" s="18">
        <v>8.1</v>
      </c>
      <c r="E34" s="18">
        <v>8.1</v>
      </c>
      <c r="F34" s="18">
        <v>8.3</v>
      </c>
      <c r="G34" s="18">
        <f t="shared" si="1"/>
        <v>8.015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57" width="9.75"/>
  </cols>
  <sheetData>
    <row r="1" ht="15.75" customHeight="1">
      <c r="A1" s="18" t="s">
        <v>124</v>
      </c>
      <c r="B1" s="18" t="s">
        <v>125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 t="s">
        <v>126</v>
      </c>
      <c r="O1" s="10"/>
      <c r="P1" s="10"/>
      <c r="Q1" s="10"/>
      <c r="R1" s="10"/>
      <c r="S1" s="10"/>
      <c r="T1" s="10"/>
      <c r="U1" s="10"/>
      <c r="V1" s="10"/>
      <c r="W1" s="10"/>
      <c r="X1" s="10" t="s">
        <v>127</v>
      </c>
      <c r="Y1" s="10"/>
      <c r="Z1" s="10"/>
      <c r="AA1" s="10"/>
      <c r="AB1" s="10"/>
      <c r="AC1" s="10"/>
      <c r="AD1" s="10"/>
      <c r="AE1" s="10"/>
      <c r="AF1" s="10"/>
      <c r="AG1" s="10" t="s">
        <v>128</v>
      </c>
      <c r="AH1" s="10"/>
      <c r="AI1" s="10"/>
      <c r="AJ1" s="10"/>
      <c r="AK1" s="10"/>
      <c r="AL1" s="10"/>
      <c r="AM1" s="10"/>
      <c r="AN1" s="10"/>
      <c r="AO1" s="10"/>
      <c r="AP1" s="10" t="s">
        <v>129</v>
      </c>
      <c r="AQ1" s="10" t="s">
        <v>130</v>
      </c>
      <c r="AR1" s="10"/>
      <c r="AS1" s="10" t="s">
        <v>131</v>
      </c>
      <c r="AT1" s="10"/>
      <c r="AU1" s="10"/>
      <c r="AV1" s="10" t="s">
        <v>132</v>
      </c>
      <c r="AW1" s="10" t="s">
        <v>133</v>
      </c>
      <c r="AX1" s="10"/>
      <c r="AY1" s="10" t="s">
        <v>131</v>
      </c>
      <c r="AZ1" s="10"/>
      <c r="BA1" s="10"/>
      <c r="BB1" s="10"/>
      <c r="BC1" s="10"/>
      <c r="BD1" s="10"/>
      <c r="BE1" s="10"/>
    </row>
    <row r="2" ht="15.75" customHeight="1">
      <c r="A2" s="18" t="s">
        <v>84</v>
      </c>
      <c r="B2" s="18" t="s">
        <v>85</v>
      </c>
      <c r="C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H2" s="10"/>
      <c r="I2" s="10"/>
      <c r="J2" s="10"/>
      <c r="K2" s="10"/>
      <c r="L2" s="10"/>
      <c r="M2" s="10"/>
      <c r="N2" s="18" t="s">
        <v>86</v>
      </c>
      <c r="O2" s="18" t="s">
        <v>87</v>
      </c>
      <c r="P2" s="18" t="s">
        <v>88</v>
      </c>
      <c r="Q2" s="18" t="s">
        <v>89</v>
      </c>
      <c r="R2" s="18" t="s">
        <v>90</v>
      </c>
      <c r="S2" s="10"/>
      <c r="T2" s="10"/>
      <c r="U2" s="10"/>
      <c r="V2" s="10"/>
      <c r="W2" s="10"/>
      <c r="X2" s="18" t="s">
        <v>86</v>
      </c>
      <c r="Y2" s="18" t="s">
        <v>87</v>
      </c>
      <c r="Z2" s="18" t="s">
        <v>88</v>
      </c>
      <c r="AA2" s="18" t="s">
        <v>89</v>
      </c>
      <c r="AB2" s="18" t="s">
        <v>90</v>
      </c>
      <c r="AC2" s="10"/>
      <c r="AD2" s="10"/>
      <c r="AE2" s="10"/>
      <c r="AF2" s="10"/>
      <c r="AG2" s="18" t="s">
        <v>86</v>
      </c>
      <c r="AH2" s="18" t="s">
        <v>87</v>
      </c>
      <c r="AI2" s="18" t="s">
        <v>88</v>
      </c>
      <c r="AJ2" s="18" t="s">
        <v>89</v>
      </c>
      <c r="AK2" s="18" t="s">
        <v>90</v>
      </c>
      <c r="AL2" s="10"/>
      <c r="AM2" s="10"/>
      <c r="AN2" s="10"/>
      <c r="AO2" s="10"/>
      <c r="AP2" s="10" t="s">
        <v>86</v>
      </c>
      <c r="AQ2" s="10" t="s">
        <v>87</v>
      </c>
      <c r="AR2" s="10"/>
      <c r="AS2" s="10" t="s">
        <v>86</v>
      </c>
      <c r="AT2" s="10" t="s">
        <v>87</v>
      </c>
      <c r="AU2" s="10"/>
      <c r="AV2" s="10" t="s">
        <v>86</v>
      </c>
      <c r="AW2" s="10" t="s">
        <v>87</v>
      </c>
      <c r="AX2" s="10"/>
      <c r="AY2" s="10" t="s">
        <v>86</v>
      </c>
      <c r="AZ2" s="10" t="s">
        <v>87</v>
      </c>
      <c r="BA2" s="28"/>
      <c r="BB2" s="28"/>
      <c r="BC2" s="10"/>
      <c r="BD2" s="10" t="s">
        <v>134</v>
      </c>
      <c r="BE2" s="10" t="s">
        <v>135</v>
      </c>
    </row>
    <row r="3" ht="15.75" customHeight="1">
      <c r="A3" s="19" t="s">
        <v>94</v>
      </c>
      <c r="B3" s="18" t="s">
        <v>53</v>
      </c>
      <c r="C3" s="18">
        <v>27.5</v>
      </c>
      <c r="D3" s="18">
        <v>28.0</v>
      </c>
      <c r="E3" s="18">
        <v>24.5</v>
      </c>
      <c r="F3" s="18">
        <v>23.5</v>
      </c>
      <c r="G3" s="18">
        <f t="shared" ref="G3:G34" si="1">AVERAGE(C3:F3)</f>
        <v>25.875</v>
      </c>
      <c r="H3" s="10"/>
      <c r="I3" s="18" t="s">
        <v>53</v>
      </c>
      <c r="J3" s="18">
        <f t="shared" ref="J3:J10" si="2">(AVERAGEA(G3,G11,G19,G27))</f>
        <v>24.59375</v>
      </c>
      <c r="K3" s="10"/>
      <c r="L3" s="10"/>
      <c r="M3" s="10"/>
      <c r="N3" s="18">
        <v>3.56</v>
      </c>
      <c r="O3" s="18">
        <v>4.87</v>
      </c>
      <c r="P3" s="18">
        <v>4.81</v>
      </c>
      <c r="Q3" s="18">
        <v>3.83</v>
      </c>
      <c r="R3" s="18">
        <f t="shared" ref="R3:R34" si="3">AVERAGE(N3:Q3)</f>
        <v>4.2675</v>
      </c>
      <c r="S3" s="10"/>
      <c r="T3" s="18" t="s">
        <v>53</v>
      </c>
      <c r="U3" s="18">
        <f t="shared" ref="U3:U10" si="4">AVERAGEA(R3,R11,R19,R27)</f>
        <v>4.17</v>
      </c>
      <c r="V3" s="10"/>
      <c r="W3" s="10"/>
      <c r="X3" s="18">
        <v>36.1</v>
      </c>
      <c r="Y3" s="18">
        <v>30.6</v>
      </c>
      <c r="Z3" s="18">
        <v>46.4</v>
      </c>
      <c r="AA3" s="18">
        <v>39.9</v>
      </c>
      <c r="AB3" s="18">
        <f t="shared" ref="AB3:AB34" si="5">AVERAGE(X3:AA3)</f>
        <v>38.25</v>
      </c>
      <c r="AC3" s="10"/>
      <c r="AD3" s="18" t="s">
        <v>53</v>
      </c>
      <c r="AE3" s="18">
        <f t="shared" ref="AE3:AE10" si="6">AVERAGEA(AB3,AB11,AB19,AB27)</f>
        <v>37.9375</v>
      </c>
      <c r="AF3" s="10"/>
      <c r="AG3" s="18">
        <v>0.0</v>
      </c>
      <c r="AH3" s="18">
        <v>0.0</v>
      </c>
      <c r="AI3" s="18">
        <v>0.0</v>
      </c>
      <c r="AJ3" s="18">
        <v>0.0</v>
      </c>
      <c r="AK3" s="18">
        <f t="shared" ref="AK3:AK34" si="7">AVERAGE(AG3:AJ3)</f>
        <v>0</v>
      </c>
      <c r="AL3" s="10"/>
      <c r="AM3" s="18" t="s">
        <v>53</v>
      </c>
      <c r="AN3" s="18">
        <f t="shared" ref="AN3:AN10" si="8">AVERAGEA(AK3,AK11,AK19,AK27)</f>
        <v>0.1875</v>
      </c>
      <c r="AO3" s="10" t="s">
        <v>136</v>
      </c>
      <c r="AP3" s="10">
        <v>4.62</v>
      </c>
      <c r="AQ3" s="10">
        <v>4.09</v>
      </c>
      <c r="AR3" s="10"/>
      <c r="AS3" s="10">
        <v>3.33</v>
      </c>
      <c r="AT3" s="10">
        <v>2.28</v>
      </c>
      <c r="AU3" s="10"/>
      <c r="AV3" s="10">
        <v>0.93</v>
      </c>
      <c r="AW3" s="10">
        <v>1.08</v>
      </c>
      <c r="AX3" s="10"/>
      <c r="AY3" s="29">
        <v>0.49</v>
      </c>
      <c r="AZ3" s="29">
        <v>0.65</v>
      </c>
      <c r="BA3" s="29"/>
      <c r="BB3" s="29"/>
      <c r="BC3" s="10" t="str">
        <f t="shared" ref="BC3:BC10" si="9">_xludf.CONCAT(AO3,B3,"-1")</f>
        <v>#NAME?</v>
      </c>
      <c r="BD3" s="10">
        <f t="shared" ref="BD3:BD34" si="10">SUM(AS3:AT3)</f>
        <v>5.61</v>
      </c>
      <c r="BE3" s="10">
        <f t="shared" ref="BE3:BE34" si="11">SUM(AY3:AZ3)</f>
        <v>1.14</v>
      </c>
    </row>
    <row r="4" ht="15.75" customHeight="1">
      <c r="A4" s="19" t="s">
        <v>94</v>
      </c>
      <c r="B4" s="18" t="s">
        <v>57</v>
      </c>
      <c r="C4" s="18">
        <v>24.0</v>
      </c>
      <c r="D4" s="18">
        <v>32.5</v>
      </c>
      <c r="E4" s="18">
        <v>28.0</v>
      </c>
      <c r="F4" s="18">
        <v>28.5</v>
      </c>
      <c r="G4" s="18">
        <f t="shared" si="1"/>
        <v>28.25</v>
      </c>
      <c r="H4" s="10"/>
      <c r="I4" s="18" t="s">
        <v>57</v>
      </c>
      <c r="J4" s="18">
        <f t="shared" si="2"/>
        <v>29.40625</v>
      </c>
      <c r="K4" s="10"/>
      <c r="L4" s="10"/>
      <c r="M4" s="10"/>
      <c r="N4" s="18">
        <v>4.79</v>
      </c>
      <c r="O4" s="18">
        <v>4.48</v>
      </c>
      <c r="P4" s="18">
        <v>4.67</v>
      </c>
      <c r="Q4" s="18">
        <v>4.65</v>
      </c>
      <c r="R4" s="18">
        <f t="shared" si="3"/>
        <v>4.6475</v>
      </c>
      <c r="S4" s="10"/>
      <c r="T4" s="18" t="s">
        <v>57</v>
      </c>
      <c r="U4" s="18">
        <f t="shared" si="4"/>
        <v>4.481875</v>
      </c>
      <c r="V4" s="10"/>
      <c r="W4" s="10"/>
      <c r="X4" s="18">
        <v>34.6</v>
      </c>
      <c r="Y4" s="18">
        <v>43.3</v>
      </c>
      <c r="Z4" s="18">
        <v>45.3</v>
      </c>
      <c r="AA4" s="18">
        <v>40.0</v>
      </c>
      <c r="AB4" s="18">
        <f t="shared" si="5"/>
        <v>40.8</v>
      </c>
      <c r="AC4" s="10"/>
      <c r="AD4" s="18" t="s">
        <v>57</v>
      </c>
      <c r="AE4" s="18">
        <f t="shared" si="6"/>
        <v>39.56875</v>
      </c>
      <c r="AF4" s="10"/>
      <c r="AG4" s="18">
        <v>0.0</v>
      </c>
      <c r="AH4" s="18">
        <v>0.0</v>
      </c>
      <c r="AI4" s="18">
        <v>0.0</v>
      </c>
      <c r="AJ4" s="18">
        <v>0.0</v>
      </c>
      <c r="AK4" s="18">
        <f t="shared" si="7"/>
        <v>0</v>
      </c>
      <c r="AL4" s="10"/>
      <c r="AM4" s="18" t="s">
        <v>57</v>
      </c>
      <c r="AN4" s="18">
        <f t="shared" si="8"/>
        <v>0.875</v>
      </c>
      <c r="AO4" s="10" t="s">
        <v>136</v>
      </c>
      <c r="AP4" s="10">
        <v>7.87</v>
      </c>
      <c r="AQ4" s="10">
        <v>7.8</v>
      </c>
      <c r="AR4" s="10"/>
      <c r="AS4" s="10">
        <v>4.86</v>
      </c>
      <c r="AT4" s="10">
        <v>5.45</v>
      </c>
      <c r="AU4" s="10"/>
      <c r="AV4" s="10">
        <v>1.66</v>
      </c>
      <c r="AW4" s="10">
        <v>1.48</v>
      </c>
      <c r="AX4" s="10"/>
      <c r="AY4" s="29">
        <v>1.09</v>
      </c>
      <c r="AZ4" s="29">
        <v>1.22</v>
      </c>
      <c r="BA4" s="29"/>
      <c r="BB4" s="29"/>
      <c r="BC4" s="10" t="str">
        <f t="shared" si="9"/>
        <v>#NAME?</v>
      </c>
      <c r="BD4" s="10">
        <f t="shared" si="10"/>
        <v>10.31</v>
      </c>
      <c r="BE4" s="10">
        <f t="shared" si="11"/>
        <v>2.31</v>
      </c>
    </row>
    <row r="5" ht="15.75" customHeight="1">
      <c r="A5" s="19" t="s">
        <v>94</v>
      </c>
      <c r="B5" s="18" t="s">
        <v>59</v>
      </c>
      <c r="C5" s="18">
        <v>37.0</v>
      </c>
      <c r="D5" s="18">
        <v>36.5</v>
      </c>
      <c r="E5" s="18">
        <v>36.0</v>
      </c>
      <c r="F5" s="18">
        <v>37.5</v>
      </c>
      <c r="G5" s="18">
        <f t="shared" si="1"/>
        <v>36.75</v>
      </c>
      <c r="H5" s="10"/>
      <c r="I5" s="18" t="s">
        <v>59</v>
      </c>
      <c r="J5" s="18">
        <f t="shared" si="2"/>
        <v>38.03125</v>
      </c>
      <c r="K5" s="10"/>
      <c r="L5" s="10"/>
      <c r="M5" s="10"/>
      <c r="N5" s="18">
        <v>4.57</v>
      </c>
      <c r="O5" s="18">
        <v>4.16</v>
      </c>
      <c r="P5" s="18">
        <v>5.29</v>
      </c>
      <c r="Q5" s="18">
        <v>5.74</v>
      </c>
      <c r="R5" s="18">
        <f t="shared" si="3"/>
        <v>4.94</v>
      </c>
      <c r="S5" s="10"/>
      <c r="T5" s="18" t="s">
        <v>59</v>
      </c>
      <c r="U5" s="18">
        <f t="shared" si="4"/>
        <v>4.69</v>
      </c>
      <c r="V5" s="10"/>
      <c r="W5" s="10"/>
      <c r="X5" s="18">
        <v>54.9</v>
      </c>
      <c r="Y5" s="18">
        <v>66.6</v>
      </c>
      <c r="Z5" s="18">
        <v>54.7</v>
      </c>
      <c r="AA5" s="18">
        <v>59.4</v>
      </c>
      <c r="AB5" s="18">
        <f t="shared" si="5"/>
        <v>58.9</v>
      </c>
      <c r="AC5" s="10"/>
      <c r="AD5" s="18" t="s">
        <v>59</v>
      </c>
      <c r="AE5" s="18">
        <f t="shared" si="6"/>
        <v>58.275</v>
      </c>
      <c r="AF5" s="10"/>
      <c r="AG5" s="18">
        <v>3.0</v>
      </c>
      <c r="AH5" s="18">
        <v>4.0</v>
      </c>
      <c r="AI5" s="18">
        <v>3.0</v>
      </c>
      <c r="AJ5" s="18">
        <v>3.0</v>
      </c>
      <c r="AK5" s="18">
        <f t="shared" si="7"/>
        <v>3.25</v>
      </c>
      <c r="AL5" s="10"/>
      <c r="AM5" s="18" t="s">
        <v>59</v>
      </c>
      <c r="AN5" s="18">
        <f t="shared" si="8"/>
        <v>3</v>
      </c>
      <c r="AO5" s="10" t="s">
        <v>136</v>
      </c>
      <c r="AP5" s="10">
        <v>29.76</v>
      </c>
      <c r="AQ5" s="10">
        <v>26.74</v>
      </c>
      <c r="AR5" s="10"/>
      <c r="AS5" s="10">
        <v>4.68</v>
      </c>
      <c r="AT5" s="10">
        <v>4.12</v>
      </c>
      <c r="AU5" s="10"/>
      <c r="AV5" s="10">
        <v>6.39</v>
      </c>
      <c r="AW5" s="10">
        <v>5.85</v>
      </c>
      <c r="AX5" s="10"/>
      <c r="AY5" s="29">
        <v>1.21</v>
      </c>
      <c r="AZ5" s="29">
        <v>2.65</v>
      </c>
      <c r="BA5" s="29"/>
      <c r="BB5" s="29"/>
      <c r="BC5" s="10" t="str">
        <f t="shared" si="9"/>
        <v>#NAME?</v>
      </c>
      <c r="BD5" s="10">
        <f t="shared" si="10"/>
        <v>8.8</v>
      </c>
      <c r="BE5" s="10">
        <f t="shared" si="11"/>
        <v>3.86</v>
      </c>
    </row>
    <row r="6" ht="15.75" customHeight="1">
      <c r="A6" s="19" t="s">
        <v>94</v>
      </c>
      <c r="B6" s="18" t="s">
        <v>61</v>
      </c>
      <c r="C6" s="18">
        <v>39.5</v>
      </c>
      <c r="D6" s="18">
        <v>35.5</v>
      </c>
      <c r="E6" s="18">
        <v>40.0</v>
      </c>
      <c r="F6" s="18">
        <v>40.5</v>
      </c>
      <c r="G6" s="18">
        <f t="shared" si="1"/>
        <v>38.875</v>
      </c>
      <c r="H6" s="10"/>
      <c r="I6" s="18" t="s">
        <v>61</v>
      </c>
      <c r="J6" s="18">
        <f t="shared" si="2"/>
        <v>38.0625</v>
      </c>
      <c r="K6" s="10"/>
      <c r="L6" s="10"/>
      <c r="M6" s="10"/>
      <c r="N6" s="18">
        <v>6.02</v>
      </c>
      <c r="O6" s="18">
        <v>5.21</v>
      </c>
      <c r="P6" s="18">
        <v>4.58</v>
      </c>
      <c r="Q6" s="18">
        <v>5.01</v>
      </c>
      <c r="R6" s="18">
        <f t="shared" si="3"/>
        <v>5.205</v>
      </c>
      <c r="S6" s="10"/>
      <c r="T6" s="18" t="s">
        <v>61</v>
      </c>
      <c r="U6" s="18">
        <f t="shared" si="4"/>
        <v>4.71125</v>
      </c>
      <c r="V6" s="10"/>
      <c r="W6" s="10"/>
      <c r="X6" s="18">
        <v>55.9</v>
      </c>
      <c r="Y6" s="18">
        <v>62.5</v>
      </c>
      <c r="Z6" s="18">
        <v>48.6</v>
      </c>
      <c r="AA6" s="18">
        <v>48.8</v>
      </c>
      <c r="AB6" s="18">
        <f t="shared" si="5"/>
        <v>53.95</v>
      </c>
      <c r="AC6" s="10"/>
      <c r="AD6" s="18" t="s">
        <v>61</v>
      </c>
      <c r="AE6" s="18">
        <f t="shared" si="6"/>
        <v>54.7125</v>
      </c>
      <c r="AF6" s="10"/>
      <c r="AG6" s="18">
        <v>4.0</v>
      </c>
      <c r="AH6" s="18">
        <v>4.0</v>
      </c>
      <c r="AI6" s="18">
        <v>3.0</v>
      </c>
      <c r="AJ6" s="18">
        <v>4.0</v>
      </c>
      <c r="AK6" s="18">
        <f t="shared" si="7"/>
        <v>3.75</v>
      </c>
      <c r="AL6" s="10"/>
      <c r="AM6" s="18" t="s">
        <v>61</v>
      </c>
      <c r="AN6" s="18">
        <f t="shared" si="8"/>
        <v>3.1875</v>
      </c>
      <c r="AO6" s="10" t="s">
        <v>136</v>
      </c>
      <c r="AP6" s="10">
        <v>29.15</v>
      </c>
      <c r="AQ6" s="10">
        <v>40.18</v>
      </c>
      <c r="AR6" s="10"/>
      <c r="AS6" s="10">
        <v>4.27</v>
      </c>
      <c r="AT6" s="10">
        <v>2.46</v>
      </c>
      <c r="AU6" s="10"/>
      <c r="AV6" s="10">
        <v>8.81</v>
      </c>
      <c r="AW6" s="10">
        <v>6.45</v>
      </c>
      <c r="AX6" s="10"/>
      <c r="AY6" s="29">
        <v>0.73</v>
      </c>
      <c r="AZ6" s="29">
        <v>1.24</v>
      </c>
      <c r="BA6" s="29"/>
      <c r="BB6" s="29"/>
      <c r="BC6" s="10" t="str">
        <f t="shared" si="9"/>
        <v>#NAME?</v>
      </c>
      <c r="BD6" s="10">
        <f t="shared" si="10"/>
        <v>6.73</v>
      </c>
      <c r="BE6" s="10">
        <f t="shared" si="11"/>
        <v>1.97</v>
      </c>
    </row>
    <row r="7" ht="15.75" customHeight="1">
      <c r="A7" s="19" t="s">
        <v>94</v>
      </c>
      <c r="B7" s="18" t="s">
        <v>62</v>
      </c>
      <c r="C7" s="18">
        <v>40.0</v>
      </c>
      <c r="D7" s="18">
        <v>36.5</v>
      </c>
      <c r="E7" s="18">
        <v>39.0</v>
      </c>
      <c r="F7" s="18">
        <v>39.5</v>
      </c>
      <c r="G7" s="18">
        <f t="shared" si="1"/>
        <v>38.75</v>
      </c>
      <c r="H7" s="10"/>
      <c r="I7" s="18" t="s">
        <v>62</v>
      </c>
      <c r="J7" s="18">
        <f t="shared" si="2"/>
        <v>38.8125</v>
      </c>
      <c r="K7" s="10"/>
      <c r="L7" s="10"/>
      <c r="M7" s="10"/>
      <c r="N7" s="18">
        <v>4.41</v>
      </c>
      <c r="O7" s="18">
        <v>4.37</v>
      </c>
      <c r="P7" s="18">
        <v>4.55</v>
      </c>
      <c r="Q7" s="18">
        <v>4.73</v>
      </c>
      <c r="R7" s="18">
        <f t="shared" si="3"/>
        <v>4.515</v>
      </c>
      <c r="S7" s="10"/>
      <c r="T7" s="18" t="s">
        <v>62</v>
      </c>
      <c r="U7" s="18">
        <f t="shared" si="4"/>
        <v>4.68375</v>
      </c>
      <c r="V7" s="10"/>
      <c r="W7" s="10"/>
      <c r="X7" s="18">
        <v>63.3</v>
      </c>
      <c r="Y7" s="18">
        <v>53.7</v>
      </c>
      <c r="Z7" s="18">
        <v>57.3</v>
      </c>
      <c r="AA7" s="18">
        <v>57.7</v>
      </c>
      <c r="AB7" s="18">
        <f t="shared" si="5"/>
        <v>58</v>
      </c>
      <c r="AC7" s="10"/>
      <c r="AD7" s="18" t="s">
        <v>62</v>
      </c>
      <c r="AE7" s="18">
        <f t="shared" si="6"/>
        <v>58.05</v>
      </c>
      <c r="AF7" s="10"/>
      <c r="AG7" s="18">
        <v>2.0</v>
      </c>
      <c r="AH7" s="18">
        <v>2.0</v>
      </c>
      <c r="AI7" s="18">
        <v>3.0</v>
      </c>
      <c r="AJ7" s="18">
        <v>3.0</v>
      </c>
      <c r="AK7" s="18">
        <f t="shared" si="7"/>
        <v>2.5</v>
      </c>
      <c r="AL7" s="10"/>
      <c r="AM7" s="18" t="s">
        <v>62</v>
      </c>
      <c r="AN7" s="18">
        <f t="shared" si="8"/>
        <v>3.25</v>
      </c>
      <c r="AO7" s="10" t="s">
        <v>136</v>
      </c>
      <c r="AP7" s="10">
        <v>35.44</v>
      </c>
      <c r="AQ7" s="10">
        <v>31.38</v>
      </c>
      <c r="AR7" s="10"/>
      <c r="AS7" s="10">
        <v>4.75</v>
      </c>
      <c r="AT7" s="10">
        <v>3.99</v>
      </c>
      <c r="AU7" s="10"/>
      <c r="AV7" s="10">
        <v>6.31</v>
      </c>
      <c r="AW7" s="10">
        <v>7.32</v>
      </c>
      <c r="AX7" s="10"/>
      <c r="AY7" s="29">
        <v>1.16</v>
      </c>
      <c r="AZ7" s="29">
        <v>1.42</v>
      </c>
      <c r="BA7" s="29"/>
      <c r="BB7" s="29"/>
      <c r="BC7" s="10" t="str">
        <f t="shared" si="9"/>
        <v>#NAME?</v>
      </c>
      <c r="BD7" s="10">
        <f t="shared" si="10"/>
        <v>8.74</v>
      </c>
      <c r="BE7" s="10">
        <f t="shared" si="11"/>
        <v>2.58</v>
      </c>
    </row>
    <row r="8" ht="15.75" customHeight="1">
      <c r="A8" s="19" t="s">
        <v>94</v>
      </c>
      <c r="B8" s="18" t="s">
        <v>64</v>
      </c>
      <c r="C8" s="18">
        <v>39.0</v>
      </c>
      <c r="D8" s="18">
        <v>36.0</v>
      </c>
      <c r="E8" s="18">
        <v>39.5</v>
      </c>
      <c r="F8" s="18">
        <v>37.0</v>
      </c>
      <c r="G8" s="18">
        <f t="shared" si="1"/>
        <v>37.875</v>
      </c>
      <c r="H8" s="10"/>
      <c r="I8" s="18" t="s">
        <v>64</v>
      </c>
      <c r="J8" s="18">
        <f t="shared" si="2"/>
        <v>38.78125</v>
      </c>
      <c r="K8" s="10"/>
      <c r="L8" s="10"/>
      <c r="M8" s="10"/>
      <c r="N8" s="18">
        <v>4.99</v>
      </c>
      <c r="O8" s="18">
        <v>4.78</v>
      </c>
      <c r="P8" s="18">
        <v>4.49</v>
      </c>
      <c r="Q8" s="18">
        <v>4.66</v>
      </c>
      <c r="R8" s="18">
        <f t="shared" si="3"/>
        <v>4.73</v>
      </c>
      <c r="S8" s="10"/>
      <c r="T8" s="18" t="s">
        <v>64</v>
      </c>
      <c r="U8" s="18">
        <f t="shared" si="4"/>
        <v>4.556875</v>
      </c>
      <c r="V8" s="10"/>
      <c r="W8" s="10"/>
      <c r="X8" s="18">
        <v>61.5</v>
      </c>
      <c r="Y8" s="18">
        <v>57.9</v>
      </c>
      <c r="Z8" s="18">
        <v>57.5</v>
      </c>
      <c r="AA8" s="18">
        <v>58.0</v>
      </c>
      <c r="AB8" s="18">
        <f t="shared" si="5"/>
        <v>58.725</v>
      </c>
      <c r="AC8" s="10"/>
      <c r="AD8" s="18" t="s">
        <v>64</v>
      </c>
      <c r="AE8" s="18">
        <f t="shared" si="6"/>
        <v>58.125</v>
      </c>
      <c r="AF8" s="10"/>
      <c r="AG8" s="18">
        <v>3.0</v>
      </c>
      <c r="AH8" s="18">
        <v>3.0</v>
      </c>
      <c r="AI8" s="18">
        <v>3.0</v>
      </c>
      <c r="AJ8" s="18">
        <v>3.0</v>
      </c>
      <c r="AK8" s="18">
        <f t="shared" si="7"/>
        <v>3</v>
      </c>
      <c r="AL8" s="10"/>
      <c r="AM8" s="18" t="s">
        <v>64</v>
      </c>
      <c r="AN8" s="18">
        <f t="shared" si="8"/>
        <v>3</v>
      </c>
      <c r="AO8" s="10" t="s">
        <v>136</v>
      </c>
      <c r="AP8" s="10">
        <v>40.26</v>
      </c>
      <c r="AQ8" s="10">
        <v>30.59</v>
      </c>
      <c r="AR8" s="10"/>
      <c r="AS8" s="10">
        <v>4.14</v>
      </c>
      <c r="AT8" s="10">
        <v>4.86</v>
      </c>
      <c r="AU8" s="10"/>
      <c r="AV8" s="10">
        <v>5.4</v>
      </c>
      <c r="AW8" s="10">
        <v>6.67</v>
      </c>
      <c r="AX8" s="10"/>
      <c r="AY8" s="29">
        <v>0.63</v>
      </c>
      <c r="AZ8" s="29">
        <v>0.92</v>
      </c>
      <c r="BA8" s="29"/>
      <c r="BB8" s="29"/>
      <c r="BC8" s="10" t="str">
        <f t="shared" si="9"/>
        <v>#NAME?</v>
      </c>
      <c r="BD8" s="10">
        <f t="shared" si="10"/>
        <v>9</v>
      </c>
      <c r="BE8" s="10">
        <f t="shared" si="11"/>
        <v>1.55</v>
      </c>
    </row>
    <row r="9" ht="15.75" customHeight="1">
      <c r="A9" s="19" t="s">
        <v>94</v>
      </c>
      <c r="B9" s="18" t="s">
        <v>66</v>
      </c>
      <c r="C9" s="18">
        <v>41.0</v>
      </c>
      <c r="D9" s="18">
        <v>44.5</v>
      </c>
      <c r="E9" s="18">
        <v>45.0</v>
      </c>
      <c r="F9" s="18">
        <v>44.5</v>
      </c>
      <c r="G9" s="18">
        <f t="shared" si="1"/>
        <v>43.75</v>
      </c>
      <c r="H9" s="10"/>
      <c r="I9" s="18" t="s">
        <v>66</v>
      </c>
      <c r="J9" s="18">
        <f t="shared" si="2"/>
        <v>44.03125</v>
      </c>
      <c r="K9" s="10"/>
      <c r="L9" s="10"/>
      <c r="M9" s="10"/>
      <c r="N9" s="18">
        <v>4.99</v>
      </c>
      <c r="O9" s="18">
        <v>4.74</v>
      </c>
      <c r="P9" s="18">
        <v>5.11</v>
      </c>
      <c r="Q9" s="18">
        <v>4.72</v>
      </c>
      <c r="R9" s="18">
        <f t="shared" si="3"/>
        <v>4.89</v>
      </c>
      <c r="S9" s="10"/>
      <c r="T9" s="18" t="s">
        <v>66</v>
      </c>
      <c r="U9" s="18">
        <f t="shared" si="4"/>
        <v>5.006875</v>
      </c>
      <c r="V9" s="10"/>
      <c r="W9" s="10"/>
      <c r="X9" s="18">
        <v>59.4</v>
      </c>
      <c r="Y9" s="18">
        <v>58.0</v>
      </c>
      <c r="Z9" s="18">
        <v>53.8</v>
      </c>
      <c r="AA9" s="18">
        <v>52.9</v>
      </c>
      <c r="AB9" s="18">
        <f t="shared" si="5"/>
        <v>56.025</v>
      </c>
      <c r="AC9" s="10"/>
      <c r="AD9" s="18" t="s">
        <v>66</v>
      </c>
      <c r="AE9" s="18">
        <f t="shared" si="6"/>
        <v>55.8125</v>
      </c>
      <c r="AF9" s="10"/>
      <c r="AG9" s="18">
        <v>3.0</v>
      </c>
      <c r="AH9" s="18">
        <v>4.0</v>
      </c>
      <c r="AI9" s="18">
        <v>5.0</v>
      </c>
      <c r="AJ9" s="18">
        <v>3.0</v>
      </c>
      <c r="AK9" s="18">
        <f t="shared" si="7"/>
        <v>3.75</v>
      </c>
      <c r="AL9" s="10"/>
      <c r="AM9" s="18" t="s">
        <v>66</v>
      </c>
      <c r="AN9" s="18">
        <f t="shared" si="8"/>
        <v>3.6875</v>
      </c>
      <c r="AO9" s="10" t="s">
        <v>136</v>
      </c>
      <c r="AP9" s="10">
        <v>52.46</v>
      </c>
      <c r="AQ9" s="10">
        <v>63.64</v>
      </c>
      <c r="AR9" s="10"/>
      <c r="AS9" s="10">
        <v>5.82</v>
      </c>
      <c r="AT9" s="10">
        <v>5.08</v>
      </c>
      <c r="AU9" s="10"/>
      <c r="AV9" s="10">
        <v>11.54</v>
      </c>
      <c r="AW9" s="10">
        <v>14.05</v>
      </c>
      <c r="AX9" s="10"/>
      <c r="AY9" s="29">
        <v>1.44</v>
      </c>
      <c r="AZ9" s="29">
        <v>1.59</v>
      </c>
      <c r="BA9" s="29"/>
      <c r="BB9" s="29"/>
      <c r="BC9" s="10" t="str">
        <f t="shared" si="9"/>
        <v>#NAME?</v>
      </c>
      <c r="BD9" s="10">
        <f t="shared" si="10"/>
        <v>10.9</v>
      </c>
      <c r="BE9" s="10">
        <f t="shared" si="11"/>
        <v>3.03</v>
      </c>
    </row>
    <row r="10" ht="15.75" customHeight="1">
      <c r="A10" s="19" t="s">
        <v>94</v>
      </c>
      <c r="B10" s="18" t="s">
        <v>67</v>
      </c>
      <c r="C10" s="18">
        <v>38.0</v>
      </c>
      <c r="D10" s="18">
        <v>37.0</v>
      </c>
      <c r="E10" s="18">
        <v>42.0</v>
      </c>
      <c r="F10" s="18">
        <v>42.5</v>
      </c>
      <c r="G10" s="18">
        <f t="shared" si="1"/>
        <v>39.875</v>
      </c>
      <c r="H10" s="10"/>
      <c r="I10" s="18" t="s">
        <v>67</v>
      </c>
      <c r="J10" s="18">
        <f t="shared" si="2"/>
        <v>39.90625</v>
      </c>
      <c r="K10" s="10"/>
      <c r="L10" s="10"/>
      <c r="M10" s="10"/>
      <c r="N10" s="18">
        <v>4.05</v>
      </c>
      <c r="O10" s="18">
        <v>5.42</v>
      </c>
      <c r="P10" s="18">
        <v>5.05</v>
      </c>
      <c r="Q10" s="18">
        <v>5.65</v>
      </c>
      <c r="R10" s="18">
        <f t="shared" si="3"/>
        <v>5.0425</v>
      </c>
      <c r="S10" s="10"/>
      <c r="T10" s="18" t="s">
        <v>67</v>
      </c>
      <c r="U10" s="18">
        <f t="shared" si="4"/>
        <v>4.821875</v>
      </c>
      <c r="V10" s="10"/>
      <c r="W10" s="10"/>
      <c r="X10" s="18">
        <v>61.9</v>
      </c>
      <c r="Y10" s="18">
        <v>64.6</v>
      </c>
      <c r="Z10" s="18">
        <v>55.4</v>
      </c>
      <c r="AA10" s="18">
        <v>60.7</v>
      </c>
      <c r="AB10" s="18">
        <f t="shared" si="5"/>
        <v>60.65</v>
      </c>
      <c r="AC10" s="10"/>
      <c r="AD10" s="18" t="s">
        <v>67</v>
      </c>
      <c r="AE10" s="18">
        <f t="shared" si="6"/>
        <v>55.325</v>
      </c>
      <c r="AF10" s="10"/>
      <c r="AG10" s="18">
        <v>2.0</v>
      </c>
      <c r="AH10" s="18">
        <v>2.0</v>
      </c>
      <c r="AI10" s="18">
        <v>3.0</v>
      </c>
      <c r="AJ10" s="18">
        <v>4.0</v>
      </c>
      <c r="AK10" s="18">
        <f t="shared" si="7"/>
        <v>2.75</v>
      </c>
      <c r="AL10" s="10"/>
      <c r="AM10" s="18" t="s">
        <v>67</v>
      </c>
      <c r="AN10" s="18">
        <f t="shared" si="8"/>
        <v>2.9375</v>
      </c>
      <c r="AO10" s="10" t="s">
        <v>136</v>
      </c>
      <c r="AP10" s="10">
        <v>36.47</v>
      </c>
      <c r="AQ10" s="10">
        <v>38.86</v>
      </c>
      <c r="AR10" s="10"/>
      <c r="AS10" s="10">
        <v>4.96</v>
      </c>
      <c r="AT10" s="10">
        <v>3.62</v>
      </c>
      <c r="AU10" s="10"/>
      <c r="AV10" s="10">
        <v>7.89</v>
      </c>
      <c r="AW10" s="10">
        <v>8.07</v>
      </c>
      <c r="AX10" s="10"/>
      <c r="AY10" s="29">
        <v>1.37</v>
      </c>
      <c r="AZ10" s="29">
        <v>0.99</v>
      </c>
      <c r="BA10" s="29"/>
      <c r="BB10" s="29"/>
      <c r="BC10" s="10" t="str">
        <f t="shared" si="9"/>
        <v>#NAME?</v>
      </c>
      <c r="BD10" s="10">
        <f t="shared" si="10"/>
        <v>8.58</v>
      </c>
      <c r="BE10" s="10">
        <f t="shared" si="11"/>
        <v>2.36</v>
      </c>
    </row>
    <row r="11" ht="15.75" customHeight="1">
      <c r="A11" s="19" t="s">
        <v>111</v>
      </c>
      <c r="B11" s="18" t="s">
        <v>53</v>
      </c>
      <c r="C11" s="18">
        <v>25.0</v>
      </c>
      <c r="D11" s="18">
        <v>24.5</v>
      </c>
      <c r="E11" s="18">
        <v>26.0</v>
      </c>
      <c r="F11" s="18">
        <v>23.0</v>
      </c>
      <c r="G11" s="18">
        <f t="shared" si="1"/>
        <v>24.625</v>
      </c>
      <c r="H11" s="10"/>
      <c r="I11" s="10"/>
      <c r="J11" s="10"/>
      <c r="K11" s="10"/>
      <c r="L11" s="10"/>
      <c r="M11" s="10"/>
      <c r="N11" s="18">
        <v>3.76</v>
      </c>
      <c r="O11" s="18">
        <v>3.79</v>
      </c>
      <c r="P11" s="18">
        <v>4.44</v>
      </c>
      <c r="Q11" s="18">
        <v>3.95</v>
      </c>
      <c r="R11" s="18">
        <f t="shared" si="3"/>
        <v>3.985</v>
      </c>
      <c r="S11" s="10"/>
      <c r="T11" s="10"/>
      <c r="U11" s="10"/>
      <c r="V11" s="10"/>
      <c r="W11" s="10"/>
      <c r="X11" s="18">
        <v>32.4</v>
      </c>
      <c r="Y11" s="18">
        <v>36.1</v>
      </c>
      <c r="Z11" s="18">
        <v>39.6</v>
      </c>
      <c r="AA11" s="18">
        <v>37.4</v>
      </c>
      <c r="AB11" s="18">
        <f t="shared" si="5"/>
        <v>36.375</v>
      </c>
      <c r="AC11" s="10"/>
      <c r="AD11" s="10"/>
      <c r="AE11" s="10"/>
      <c r="AF11" s="10"/>
      <c r="AG11" s="18">
        <v>0.0</v>
      </c>
      <c r="AH11" s="18">
        <v>1.0</v>
      </c>
      <c r="AI11" s="18">
        <v>0.0</v>
      </c>
      <c r="AJ11" s="18">
        <v>2.0</v>
      </c>
      <c r="AK11" s="18">
        <f t="shared" si="7"/>
        <v>0.75</v>
      </c>
      <c r="AL11" s="10"/>
      <c r="AM11" s="10"/>
      <c r="AN11" s="10"/>
      <c r="AO11" s="10" t="s">
        <v>136</v>
      </c>
      <c r="AP11" s="10">
        <v>4.97</v>
      </c>
      <c r="AQ11" s="10">
        <v>4.16</v>
      </c>
      <c r="AR11" s="10"/>
      <c r="AS11" s="10">
        <v>1.02</v>
      </c>
      <c r="AT11" s="10">
        <v>2.1</v>
      </c>
      <c r="AU11" s="10"/>
      <c r="AV11" s="10">
        <v>1.15</v>
      </c>
      <c r="AW11" s="10">
        <v>0.85</v>
      </c>
      <c r="AX11" s="10"/>
      <c r="AY11" s="29">
        <v>0.27</v>
      </c>
      <c r="AZ11" s="29">
        <v>0.31</v>
      </c>
      <c r="BA11" s="29"/>
      <c r="BB11" s="29"/>
      <c r="BC11" s="10" t="str">
        <f t="shared" ref="BC11:BC18" si="12">_xludf.CONCAT(AO11,B11,"-2")</f>
        <v>#NAME?</v>
      </c>
      <c r="BD11" s="10">
        <f t="shared" si="10"/>
        <v>3.12</v>
      </c>
      <c r="BE11" s="10">
        <f t="shared" si="11"/>
        <v>0.58</v>
      </c>
    </row>
    <row r="12" ht="15.75" customHeight="1">
      <c r="A12" s="19" t="s">
        <v>111</v>
      </c>
      <c r="B12" s="18" t="s">
        <v>57</v>
      </c>
      <c r="C12" s="18">
        <v>27.5</v>
      </c>
      <c r="D12" s="18">
        <v>25.0</v>
      </c>
      <c r="E12" s="18">
        <v>30.5</v>
      </c>
      <c r="F12" s="18">
        <v>30.5</v>
      </c>
      <c r="G12" s="18">
        <f t="shared" si="1"/>
        <v>28.375</v>
      </c>
      <c r="H12" s="10"/>
      <c r="I12" s="10"/>
      <c r="J12" s="10"/>
      <c r="K12" s="10"/>
      <c r="L12" s="10"/>
      <c r="M12" s="10"/>
      <c r="N12" s="18">
        <v>4.36</v>
      </c>
      <c r="O12" s="18">
        <v>4.22</v>
      </c>
      <c r="P12" s="18">
        <v>4.4</v>
      </c>
      <c r="Q12" s="18">
        <v>4.33</v>
      </c>
      <c r="R12" s="18">
        <f t="shared" si="3"/>
        <v>4.3275</v>
      </c>
      <c r="S12" s="10"/>
      <c r="T12" s="10"/>
      <c r="U12" s="10"/>
      <c r="V12" s="10"/>
      <c r="W12" s="10"/>
      <c r="X12" s="18">
        <v>49.0</v>
      </c>
      <c r="Y12" s="18">
        <v>33.9</v>
      </c>
      <c r="Z12" s="18">
        <v>36.2</v>
      </c>
      <c r="AA12" s="18">
        <v>45.8</v>
      </c>
      <c r="AB12" s="18">
        <f t="shared" si="5"/>
        <v>41.225</v>
      </c>
      <c r="AC12" s="10"/>
      <c r="AD12" s="10"/>
      <c r="AE12" s="10"/>
      <c r="AF12" s="10"/>
      <c r="AG12" s="18">
        <v>1.0</v>
      </c>
      <c r="AH12" s="18">
        <v>0.0</v>
      </c>
      <c r="AI12" s="18">
        <v>3.0</v>
      </c>
      <c r="AJ12" s="18">
        <v>3.0</v>
      </c>
      <c r="AK12" s="18">
        <f t="shared" si="7"/>
        <v>1.75</v>
      </c>
      <c r="AL12" s="10"/>
      <c r="AM12" s="10"/>
      <c r="AN12" s="10"/>
      <c r="AO12" s="10" t="s">
        <v>136</v>
      </c>
      <c r="AP12" s="10">
        <v>7.86</v>
      </c>
      <c r="AQ12" s="10">
        <v>5.78</v>
      </c>
      <c r="AR12" s="10"/>
      <c r="AS12" s="10">
        <v>5.57</v>
      </c>
      <c r="AT12" s="10">
        <v>7.55</v>
      </c>
      <c r="AU12" s="10"/>
      <c r="AV12" s="10">
        <v>1.11</v>
      </c>
      <c r="AW12" s="10">
        <v>1.72</v>
      </c>
      <c r="AX12" s="10"/>
      <c r="AY12" s="29">
        <v>1.7</v>
      </c>
      <c r="AZ12" s="29">
        <v>1.17</v>
      </c>
      <c r="BA12" s="29"/>
      <c r="BB12" s="29"/>
      <c r="BC12" s="10" t="str">
        <f t="shared" si="12"/>
        <v>#NAME?</v>
      </c>
      <c r="BD12" s="10">
        <f t="shared" si="10"/>
        <v>13.12</v>
      </c>
      <c r="BE12" s="10">
        <f t="shared" si="11"/>
        <v>2.87</v>
      </c>
    </row>
    <row r="13" ht="15.75" customHeight="1">
      <c r="A13" s="19" t="s">
        <v>111</v>
      </c>
      <c r="B13" s="18" t="s">
        <v>59</v>
      </c>
      <c r="C13" s="18">
        <v>36.5</v>
      </c>
      <c r="D13" s="18">
        <v>38.5</v>
      </c>
      <c r="E13" s="18">
        <v>33.5</v>
      </c>
      <c r="F13" s="18">
        <v>35.0</v>
      </c>
      <c r="G13" s="18">
        <f t="shared" si="1"/>
        <v>35.875</v>
      </c>
      <c r="H13" s="10"/>
      <c r="I13" s="10"/>
      <c r="J13" s="10"/>
      <c r="K13" s="10"/>
      <c r="L13" s="10"/>
      <c r="M13" s="10"/>
      <c r="N13" s="18">
        <v>4.2</v>
      </c>
      <c r="O13" s="18">
        <v>5.01</v>
      </c>
      <c r="P13" s="18">
        <v>4.93</v>
      </c>
      <c r="Q13" s="18">
        <v>5.53</v>
      </c>
      <c r="R13" s="18">
        <f t="shared" si="3"/>
        <v>4.9175</v>
      </c>
      <c r="S13" s="10"/>
      <c r="T13" s="10"/>
      <c r="U13" s="10"/>
      <c r="V13" s="10"/>
      <c r="W13" s="10"/>
      <c r="X13" s="18">
        <v>54.4</v>
      </c>
      <c r="Y13" s="18">
        <v>58.0</v>
      </c>
      <c r="Z13" s="18">
        <v>45.7</v>
      </c>
      <c r="AA13" s="18">
        <v>57.2</v>
      </c>
      <c r="AB13" s="18">
        <f t="shared" si="5"/>
        <v>53.825</v>
      </c>
      <c r="AC13" s="10"/>
      <c r="AD13" s="10"/>
      <c r="AE13" s="10"/>
      <c r="AF13" s="10"/>
      <c r="AG13" s="18">
        <v>3.0</v>
      </c>
      <c r="AH13" s="18">
        <v>3.0</v>
      </c>
      <c r="AI13" s="18">
        <v>2.0</v>
      </c>
      <c r="AJ13" s="18">
        <v>2.0</v>
      </c>
      <c r="AK13" s="18">
        <f t="shared" si="7"/>
        <v>2.5</v>
      </c>
      <c r="AL13" s="10"/>
      <c r="AM13" s="10"/>
      <c r="AN13" s="10"/>
      <c r="AO13" s="10" t="s">
        <v>136</v>
      </c>
      <c r="AP13" s="10">
        <v>33.38</v>
      </c>
      <c r="AQ13" s="10">
        <v>26.05</v>
      </c>
      <c r="AR13" s="10"/>
      <c r="AS13" s="10">
        <v>3.81</v>
      </c>
      <c r="AT13" s="10">
        <v>5.08</v>
      </c>
      <c r="AU13" s="10"/>
      <c r="AV13" s="10">
        <v>5.1</v>
      </c>
      <c r="AW13" s="10">
        <v>5.57</v>
      </c>
      <c r="AX13" s="10"/>
      <c r="AY13" s="29">
        <v>0.86</v>
      </c>
      <c r="AZ13" s="29">
        <v>1.35</v>
      </c>
      <c r="BA13" s="29"/>
      <c r="BB13" s="29"/>
      <c r="BC13" s="10" t="str">
        <f t="shared" si="12"/>
        <v>#NAME?</v>
      </c>
      <c r="BD13" s="10">
        <f t="shared" si="10"/>
        <v>8.89</v>
      </c>
      <c r="BE13" s="10">
        <f t="shared" si="11"/>
        <v>2.21</v>
      </c>
    </row>
    <row r="14" ht="15.75" customHeight="1">
      <c r="A14" s="19" t="s">
        <v>111</v>
      </c>
      <c r="B14" s="18" t="s">
        <v>61</v>
      </c>
      <c r="C14" s="18">
        <v>34.0</v>
      </c>
      <c r="D14" s="18">
        <v>34.0</v>
      </c>
      <c r="E14" s="18">
        <v>32.0</v>
      </c>
      <c r="F14" s="18">
        <v>44.0</v>
      </c>
      <c r="G14" s="18">
        <f t="shared" si="1"/>
        <v>36</v>
      </c>
      <c r="H14" s="10"/>
      <c r="I14" s="10"/>
      <c r="J14" s="10"/>
      <c r="K14" s="10"/>
      <c r="L14" s="10"/>
      <c r="M14" s="10"/>
      <c r="N14" s="18">
        <v>4.16</v>
      </c>
      <c r="O14" s="18">
        <v>4.3</v>
      </c>
      <c r="P14" s="18">
        <v>3.82</v>
      </c>
      <c r="Q14" s="18">
        <v>4.82</v>
      </c>
      <c r="R14" s="18">
        <f t="shared" si="3"/>
        <v>4.275</v>
      </c>
      <c r="S14" s="10"/>
      <c r="T14" s="10"/>
      <c r="U14" s="10"/>
      <c r="V14" s="10"/>
      <c r="W14" s="10"/>
      <c r="X14" s="18">
        <v>44.8</v>
      </c>
      <c r="Y14" s="18">
        <v>48.3</v>
      </c>
      <c r="Z14" s="18">
        <v>52.1</v>
      </c>
      <c r="AA14" s="18">
        <v>61.4</v>
      </c>
      <c r="AB14" s="18">
        <f t="shared" si="5"/>
        <v>51.65</v>
      </c>
      <c r="AC14" s="10"/>
      <c r="AD14" s="10"/>
      <c r="AE14" s="10"/>
      <c r="AF14" s="10"/>
      <c r="AG14" s="18">
        <v>2.0</v>
      </c>
      <c r="AH14" s="18">
        <v>4.0</v>
      </c>
      <c r="AI14" s="18">
        <v>3.0</v>
      </c>
      <c r="AJ14" s="18">
        <v>3.0</v>
      </c>
      <c r="AK14" s="18">
        <f t="shared" si="7"/>
        <v>3</v>
      </c>
      <c r="AL14" s="10"/>
      <c r="AM14" s="10"/>
      <c r="AN14" s="10"/>
      <c r="AO14" s="10" t="s">
        <v>136</v>
      </c>
      <c r="AP14" s="10">
        <v>36.13</v>
      </c>
      <c r="AQ14" s="10">
        <v>37.9</v>
      </c>
      <c r="AR14" s="10"/>
      <c r="AS14" s="10">
        <v>7.14</v>
      </c>
      <c r="AT14" s="10">
        <v>4.92</v>
      </c>
      <c r="AU14" s="10"/>
      <c r="AV14" s="10">
        <v>7.63</v>
      </c>
      <c r="AW14" s="10">
        <v>7.9</v>
      </c>
      <c r="AX14" s="10"/>
      <c r="AY14" s="29">
        <v>1.94</v>
      </c>
      <c r="AZ14" s="29">
        <v>1.36</v>
      </c>
      <c r="BA14" s="29"/>
      <c r="BB14" s="29"/>
      <c r="BC14" s="10" t="str">
        <f t="shared" si="12"/>
        <v>#NAME?</v>
      </c>
      <c r="BD14" s="10">
        <f t="shared" si="10"/>
        <v>12.06</v>
      </c>
      <c r="BE14" s="10">
        <f t="shared" si="11"/>
        <v>3.3</v>
      </c>
    </row>
    <row r="15" ht="15.75" customHeight="1">
      <c r="A15" s="19" t="s">
        <v>111</v>
      </c>
      <c r="B15" s="18" t="s">
        <v>62</v>
      </c>
      <c r="C15" s="18">
        <v>44.5</v>
      </c>
      <c r="D15" s="18">
        <v>34.0</v>
      </c>
      <c r="E15" s="18">
        <v>37.0</v>
      </c>
      <c r="F15" s="18">
        <v>41.0</v>
      </c>
      <c r="G15" s="18">
        <f t="shared" si="1"/>
        <v>39.125</v>
      </c>
      <c r="H15" s="10"/>
      <c r="I15" s="10"/>
      <c r="J15" s="10"/>
      <c r="K15" s="10"/>
      <c r="L15" s="10"/>
      <c r="M15" s="10"/>
      <c r="N15" s="18">
        <v>4.18</v>
      </c>
      <c r="O15" s="18">
        <v>4.11</v>
      </c>
      <c r="P15" s="18">
        <v>5.04</v>
      </c>
      <c r="Q15" s="18">
        <v>4.73</v>
      </c>
      <c r="R15" s="18">
        <f t="shared" si="3"/>
        <v>4.515</v>
      </c>
      <c r="S15" s="10"/>
      <c r="T15" s="10"/>
      <c r="U15" s="10"/>
      <c r="V15" s="10"/>
      <c r="W15" s="10"/>
      <c r="X15" s="18">
        <v>53.0</v>
      </c>
      <c r="Y15" s="18">
        <v>54.6</v>
      </c>
      <c r="Z15" s="18">
        <v>52.1</v>
      </c>
      <c r="AA15" s="18">
        <v>61.8</v>
      </c>
      <c r="AB15" s="18">
        <f t="shared" si="5"/>
        <v>55.375</v>
      </c>
      <c r="AC15" s="10"/>
      <c r="AD15" s="10"/>
      <c r="AE15" s="10"/>
      <c r="AF15" s="10"/>
      <c r="AG15" s="18">
        <v>4.0</v>
      </c>
      <c r="AH15" s="18">
        <v>3.0</v>
      </c>
      <c r="AI15" s="18">
        <v>4.0</v>
      </c>
      <c r="AJ15" s="18">
        <v>3.0</v>
      </c>
      <c r="AK15" s="18">
        <f t="shared" si="7"/>
        <v>3.5</v>
      </c>
      <c r="AL15" s="10"/>
      <c r="AM15" s="10"/>
      <c r="AN15" s="10"/>
      <c r="AO15" s="10" t="s">
        <v>136</v>
      </c>
      <c r="AP15" s="10">
        <v>36.27</v>
      </c>
      <c r="AQ15" s="10">
        <v>38.35</v>
      </c>
      <c r="AR15" s="10"/>
      <c r="AS15" s="10">
        <v>3.36</v>
      </c>
      <c r="AT15" s="10">
        <v>5.94</v>
      </c>
      <c r="AU15" s="10"/>
      <c r="AV15" s="10">
        <v>7.41</v>
      </c>
      <c r="AW15" s="10">
        <v>7.86</v>
      </c>
      <c r="AX15" s="10"/>
      <c r="AY15" s="29">
        <v>0.99</v>
      </c>
      <c r="AZ15" s="29">
        <v>1.56</v>
      </c>
      <c r="BA15" s="29"/>
      <c r="BB15" s="29"/>
      <c r="BC15" s="10" t="str">
        <f t="shared" si="12"/>
        <v>#NAME?</v>
      </c>
      <c r="BD15" s="10">
        <f t="shared" si="10"/>
        <v>9.3</v>
      </c>
      <c r="BE15" s="10">
        <f t="shared" si="11"/>
        <v>2.55</v>
      </c>
    </row>
    <row r="16" ht="15.75" customHeight="1">
      <c r="A16" s="19" t="s">
        <v>111</v>
      </c>
      <c r="B16" s="18" t="s">
        <v>64</v>
      </c>
      <c r="C16" s="18">
        <v>36.5</v>
      </c>
      <c r="D16" s="18">
        <v>35.5</v>
      </c>
      <c r="E16" s="18">
        <v>37.0</v>
      </c>
      <c r="F16" s="18">
        <v>35.0</v>
      </c>
      <c r="G16" s="18">
        <f t="shared" si="1"/>
        <v>36</v>
      </c>
      <c r="H16" s="10"/>
      <c r="I16" s="10"/>
      <c r="J16" s="10"/>
      <c r="K16" s="10"/>
      <c r="L16" s="10"/>
      <c r="M16" s="10"/>
      <c r="N16" s="18">
        <v>4.53</v>
      </c>
      <c r="O16" s="18">
        <v>4.52</v>
      </c>
      <c r="P16" s="18">
        <v>4.67</v>
      </c>
      <c r="Q16" s="18">
        <v>4.73</v>
      </c>
      <c r="R16" s="18">
        <f t="shared" si="3"/>
        <v>4.6125</v>
      </c>
      <c r="S16" s="10"/>
      <c r="T16" s="10"/>
      <c r="U16" s="10"/>
      <c r="V16" s="10"/>
      <c r="W16" s="10"/>
      <c r="X16" s="18">
        <v>59.3</v>
      </c>
      <c r="Y16" s="18">
        <v>56.1</v>
      </c>
      <c r="Z16" s="18">
        <v>62.3</v>
      </c>
      <c r="AA16" s="18">
        <v>58.4</v>
      </c>
      <c r="AB16" s="18">
        <f t="shared" si="5"/>
        <v>59.025</v>
      </c>
      <c r="AC16" s="10"/>
      <c r="AD16" s="10"/>
      <c r="AE16" s="10"/>
      <c r="AF16" s="10"/>
      <c r="AG16" s="18">
        <v>4.0</v>
      </c>
      <c r="AH16" s="18">
        <v>2.0</v>
      </c>
      <c r="AI16" s="18">
        <v>3.0</v>
      </c>
      <c r="AJ16" s="18">
        <v>3.0</v>
      </c>
      <c r="AK16" s="18">
        <f t="shared" si="7"/>
        <v>3</v>
      </c>
      <c r="AL16" s="10"/>
      <c r="AM16" s="10"/>
      <c r="AN16" s="10"/>
      <c r="AO16" s="10" t="s">
        <v>136</v>
      </c>
      <c r="AP16" s="10">
        <v>35.51</v>
      </c>
      <c r="AQ16" s="10">
        <v>33.26</v>
      </c>
      <c r="AR16" s="10"/>
      <c r="AS16" s="10">
        <v>4.89</v>
      </c>
      <c r="AT16" s="10">
        <v>4.4</v>
      </c>
      <c r="AU16" s="10"/>
      <c r="AV16" s="10">
        <v>7.03</v>
      </c>
      <c r="AW16" s="10">
        <v>6.76</v>
      </c>
      <c r="AX16" s="10"/>
      <c r="AY16" s="29">
        <v>1.33</v>
      </c>
      <c r="AZ16" s="29">
        <v>1.66</v>
      </c>
      <c r="BA16" s="29"/>
      <c r="BB16" s="29"/>
      <c r="BC16" s="10" t="str">
        <f t="shared" si="12"/>
        <v>#NAME?</v>
      </c>
      <c r="BD16" s="10">
        <f t="shared" si="10"/>
        <v>9.29</v>
      </c>
      <c r="BE16" s="10">
        <f t="shared" si="11"/>
        <v>2.99</v>
      </c>
    </row>
    <row r="17" ht="15.75" customHeight="1">
      <c r="A17" s="19" t="s">
        <v>111</v>
      </c>
      <c r="B17" s="18" t="s">
        <v>66</v>
      </c>
      <c r="C17" s="18">
        <v>44.5</v>
      </c>
      <c r="D17" s="18">
        <v>46.0</v>
      </c>
      <c r="E17" s="18">
        <v>42.5</v>
      </c>
      <c r="F17" s="18">
        <v>41.5</v>
      </c>
      <c r="G17" s="18">
        <f t="shared" si="1"/>
        <v>43.625</v>
      </c>
      <c r="H17" s="10"/>
      <c r="I17" s="10"/>
      <c r="J17" s="10"/>
      <c r="K17" s="10"/>
      <c r="L17" s="10"/>
      <c r="M17" s="10"/>
      <c r="N17" s="18">
        <v>5.18</v>
      </c>
      <c r="O17" s="18">
        <v>5.26</v>
      </c>
      <c r="P17" s="18">
        <v>4.78</v>
      </c>
      <c r="Q17" s="18">
        <v>5.88</v>
      </c>
      <c r="R17" s="18">
        <f t="shared" si="3"/>
        <v>5.275</v>
      </c>
      <c r="S17" s="10"/>
      <c r="T17" s="10"/>
      <c r="U17" s="10"/>
      <c r="V17" s="10"/>
      <c r="W17" s="10"/>
      <c r="X17" s="18">
        <v>53.2</v>
      </c>
      <c r="Y17" s="18">
        <v>58.4</v>
      </c>
      <c r="Z17" s="18">
        <v>55.5</v>
      </c>
      <c r="AA17" s="18">
        <v>63.5</v>
      </c>
      <c r="AB17" s="18">
        <f t="shared" si="5"/>
        <v>57.65</v>
      </c>
      <c r="AC17" s="10"/>
      <c r="AD17" s="10"/>
      <c r="AE17" s="10"/>
      <c r="AF17" s="10"/>
      <c r="AG17" s="18">
        <v>3.0</v>
      </c>
      <c r="AH17" s="18">
        <v>5.0</v>
      </c>
      <c r="AI17" s="18">
        <v>5.0</v>
      </c>
      <c r="AJ17" s="18">
        <v>4.0</v>
      </c>
      <c r="AK17" s="18">
        <f t="shared" si="7"/>
        <v>4.25</v>
      </c>
      <c r="AL17" s="10"/>
      <c r="AM17" s="10"/>
      <c r="AN17" s="10"/>
      <c r="AO17" s="10" t="s">
        <v>136</v>
      </c>
      <c r="AP17" s="10">
        <v>42.56</v>
      </c>
      <c r="AQ17" s="10">
        <v>44.28</v>
      </c>
      <c r="AR17" s="10"/>
      <c r="AS17" s="10">
        <v>3.97</v>
      </c>
      <c r="AT17" s="10">
        <v>4.35</v>
      </c>
      <c r="AU17" s="10"/>
      <c r="AV17" s="10">
        <v>9.22</v>
      </c>
      <c r="AW17" s="10">
        <v>9.28</v>
      </c>
      <c r="AX17" s="10"/>
      <c r="AY17" s="29">
        <v>1.1</v>
      </c>
      <c r="AZ17" s="29">
        <v>1.17</v>
      </c>
      <c r="BA17" s="29"/>
      <c r="BB17" s="29"/>
      <c r="BC17" s="10" t="str">
        <f t="shared" si="12"/>
        <v>#NAME?</v>
      </c>
      <c r="BD17" s="10">
        <f t="shared" si="10"/>
        <v>8.32</v>
      </c>
      <c r="BE17" s="10">
        <f t="shared" si="11"/>
        <v>2.27</v>
      </c>
    </row>
    <row r="18" ht="15.75" customHeight="1">
      <c r="A18" s="19" t="s">
        <v>111</v>
      </c>
      <c r="B18" s="18" t="s">
        <v>67</v>
      </c>
      <c r="C18" s="18">
        <v>35.0</v>
      </c>
      <c r="D18" s="18">
        <v>40.5</v>
      </c>
      <c r="E18" s="18">
        <v>45.0</v>
      </c>
      <c r="F18" s="18">
        <v>43.5</v>
      </c>
      <c r="G18" s="18">
        <f t="shared" si="1"/>
        <v>41</v>
      </c>
      <c r="H18" s="10"/>
      <c r="I18" s="10"/>
      <c r="J18" s="10"/>
      <c r="K18" s="10"/>
      <c r="L18" s="10"/>
      <c r="M18" s="10"/>
      <c r="N18" s="18">
        <v>4.51</v>
      </c>
      <c r="O18" s="18">
        <v>4.74</v>
      </c>
      <c r="P18" s="18">
        <v>4.94</v>
      </c>
      <c r="Q18" s="18">
        <v>5.74</v>
      </c>
      <c r="R18" s="18">
        <f t="shared" si="3"/>
        <v>4.9825</v>
      </c>
      <c r="S18" s="10"/>
      <c r="T18" s="10"/>
      <c r="U18" s="10"/>
      <c r="V18" s="10"/>
      <c r="W18" s="10"/>
      <c r="X18" s="18">
        <v>52.5</v>
      </c>
      <c r="Y18" s="18">
        <v>56.1</v>
      </c>
      <c r="Z18" s="18">
        <v>55.2</v>
      </c>
      <c r="AA18" s="18">
        <v>52.7</v>
      </c>
      <c r="AB18" s="18">
        <f t="shared" si="5"/>
        <v>54.125</v>
      </c>
      <c r="AC18" s="10"/>
      <c r="AD18" s="10"/>
      <c r="AE18" s="10"/>
      <c r="AF18" s="10"/>
      <c r="AG18" s="18">
        <v>0.0</v>
      </c>
      <c r="AH18" s="18">
        <v>0.0</v>
      </c>
      <c r="AI18" s="18">
        <v>4.0</v>
      </c>
      <c r="AJ18" s="18">
        <v>4.0</v>
      </c>
      <c r="AK18" s="18">
        <f t="shared" si="7"/>
        <v>2</v>
      </c>
      <c r="AL18" s="10"/>
      <c r="AM18" s="10"/>
      <c r="AN18" s="10"/>
      <c r="AO18" s="10" t="s">
        <v>136</v>
      </c>
      <c r="AP18" s="10">
        <v>42.15</v>
      </c>
      <c r="AQ18" s="10">
        <v>43.0</v>
      </c>
      <c r="AR18" s="10"/>
      <c r="AS18" s="10">
        <v>4.21</v>
      </c>
      <c r="AT18" s="10">
        <v>4.1</v>
      </c>
      <c r="AU18" s="10"/>
      <c r="AV18" s="10">
        <v>9.01</v>
      </c>
      <c r="AW18" s="10">
        <v>8.76</v>
      </c>
      <c r="AX18" s="10"/>
      <c r="AY18" s="29">
        <v>1.32</v>
      </c>
      <c r="AZ18" s="29">
        <v>1.26</v>
      </c>
      <c r="BA18" s="29"/>
      <c r="BB18" s="29"/>
      <c r="BC18" s="10" t="str">
        <f t="shared" si="12"/>
        <v>#NAME?</v>
      </c>
      <c r="BD18" s="10">
        <f t="shared" si="10"/>
        <v>8.31</v>
      </c>
      <c r="BE18" s="10">
        <f t="shared" si="11"/>
        <v>2.58</v>
      </c>
    </row>
    <row r="19" ht="15.75" customHeight="1">
      <c r="A19" s="19" t="s">
        <v>112</v>
      </c>
      <c r="B19" s="18" t="s">
        <v>53</v>
      </c>
      <c r="C19" s="18">
        <v>24.0</v>
      </c>
      <c r="D19" s="18">
        <v>25.5</v>
      </c>
      <c r="E19" s="18">
        <v>26.0</v>
      </c>
      <c r="F19" s="18">
        <v>27.0</v>
      </c>
      <c r="G19" s="18">
        <f t="shared" si="1"/>
        <v>25.625</v>
      </c>
      <c r="H19" s="10"/>
      <c r="I19" s="10"/>
      <c r="J19" s="10"/>
      <c r="K19" s="10"/>
      <c r="L19" s="10"/>
      <c r="M19" s="10"/>
      <c r="N19" s="18">
        <v>4.79</v>
      </c>
      <c r="O19" s="18">
        <v>4.62</v>
      </c>
      <c r="P19" s="18">
        <v>4.72</v>
      </c>
      <c r="Q19" s="18">
        <v>4.07</v>
      </c>
      <c r="R19" s="18">
        <f t="shared" si="3"/>
        <v>4.55</v>
      </c>
      <c r="S19" s="10"/>
      <c r="T19" s="10"/>
      <c r="U19" s="10"/>
      <c r="V19" s="10"/>
      <c r="W19" s="10"/>
      <c r="X19" s="18">
        <v>32.8</v>
      </c>
      <c r="Y19" s="18">
        <v>44.7</v>
      </c>
      <c r="Z19" s="18">
        <v>45.6</v>
      </c>
      <c r="AA19" s="18">
        <v>31.0</v>
      </c>
      <c r="AB19" s="18">
        <f t="shared" si="5"/>
        <v>38.525</v>
      </c>
      <c r="AC19" s="10"/>
      <c r="AD19" s="10"/>
      <c r="AE19" s="10"/>
      <c r="AF19" s="10"/>
      <c r="AG19" s="18">
        <v>0.0</v>
      </c>
      <c r="AH19" s="18">
        <v>0.0</v>
      </c>
      <c r="AI19" s="18">
        <v>0.0</v>
      </c>
      <c r="AJ19" s="18">
        <v>0.0</v>
      </c>
      <c r="AK19" s="18">
        <f t="shared" si="7"/>
        <v>0</v>
      </c>
      <c r="AL19" s="10"/>
      <c r="AM19" s="10"/>
      <c r="AN19" s="10"/>
      <c r="AO19" s="10" t="s">
        <v>136</v>
      </c>
      <c r="AP19" s="10">
        <v>4.41</v>
      </c>
      <c r="AQ19" s="10">
        <v>4.78</v>
      </c>
      <c r="AR19" s="10"/>
      <c r="AS19" s="10">
        <v>2.17</v>
      </c>
      <c r="AT19" s="10">
        <v>2.38</v>
      </c>
      <c r="AU19" s="10"/>
      <c r="AV19" s="10">
        <v>1.04</v>
      </c>
      <c r="AW19" s="10">
        <v>1.12</v>
      </c>
      <c r="AX19" s="10"/>
      <c r="AY19" s="29">
        <v>0.58</v>
      </c>
      <c r="AZ19" s="29">
        <v>0.42</v>
      </c>
      <c r="BA19" s="29"/>
      <c r="BB19" s="29"/>
      <c r="BC19" s="10" t="str">
        <f t="shared" ref="BC19:BC26" si="13">_xludf.CONCAT(AO19,B19,"-3")</f>
        <v>#NAME?</v>
      </c>
      <c r="BD19" s="10">
        <f t="shared" si="10"/>
        <v>4.55</v>
      </c>
      <c r="BE19" s="10">
        <f t="shared" si="11"/>
        <v>1</v>
      </c>
    </row>
    <row r="20" ht="15.75" customHeight="1">
      <c r="A20" s="19" t="s">
        <v>112</v>
      </c>
      <c r="B20" s="18" t="s">
        <v>57</v>
      </c>
      <c r="C20" s="18">
        <v>32.0</v>
      </c>
      <c r="D20" s="18">
        <v>31.5</v>
      </c>
      <c r="E20" s="18">
        <v>28.0</v>
      </c>
      <c r="F20" s="18">
        <v>27.5</v>
      </c>
      <c r="G20" s="18">
        <f t="shared" si="1"/>
        <v>29.75</v>
      </c>
      <c r="H20" s="10"/>
      <c r="I20" s="10"/>
      <c r="J20" s="10"/>
      <c r="K20" s="10"/>
      <c r="L20" s="10"/>
      <c r="M20" s="10"/>
      <c r="N20" s="18">
        <v>3.7</v>
      </c>
      <c r="O20" s="18">
        <v>4.42</v>
      </c>
      <c r="P20" s="18">
        <v>4.28</v>
      </c>
      <c r="Q20" s="18">
        <v>3.76</v>
      </c>
      <c r="R20" s="18">
        <f t="shared" si="3"/>
        <v>4.04</v>
      </c>
      <c r="S20" s="10"/>
      <c r="T20" s="10"/>
      <c r="U20" s="10"/>
      <c r="V20" s="10"/>
      <c r="W20" s="10"/>
      <c r="X20" s="18">
        <v>31.9</v>
      </c>
      <c r="Y20" s="18">
        <v>32.9</v>
      </c>
      <c r="Z20" s="18">
        <v>39.6</v>
      </c>
      <c r="AA20" s="18">
        <v>33.8</v>
      </c>
      <c r="AB20" s="18">
        <f t="shared" si="5"/>
        <v>34.55</v>
      </c>
      <c r="AC20" s="10"/>
      <c r="AD20" s="10"/>
      <c r="AE20" s="10"/>
      <c r="AF20" s="10"/>
      <c r="AG20" s="18">
        <v>0.0</v>
      </c>
      <c r="AH20" s="18">
        <v>0.0</v>
      </c>
      <c r="AI20" s="18">
        <v>0.0</v>
      </c>
      <c r="AJ20" s="18">
        <v>0.0</v>
      </c>
      <c r="AK20" s="18">
        <f t="shared" si="7"/>
        <v>0</v>
      </c>
      <c r="AL20" s="10"/>
      <c r="AM20" s="10"/>
      <c r="AN20" s="10"/>
      <c r="AO20" s="10" t="s">
        <v>136</v>
      </c>
      <c r="AP20" s="10">
        <v>8.43</v>
      </c>
      <c r="AQ20" s="10">
        <v>6.37</v>
      </c>
      <c r="AR20" s="10"/>
      <c r="AS20" s="10">
        <v>6.22</v>
      </c>
      <c r="AT20" s="10">
        <v>6.63</v>
      </c>
      <c r="AU20" s="10"/>
      <c r="AV20" s="10">
        <v>1.2</v>
      </c>
      <c r="AW20" s="10">
        <v>1.81</v>
      </c>
      <c r="AX20" s="10"/>
      <c r="AY20" s="29">
        <v>1.52</v>
      </c>
      <c r="AZ20" s="29">
        <v>1.26</v>
      </c>
      <c r="BA20" s="29"/>
      <c r="BB20" s="29"/>
      <c r="BC20" s="10" t="str">
        <f t="shared" si="13"/>
        <v>#NAME?</v>
      </c>
      <c r="BD20" s="10">
        <f t="shared" si="10"/>
        <v>12.85</v>
      </c>
      <c r="BE20" s="10">
        <f t="shared" si="11"/>
        <v>2.78</v>
      </c>
    </row>
    <row r="21" ht="15.75" customHeight="1">
      <c r="A21" s="19" t="s">
        <v>112</v>
      </c>
      <c r="B21" s="18" t="s">
        <v>59</v>
      </c>
      <c r="C21" s="18">
        <v>41.0</v>
      </c>
      <c r="D21" s="18">
        <v>37.0</v>
      </c>
      <c r="E21" s="18">
        <v>39.5</v>
      </c>
      <c r="F21" s="18">
        <v>36.0</v>
      </c>
      <c r="G21" s="18">
        <f t="shared" si="1"/>
        <v>38.375</v>
      </c>
      <c r="H21" s="10"/>
      <c r="I21" s="10"/>
      <c r="J21" s="10"/>
      <c r="K21" s="10"/>
      <c r="L21" s="10"/>
      <c r="M21" s="10"/>
      <c r="N21" s="18">
        <v>4.57</v>
      </c>
      <c r="O21" s="18">
        <v>3.94</v>
      </c>
      <c r="P21" s="18">
        <v>5.03</v>
      </c>
      <c r="Q21" s="18">
        <v>3.95</v>
      </c>
      <c r="R21" s="18">
        <f t="shared" si="3"/>
        <v>4.3725</v>
      </c>
      <c r="S21" s="10"/>
      <c r="T21" s="10"/>
      <c r="U21" s="10"/>
      <c r="V21" s="10"/>
      <c r="W21" s="10"/>
      <c r="X21" s="18">
        <v>61.8</v>
      </c>
      <c r="Y21" s="18">
        <v>45.7</v>
      </c>
      <c r="Z21" s="18">
        <v>57.1</v>
      </c>
      <c r="AA21" s="18">
        <v>60.3</v>
      </c>
      <c r="AB21" s="18">
        <f t="shared" si="5"/>
        <v>56.225</v>
      </c>
      <c r="AC21" s="10"/>
      <c r="AD21" s="10"/>
      <c r="AE21" s="10"/>
      <c r="AF21" s="10"/>
      <c r="AG21" s="18">
        <v>4.0</v>
      </c>
      <c r="AH21" s="18">
        <v>1.0</v>
      </c>
      <c r="AI21" s="18">
        <v>2.0</v>
      </c>
      <c r="AJ21" s="18">
        <v>3.0</v>
      </c>
      <c r="AK21" s="18">
        <f t="shared" si="7"/>
        <v>2.5</v>
      </c>
      <c r="AL21" s="10"/>
      <c r="AM21" s="10"/>
      <c r="AN21" s="10"/>
      <c r="AO21" s="10" t="s">
        <v>136</v>
      </c>
      <c r="AP21" s="10">
        <v>33.38</v>
      </c>
      <c r="AQ21" s="10">
        <v>26.05</v>
      </c>
      <c r="AR21" s="10"/>
      <c r="AS21" s="10">
        <v>2.64</v>
      </c>
      <c r="AT21" s="10">
        <v>5.12</v>
      </c>
      <c r="AU21" s="10"/>
      <c r="AV21" s="10">
        <v>7.35</v>
      </c>
      <c r="AW21" s="10">
        <v>5.64</v>
      </c>
      <c r="AX21" s="10"/>
      <c r="AY21" s="29">
        <v>0.74</v>
      </c>
      <c r="AZ21" s="29">
        <v>1.41</v>
      </c>
      <c r="BA21" s="29"/>
      <c r="BB21" s="29"/>
      <c r="BC21" s="10" t="str">
        <f t="shared" si="13"/>
        <v>#NAME?</v>
      </c>
      <c r="BD21" s="10">
        <f t="shared" si="10"/>
        <v>7.76</v>
      </c>
      <c r="BE21" s="10">
        <f t="shared" si="11"/>
        <v>2.15</v>
      </c>
    </row>
    <row r="22" ht="15.75" customHeight="1">
      <c r="A22" s="19" t="s">
        <v>112</v>
      </c>
      <c r="B22" s="18" t="s">
        <v>61</v>
      </c>
      <c r="C22" s="18">
        <v>44.0</v>
      </c>
      <c r="D22" s="18">
        <v>36.0</v>
      </c>
      <c r="E22" s="18">
        <v>41.5</v>
      </c>
      <c r="F22" s="18">
        <v>36.0</v>
      </c>
      <c r="G22" s="18">
        <f t="shared" si="1"/>
        <v>39.375</v>
      </c>
      <c r="H22" s="10"/>
      <c r="I22" s="10"/>
      <c r="J22" s="10"/>
      <c r="K22" s="10"/>
      <c r="L22" s="10"/>
      <c r="M22" s="10"/>
      <c r="N22" s="18">
        <v>4.87</v>
      </c>
      <c r="O22" s="18">
        <v>4.27</v>
      </c>
      <c r="P22" s="18">
        <v>5.34</v>
      </c>
      <c r="Q22" s="18">
        <v>4.48</v>
      </c>
      <c r="R22" s="18">
        <f t="shared" si="3"/>
        <v>4.74</v>
      </c>
      <c r="S22" s="10"/>
      <c r="T22" s="10"/>
      <c r="U22" s="10"/>
      <c r="V22" s="10"/>
      <c r="W22" s="10"/>
      <c r="X22" s="18">
        <v>61.8</v>
      </c>
      <c r="Y22" s="18">
        <v>48.7</v>
      </c>
      <c r="Z22" s="18">
        <v>57.1</v>
      </c>
      <c r="AA22" s="18">
        <v>60.3</v>
      </c>
      <c r="AB22" s="18">
        <f t="shared" si="5"/>
        <v>56.975</v>
      </c>
      <c r="AC22" s="10"/>
      <c r="AD22" s="10"/>
      <c r="AE22" s="10"/>
      <c r="AF22" s="10"/>
      <c r="AG22" s="18">
        <v>5.0</v>
      </c>
      <c r="AH22" s="18">
        <v>0.0</v>
      </c>
      <c r="AI22" s="18">
        <v>5.0</v>
      </c>
      <c r="AJ22" s="18">
        <v>0.0</v>
      </c>
      <c r="AK22" s="18">
        <f t="shared" si="7"/>
        <v>2.5</v>
      </c>
      <c r="AL22" s="10"/>
      <c r="AM22" s="10"/>
      <c r="AN22" s="10"/>
      <c r="AO22" s="10" t="s">
        <v>136</v>
      </c>
      <c r="AP22" s="10">
        <v>39.95</v>
      </c>
      <c r="AQ22" s="10">
        <v>35.05</v>
      </c>
      <c r="AR22" s="10"/>
      <c r="AS22" s="10">
        <v>3.77</v>
      </c>
      <c r="AT22" s="10">
        <v>5.51</v>
      </c>
      <c r="AU22" s="10"/>
      <c r="AV22" s="10">
        <v>8.96</v>
      </c>
      <c r="AW22" s="10">
        <v>7.26</v>
      </c>
      <c r="AX22" s="10"/>
      <c r="AY22" s="29">
        <v>1.23</v>
      </c>
      <c r="AZ22" s="29">
        <v>1.54</v>
      </c>
      <c r="BA22" s="29"/>
      <c r="BB22" s="29"/>
      <c r="BC22" s="10" t="str">
        <f t="shared" si="13"/>
        <v>#NAME?</v>
      </c>
      <c r="BD22" s="10">
        <f t="shared" si="10"/>
        <v>9.28</v>
      </c>
      <c r="BE22" s="10">
        <f t="shared" si="11"/>
        <v>2.77</v>
      </c>
    </row>
    <row r="23" ht="15.75" customHeight="1">
      <c r="A23" s="19" t="s">
        <v>112</v>
      </c>
      <c r="B23" s="18" t="s">
        <v>62</v>
      </c>
      <c r="C23" s="18">
        <v>33.0</v>
      </c>
      <c r="D23" s="18">
        <v>39.5</v>
      </c>
      <c r="E23" s="18">
        <v>39.5</v>
      </c>
      <c r="F23" s="18">
        <v>42.0</v>
      </c>
      <c r="G23" s="18">
        <f t="shared" si="1"/>
        <v>38.5</v>
      </c>
      <c r="H23" s="10"/>
      <c r="I23" s="10"/>
      <c r="J23" s="10"/>
      <c r="K23" s="10"/>
      <c r="L23" s="10"/>
      <c r="M23" s="10"/>
      <c r="N23" s="18">
        <v>4.13</v>
      </c>
      <c r="O23" s="18">
        <v>5.61</v>
      </c>
      <c r="P23" s="18">
        <v>5.34</v>
      </c>
      <c r="Q23" s="18">
        <v>4.73</v>
      </c>
      <c r="R23" s="18">
        <f t="shared" si="3"/>
        <v>4.9525</v>
      </c>
      <c r="S23" s="10"/>
      <c r="T23" s="10"/>
      <c r="U23" s="10"/>
      <c r="V23" s="10"/>
      <c r="W23" s="10"/>
      <c r="X23" s="18">
        <v>56.4</v>
      </c>
      <c r="Y23" s="18">
        <v>66.1</v>
      </c>
      <c r="Z23" s="18">
        <v>56.5</v>
      </c>
      <c r="AA23" s="18">
        <v>58.3</v>
      </c>
      <c r="AB23" s="18">
        <f t="shared" si="5"/>
        <v>59.325</v>
      </c>
      <c r="AC23" s="10"/>
      <c r="AD23" s="10"/>
      <c r="AE23" s="10"/>
      <c r="AF23" s="10"/>
      <c r="AG23" s="18">
        <v>3.0</v>
      </c>
      <c r="AH23" s="18">
        <v>4.0</v>
      </c>
      <c r="AI23" s="18">
        <v>3.0</v>
      </c>
      <c r="AJ23" s="18">
        <v>3.0</v>
      </c>
      <c r="AK23" s="18">
        <f t="shared" si="7"/>
        <v>3.25</v>
      </c>
      <c r="AL23" s="10"/>
      <c r="AM23" s="10"/>
      <c r="AN23" s="10"/>
      <c r="AO23" s="10" t="s">
        <v>136</v>
      </c>
      <c r="AP23" s="10">
        <v>34.1</v>
      </c>
      <c r="AQ23" s="10">
        <v>28.17</v>
      </c>
      <c r="AR23" s="10"/>
      <c r="AS23" s="10">
        <v>2.83</v>
      </c>
      <c r="AT23" s="10">
        <v>2.97</v>
      </c>
      <c r="AU23" s="10"/>
      <c r="AV23" s="10">
        <v>7.18</v>
      </c>
      <c r="AW23" s="10">
        <v>5.72</v>
      </c>
      <c r="AX23" s="10"/>
      <c r="AY23" s="29">
        <v>0.75</v>
      </c>
      <c r="AZ23" s="29">
        <v>0.85</v>
      </c>
      <c r="BA23" s="29"/>
      <c r="BB23" s="29"/>
      <c r="BC23" s="10" t="str">
        <f t="shared" si="13"/>
        <v>#NAME?</v>
      </c>
      <c r="BD23" s="10">
        <f t="shared" si="10"/>
        <v>5.8</v>
      </c>
      <c r="BE23" s="10">
        <f t="shared" si="11"/>
        <v>1.6</v>
      </c>
    </row>
    <row r="24" ht="15.75" customHeight="1">
      <c r="A24" s="19" t="s">
        <v>112</v>
      </c>
      <c r="B24" s="18" t="s">
        <v>64</v>
      </c>
      <c r="C24" s="18">
        <v>42.5</v>
      </c>
      <c r="D24" s="18">
        <v>41.5</v>
      </c>
      <c r="E24" s="18">
        <v>41.5</v>
      </c>
      <c r="F24" s="18">
        <v>39.0</v>
      </c>
      <c r="G24" s="18">
        <f t="shared" si="1"/>
        <v>41.125</v>
      </c>
      <c r="H24" s="10"/>
      <c r="I24" s="10"/>
      <c r="J24" s="10"/>
      <c r="K24" s="10"/>
      <c r="L24" s="10"/>
      <c r="M24" s="10"/>
      <c r="N24" s="18">
        <v>4.56</v>
      </c>
      <c r="O24" s="18">
        <v>4.32</v>
      </c>
      <c r="P24" s="18">
        <v>4.21</v>
      </c>
      <c r="Q24" s="18">
        <v>5.18</v>
      </c>
      <c r="R24" s="18">
        <f t="shared" si="3"/>
        <v>4.5675</v>
      </c>
      <c r="S24" s="10"/>
      <c r="T24" s="10"/>
      <c r="U24" s="10"/>
      <c r="V24" s="10"/>
      <c r="W24" s="10"/>
      <c r="X24" s="18">
        <v>63.8</v>
      </c>
      <c r="Y24" s="18">
        <v>52.6</v>
      </c>
      <c r="Z24" s="18">
        <v>61.5</v>
      </c>
      <c r="AA24" s="18">
        <v>51.3</v>
      </c>
      <c r="AB24" s="18">
        <f t="shared" si="5"/>
        <v>57.3</v>
      </c>
      <c r="AC24" s="10"/>
      <c r="AD24" s="10"/>
      <c r="AE24" s="10"/>
      <c r="AF24" s="10"/>
      <c r="AG24" s="18">
        <v>3.0</v>
      </c>
      <c r="AH24" s="18">
        <v>2.0</v>
      </c>
      <c r="AI24" s="18">
        <v>3.0</v>
      </c>
      <c r="AJ24" s="18">
        <v>4.0</v>
      </c>
      <c r="AK24" s="18">
        <f t="shared" si="7"/>
        <v>3</v>
      </c>
      <c r="AL24" s="10"/>
      <c r="AM24" s="10"/>
      <c r="AN24" s="10"/>
      <c r="AO24" s="10" t="s">
        <v>136</v>
      </c>
      <c r="AP24" s="10">
        <v>33.42</v>
      </c>
      <c r="AQ24" s="10">
        <v>34.16</v>
      </c>
      <c r="AR24" s="10"/>
      <c r="AS24" s="10">
        <v>5.9</v>
      </c>
      <c r="AT24" s="10">
        <v>6.68</v>
      </c>
      <c r="AU24" s="10"/>
      <c r="AV24" s="10">
        <v>7.61</v>
      </c>
      <c r="AW24" s="10">
        <v>7.35</v>
      </c>
      <c r="AX24" s="10"/>
      <c r="AY24" s="29">
        <v>1.58</v>
      </c>
      <c r="AZ24" s="29">
        <v>1.72</v>
      </c>
      <c r="BA24" s="29"/>
      <c r="BB24" s="29"/>
      <c r="BC24" s="10" t="str">
        <f t="shared" si="13"/>
        <v>#NAME?</v>
      </c>
      <c r="BD24" s="10">
        <f t="shared" si="10"/>
        <v>12.58</v>
      </c>
      <c r="BE24" s="10">
        <f t="shared" si="11"/>
        <v>3.3</v>
      </c>
    </row>
    <row r="25" ht="15.75" customHeight="1">
      <c r="A25" s="19" t="s">
        <v>112</v>
      </c>
      <c r="B25" s="18" t="s">
        <v>66</v>
      </c>
      <c r="C25" s="18">
        <v>44.0</v>
      </c>
      <c r="D25" s="18">
        <v>45.5</v>
      </c>
      <c r="E25" s="18">
        <v>50.0</v>
      </c>
      <c r="F25" s="18">
        <v>43.0</v>
      </c>
      <c r="G25" s="18">
        <f t="shared" si="1"/>
        <v>45.625</v>
      </c>
      <c r="H25" s="10"/>
      <c r="I25" s="10"/>
      <c r="J25" s="10"/>
      <c r="K25" s="10"/>
      <c r="L25" s="10"/>
      <c r="M25" s="10"/>
      <c r="N25" s="18">
        <v>4.72</v>
      </c>
      <c r="O25" s="18">
        <v>5.33</v>
      </c>
      <c r="P25" s="18">
        <v>4.07</v>
      </c>
      <c r="Q25" s="18">
        <v>4.32</v>
      </c>
      <c r="R25" s="18">
        <f t="shared" si="3"/>
        <v>4.61</v>
      </c>
      <c r="S25" s="10"/>
      <c r="T25" s="10"/>
      <c r="U25" s="10"/>
      <c r="V25" s="10"/>
      <c r="W25" s="10"/>
      <c r="X25" s="18">
        <v>54.7</v>
      </c>
      <c r="Y25" s="18">
        <v>56.8</v>
      </c>
      <c r="Z25" s="18">
        <v>50.6</v>
      </c>
      <c r="AA25" s="18">
        <v>53.9</v>
      </c>
      <c r="AB25" s="18">
        <f t="shared" si="5"/>
        <v>54</v>
      </c>
      <c r="AC25" s="10"/>
      <c r="AD25" s="10"/>
      <c r="AE25" s="10"/>
      <c r="AF25" s="10"/>
      <c r="AG25" s="18">
        <v>3.0</v>
      </c>
      <c r="AH25" s="18">
        <v>4.0</v>
      </c>
      <c r="AI25" s="18">
        <v>5.0</v>
      </c>
      <c r="AJ25" s="18">
        <v>2.0</v>
      </c>
      <c r="AK25" s="18">
        <f t="shared" si="7"/>
        <v>3.5</v>
      </c>
      <c r="AL25" s="10"/>
      <c r="AM25" s="10"/>
      <c r="AN25" s="10"/>
      <c r="AO25" s="10" t="s">
        <v>136</v>
      </c>
      <c r="AP25" s="10">
        <v>62.23</v>
      </c>
      <c r="AQ25" s="10">
        <v>59.84</v>
      </c>
      <c r="AR25" s="10"/>
      <c r="AS25" s="10">
        <v>6.02</v>
      </c>
      <c r="AT25" s="10">
        <v>6.22</v>
      </c>
      <c r="AU25" s="10"/>
      <c r="AV25" s="10">
        <v>13.03</v>
      </c>
      <c r="AW25" s="10">
        <v>12.25</v>
      </c>
      <c r="AX25" s="10"/>
      <c r="AY25" s="29">
        <v>1.81</v>
      </c>
      <c r="AZ25" s="29">
        <v>1.81</v>
      </c>
      <c r="BA25" s="29"/>
      <c r="BB25" s="29"/>
      <c r="BC25" s="10" t="str">
        <f t="shared" si="13"/>
        <v>#NAME?</v>
      </c>
      <c r="BD25" s="10">
        <f t="shared" si="10"/>
        <v>12.24</v>
      </c>
      <c r="BE25" s="10">
        <f t="shared" si="11"/>
        <v>3.62</v>
      </c>
    </row>
    <row r="26" ht="15.75" customHeight="1">
      <c r="A26" s="19" t="s">
        <v>112</v>
      </c>
      <c r="B26" s="18" t="s">
        <v>67</v>
      </c>
      <c r="C26" s="18">
        <v>42.0</v>
      </c>
      <c r="D26" s="18">
        <v>41.0</v>
      </c>
      <c r="E26" s="18">
        <v>39.0</v>
      </c>
      <c r="F26" s="18">
        <v>41.0</v>
      </c>
      <c r="G26" s="18">
        <f t="shared" si="1"/>
        <v>40.75</v>
      </c>
      <c r="H26" s="10"/>
      <c r="I26" s="10"/>
      <c r="J26" s="10"/>
      <c r="K26" s="10"/>
      <c r="L26" s="10"/>
      <c r="M26" s="10"/>
      <c r="N26" s="18">
        <v>4.86</v>
      </c>
      <c r="O26" s="18">
        <v>4.54</v>
      </c>
      <c r="P26" s="18">
        <v>4.93</v>
      </c>
      <c r="Q26" s="18">
        <v>4.83</v>
      </c>
      <c r="R26" s="18">
        <f t="shared" si="3"/>
        <v>4.79</v>
      </c>
      <c r="S26" s="10"/>
      <c r="T26" s="10"/>
      <c r="U26" s="10"/>
      <c r="V26" s="10"/>
      <c r="W26" s="10"/>
      <c r="X26" s="18">
        <v>58.0</v>
      </c>
      <c r="Y26" s="18">
        <v>52.3</v>
      </c>
      <c r="Z26" s="18">
        <v>57.3</v>
      </c>
      <c r="AA26" s="18">
        <v>51.5</v>
      </c>
      <c r="AB26" s="18">
        <f t="shared" si="5"/>
        <v>54.775</v>
      </c>
      <c r="AC26" s="10"/>
      <c r="AD26" s="10"/>
      <c r="AE26" s="10"/>
      <c r="AF26" s="10"/>
      <c r="AG26" s="18">
        <v>3.0</v>
      </c>
      <c r="AH26" s="18">
        <v>4.0</v>
      </c>
      <c r="AI26" s="18">
        <v>4.0</v>
      </c>
      <c r="AJ26" s="18">
        <v>3.0</v>
      </c>
      <c r="AK26" s="18">
        <f t="shared" si="7"/>
        <v>3.5</v>
      </c>
      <c r="AL26" s="10"/>
      <c r="AM26" s="10"/>
      <c r="AN26" s="10"/>
      <c r="AO26" s="10" t="s">
        <v>136</v>
      </c>
      <c r="AP26" s="10">
        <v>39.39</v>
      </c>
      <c r="AQ26" s="10">
        <v>35.51</v>
      </c>
      <c r="AR26" s="10"/>
      <c r="AS26" s="10">
        <v>4.07</v>
      </c>
      <c r="AT26" s="10">
        <v>5.23</v>
      </c>
      <c r="AU26" s="10"/>
      <c r="AV26" s="10">
        <v>8.09</v>
      </c>
      <c r="AW26" s="10">
        <v>8.49</v>
      </c>
      <c r="AX26" s="10"/>
      <c r="AY26" s="29">
        <v>1.14</v>
      </c>
      <c r="AZ26" s="29">
        <v>1.46</v>
      </c>
      <c r="BA26" s="29"/>
      <c r="BB26" s="29"/>
      <c r="BC26" s="10" t="str">
        <f t="shared" si="13"/>
        <v>#NAME?</v>
      </c>
      <c r="BD26" s="10">
        <f t="shared" si="10"/>
        <v>9.3</v>
      </c>
      <c r="BE26" s="10">
        <f t="shared" si="11"/>
        <v>2.6</v>
      </c>
    </row>
    <row r="27" ht="15.75" customHeight="1">
      <c r="A27" s="19" t="s">
        <v>113</v>
      </c>
      <c r="B27" s="18" t="s">
        <v>53</v>
      </c>
      <c r="C27" s="18">
        <v>22.5</v>
      </c>
      <c r="D27" s="18">
        <v>21.5</v>
      </c>
      <c r="E27" s="18">
        <v>23.5</v>
      </c>
      <c r="F27" s="18">
        <v>21.5</v>
      </c>
      <c r="G27" s="18">
        <f t="shared" si="1"/>
        <v>22.25</v>
      </c>
      <c r="H27" s="10"/>
      <c r="I27" s="10"/>
      <c r="J27" s="10"/>
      <c r="K27" s="10"/>
      <c r="L27" s="10"/>
      <c r="M27" s="10"/>
      <c r="N27" s="18">
        <v>4.33</v>
      </c>
      <c r="O27" s="18">
        <v>4.04</v>
      </c>
      <c r="P27" s="18">
        <v>3.86</v>
      </c>
      <c r="Q27" s="18">
        <v>3.28</v>
      </c>
      <c r="R27" s="18">
        <f t="shared" si="3"/>
        <v>3.8775</v>
      </c>
      <c r="S27" s="10"/>
      <c r="T27" s="10"/>
      <c r="U27" s="10"/>
      <c r="V27" s="10"/>
      <c r="W27" s="10"/>
      <c r="X27" s="18">
        <v>44.3</v>
      </c>
      <c r="Y27" s="18">
        <v>38.0</v>
      </c>
      <c r="Z27" s="18">
        <v>38.2</v>
      </c>
      <c r="AA27" s="18">
        <v>33.9</v>
      </c>
      <c r="AB27" s="18">
        <f t="shared" si="5"/>
        <v>38.6</v>
      </c>
      <c r="AC27" s="10"/>
      <c r="AD27" s="10"/>
      <c r="AE27" s="10"/>
      <c r="AF27" s="10"/>
      <c r="AG27" s="18">
        <v>0.0</v>
      </c>
      <c r="AH27" s="18">
        <v>0.0</v>
      </c>
      <c r="AI27" s="18">
        <v>0.0</v>
      </c>
      <c r="AJ27" s="18">
        <v>0.0</v>
      </c>
      <c r="AK27" s="18">
        <f t="shared" si="7"/>
        <v>0</v>
      </c>
      <c r="AL27" s="10"/>
      <c r="AM27" s="10"/>
      <c r="AN27" s="10"/>
      <c r="AO27" s="10" t="s">
        <v>136</v>
      </c>
      <c r="AP27" s="10">
        <v>5.18</v>
      </c>
      <c r="AQ27" s="10">
        <v>4.37</v>
      </c>
      <c r="AR27" s="10"/>
      <c r="AS27" s="10">
        <v>2.58</v>
      </c>
      <c r="AT27" s="10">
        <v>3.45</v>
      </c>
      <c r="AU27" s="10"/>
      <c r="AV27" s="10">
        <v>1.16</v>
      </c>
      <c r="AW27" s="10">
        <v>1.06</v>
      </c>
      <c r="AX27" s="10"/>
      <c r="AY27" s="29">
        <v>0.94</v>
      </c>
      <c r="AZ27" s="29">
        <v>0.58</v>
      </c>
      <c r="BA27" s="29"/>
      <c r="BB27" s="29"/>
      <c r="BC27" s="10" t="str">
        <f t="shared" ref="BC27:BC34" si="14">_xludf.CONCAT(AO27,B27,"-4")</f>
        <v>#NAME?</v>
      </c>
      <c r="BD27" s="10">
        <f t="shared" si="10"/>
        <v>6.03</v>
      </c>
      <c r="BE27" s="10">
        <f t="shared" si="11"/>
        <v>1.52</v>
      </c>
    </row>
    <row r="28" ht="15.75" customHeight="1">
      <c r="A28" s="19" t="s">
        <v>113</v>
      </c>
      <c r="B28" s="18" t="s">
        <v>57</v>
      </c>
      <c r="C28" s="18">
        <v>34.5</v>
      </c>
      <c r="D28" s="18">
        <v>34.0</v>
      </c>
      <c r="E28" s="18">
        <v>30.0</v>
      </c>
      <c r="F28" s="18">
        <v>26.5</v>
      </c>
      <c r="G28" s="18">
        <f t="shared" si="1"/>
        <v>31.25</v>
      </c>
      <c r="H28" s="10"/>
      <c r="I28" s="10"/>
      <c r="J28" s="10"/>
      <c r="K28" s="10"/>
      <c r="L28" s="10"/>
      <c r="M28" s="10"/>
      <c r="N28" s="18">
        <v>5.1</v>
      </c>
      <c r="O28" s="18">
        <v>5.57</v>
      </c>
      <c r="P28" s="18">
        <v>5.11</v>
      </c>
      <c r="Q28" s="18">
        <v>3.87</v>
      </c>
      <c r="R28" s="18">
        <f t="shared" si="3"/>
        <v>4.9125</v>
      </c>
      <c r="S28" s="10"/>
      <c r="T28" s="10"/>
      <c r="U28" s="10"/>
      <c r="V28" s="10"/>
      <c r="W28" s="10"/>
      <c r="X28" s="18">
        <v>48.1</v>
      </c>
      <c r="Y28" s="18">
        <v>45.6</v>
      </c>
      <c r="Z28" s="18">
        <v>36.9</v>
      </c>
      <c r="AA28" s="18">
        <v>36.2</v>
      </c>
      <c r="AB28" s="18">
        <f t="shared" si="5"/>
        <v>41.7</v>
      </c>
      <c r="AC28" s="10"/>
      <c r="AD28" s="10"/>
      <c r="AE28" s="10"/>
      <c r="AF28" s="10"/>
      <c r="AG28" s="18">
        <v>3.0</v>
      </c>
      <c r="AH28" s="18">
        <v>3.0</v>
      </c>
      <c r="AI28" s="18">
        <v>1.0</v>
      </c>
      <c r="AJ28" s="18">
        <v>0.0</v>
      </c>
      <c r="AK28" s="18">
        <f t="shared" si="7"/>
        <v>1.75</v>
      </c>
      <c r="AL28" s="10"/>
      <c r="AM28" s="10"/>
      <c r="AN28" s="10"/>
      <c r="AO28" s="10" t="s">
        <v>136</v>
      </c>
      <c r="AP28" s="10">
        <v>8.01</v>
      </c>
      <c r="AQ28" s="10">
        <v>10.14</v>
      </c>
      <c r="AR28" s="10"/>
      <c r="AS28" s="10">
        <v>8.77</v>
      </c>
      <c r="AT28" s="10">
        <v>6.75</v>
      </c>
      <c r="AU28" s="10"/>
      <c r="AV28" s="10">
        <v>1.62</v>
      </c>
      <c r="AW28" s="10">
        <v>2.14</v>
      </c>
      <c r="AX28" s="10"/>
      <c r="AY28" s="29">
        <v>2.0</v>
      </c>
      <c r="AZ28" s="29">
        <v>1.67</v>
      </c>
      <c r="BA28" s="29"/>
      <c r="BB28" s="29"/>
      <c r="BC28" s="10" t="str">
        <f t="shared" si="14"/>
        <v>#NAME?</v>
      </c>
      <c r="BD28" s="10">
        <f t="shared" si="10"/>
        <v>15.52</v>
      </c>
      <c r="BE28" s="10">
        <f t="shared" si="11"/>
        <v>3.67</v>
      </c>
    </row>
    <row r="29" ht="15.75" customHeight="1">
      <c r="A29" s="19" t="s">
        <v>113</v>
      </c>
      <c r="B29" s="18" t="s">
        <v>59</v>
      </c>
      <c r="C29" s="18">
        <v>41.5</v>
      </c>
      <c r="D29" s="18">
        <v>38.0</v>
      </c>
      <c r="E29" s="18">
        <v>44.5</v>
      </c>
      <c r="F29" s="18">
        <v>40.5</v>
      </c>
      <c r="G29" s="18">
        <f t="shared" si="1"/>
        <v>41.125</v>
      </c>
      <c r="H29" s="10"/>
      <c r="I29" s="10"/>
      <c r="J29" s="10"/>
      <c r="K29" s="10"/>
      <c r="L29" s="10"/>
      <c r="M29" s="10"/>
      <c r="N29" s="18">
        <v>4.55</v>
      </c>
      <c r="O29" s="18">
        <v>4.49</v>
      </c>
      <c r="P29" s="18">
        <v>4.68</v>
      </c>
      <c r="Q29" s="18">
        <v>4.4</v>
      </c>
      <c r="R29" s="18">
        <f t="shared" si="3"/>
        <v>4.53</v>
      </c>
      <c r="S29" s="10"/>
      <c r="T29" s="10"/>
      <c r="U29" s="10"/>
      <c r="V29" s="10"/>
      <c r="W29" s="10"/>
      <c r="X29" s="18">
        <v>65.8</v>
      </c>
      <c r="Y29" s="18">
        <v>65.8</v>
      </c>
      <c r="Z29" s="18">
        <v>63.7</v>
      </c>
      <c r="AA29" s="18">
        <v>61.3</v>
      </c>
      <c r="AB29" s="18">
        <f t="shared" si="5"/>
        <v>64.15</v>
      </c>
      <c r="AC29" s="10"/>
      <c r="AD29" s="10"/>
      <c r="AE29" s="10"/>
      <c r="AF29" s="10"/>
      <c r="AG29" s="18">
        <v>4.0</v>
      </c>
      <c r="AH29" s="18">
        <v>3.0</v>
      </c>
      <c r="AI29" s="18">
        <v>4.0</v>
      </c>
      <c r="AJ29" s="18">
        <v>4.0</v>
      </c>
      <c r="AK29" s="18">
        <f t="shared" si="7"/>
        <v>3.75</v>
      </c>
      <c r="AL29" s="10"/>
      <c r="AM29" s="10"/>
      <c r="AN29" s="10"/>
      <c r="AO29" s="10" t="s">
        <v>136</v>
      </c>
      <c r="AP29" s="10">
        <v>25.67</v>
      </c>
      <c r="AQ29" s="10">
        <v>34.93</v>
      </c>
      <c r="AR29" s="10"/>
      <c r="AS29" s="10">
        <v>4.11</v>
      </c>
      <c r="AT29" s="10">
        <v>3.34</v>
      </c>
      <c r="AU29" s="10"/>
      <c r="AV29" s="10">
        <v>5.26</v>
      </c>
      <c r="AW29" s="10">
        <v>7.35</v>
      </c>
      <c r="AX29" s="10"/>
      <c r="AY29" s="29">
        <v>0.8</v>
      </c>
      <c r="AZ29" s="29">
        <v>1.06</v>
      </c>
      <c r="BA29" s="29"/>
      <c r="BB29" s="29"/>
      <c r="BC29" s="10" t="str">
        <f t="shared" si="14"/>
        <v>#NAME?</v>
      </c>
      <c r="BD29" s="10">
        <f t="shared" si="10"/>
        <v>7.45</v>
      </c>
      <c r="BE29" s="10">
        <f t="shared" si="11"/>
        <v>1.86</v>
      </c>
    </row>
    <row r="30" ht="15.75" customHeight="1">
      <c r="A30" s="19" t="s">
        <v>113</v>
      </c>
      <c r="B30" s="18" t="s">
        <v>61</v>
      </c>
      <c r="C30" s="18">
        <v>35.5</v>
      </c>
      <c r="D30" s="18">
        <v>36.0</v>
      </c>
      <c r="E30" s="18">
        <v>44.5</v>
      </c>
      <c r="F30" s="18">
        <v>36.0</v>
      </c>
      <c r="G30" s="18">
        <f t="shared" si="1"/>
        <v>38</v>
      </c>
      <c r="H30" s="10"/>
      <c r="I30" s="10"/>
      <c r="J30" s="10"/>
      <c r="K30" s="10"/>
      <c r="L30" s="10"/>
      <c r="M30" s="10"/>
      <c r="N30" s="18">
        <v>4.86</v>
      </c>
      <c r="O30" s="18">
        <v>4.88</v>
      </c>
      <c r="P30" s="18">
        <v>4.71</v>
      </c>
      <c r="Q30" s="18">
        <v>4.05</v>
      </c>
      <c r="R30" s="18">
        <f t="shared" si="3"/>
        <v>4.625</v>
      </c>
      <c r="S30" s="10"/>
      <c r="T30" s="10"/>
      <c r="U30" s="10"/>
      <c r="V30" s="10"/>
      <c r="W30" s="10"/>
      <c r="X30" s="18">
        <v>50.3</v>
      </c>
      <c r="Y30" s="18">
        <v>59.4</v>
      </c>
      <c r="Z30" s="18">
        <v>60.8</v>
      </c>
      <c r="AA30" s="18">
        <v>54.6</v>
      </c>
      <c r="AB30" s="18">
        <f t="shared" si="5"/>
        <v>56.275</v>
      </c>
      <c r="AC30" s="10"/>
      <c r="AD30" s="10"/>
      <c r="AE30" s="10"/>
      <c r="AF30" s="10"/>
      <c r="AG30" s="18">
        <v>4.0</v>
      </c>
      <c r="AH30" s="18">
        <v>4.0</v>
      </c>
      <c r="AI30" s="18">
        <v>3.0</v>
      </c>
      <c r="AJ30" s="18">
        <v>3.0</v>
      </c>
      <c r="AK30" s="18">
        <f t="shared" si="7"/>
        <v>3.5</v>
      </c>
      <c r="AL30" s="10"/>
      <c r="AM30" s="10"/>
      <c r="AN30" s="10"/>
      <c r="AO30" s="10" t="s">
        <v>136</v>
      </c>
      <c r="AP30" s="10">
        <v>35.19</v>
      </c>
      <c r="AQ30" s="10">
        <v>40.04</v>
      </c>
      <c r="AR30" s="10"/>
      <c r="AS30" s="10">
        <v>3.75</v>
      </c>
      <c r="AT30" s="10">
        <v>4.09</v>
      </c>
      <c r="AU30" s="10"/>
      <c r="AV30" s="10">
        <v>8.35</v>
      </c>
      <c r="AW30" s="10">
        <v>8.05</v>
      </c>
      <c r="AX30" s="10"/>
      <c r="AY30" s="29">
        <v>1.1</v>
      </c>
      <c r="AZ30" s="29">
        <v>1.22</v>
      </c>
      <c r="BA30" s="29"/>
      <c r="BB30" s="29"/>
      <c r="BC30" s="10" t="str">
        <f t="shared" si="14"/>
        <v>#NAME?</v>
      </c>
      <c r="BD30" s="10">
        <f t="shared" si="10"/>
        <v>7.84</v>
      </c>
      <c r="BE30" s="10">
        <f t="shared" si="11"/>
        <v>2.32</v>
      </c>
    </row>
    <row r="31" ht="15.75" customHeight="1">
      <c r="A31" s="19" t="s">
        <v>113</v>
      </c>
      <c r="B31" s="18" t="s">
        <v>62</v>
      </c>
      <c r="C31" s="18">
        <v>38.0</v>
      </c>
      <c r="D31" s="18">
        <v>37.5</v>
      </c>
      <c r="E31" s="18">
        <v>40.5</v>
      </c>
      <c r="F31" s="18">
        <v>39.5</v>
      </c>
      <c r="G31" s="18">
        <f t="shared" si="1"/>
        <v>38.875</v>
      </c>
      <c r="H31" s="10"/>
      <c r="I31" s="10"/>
      <c r="J31" s="10"/>
      <c r="K31" s="10"/>
      <c r="L31" s="10"/>
      <c r="M31" s="10"/>
      <c r="N31" s="18">
        <v>4.61</v>
      </c>
      <c r="O31" s="18">
        <v>4.57</v>
      </c>
      <c r="P31" s="18">
        <v>4.87</v>
      </c>
      <c r="Q31" s="18">
        <v>4.96</v>
      </c>
      <c r="R31" s="18">
        <f t="shared" si="3"/>
        <v>4.7525</v>
      </c>
      <c r="S31" s="10"/>
      <c r="T31" s="10"/>
      <c r="U31" s="10"/>
      <c r="V31" s="10"/>
      <c r="W31" s="10"/>
      <c r="X31" s="18">
        <v>59.2</v>
      </c>
      <c r="Y31" s="18">
        <v>54.1</v>
      </c>
      <c r="Z31" s="18">
        <v>64.0</v>
      </c>
      <c r="AA31" s="18">
        <v>60.7</v>
      </c>
      <c r="AB31" s="18">
        <f t="shared" si="5"/>
        <v>59.5</v>
      </c>
      <c r="AC31" s="10"/>
      <c r="AD31" s="10"/>
      <c r="AE31" s="10"/>
      <c r="AF31" s="10"/>
      <c r="AG31" s="18">
        <v>6.0</v>
      </c>
      <c r="AH31" s="18">
        <v>3.0</v>
      </c>
      <c r="AI31" s="18">
        <v>3.0</v>
      </c>
      <c r="AJ31" s="18">
        <v>3.0</v>
      </c>
      <c r="AK31" s="18">
        <f t="shared" si="7"/>
        <v>3.75</v>
      </c>
      <c r="AL31" s="10"/>
      <c r="AM31" s="10"/>
      <c r="AN31" s="10"/>
      <c r="AO31" s="10" t="s">
        <v>136</v>
      </c>
      <c r="AP31" s="10">
        <v>30.75</v>
      </c>
      <c r="AQ31" s="10">
        <v>35.34</v>
      </c>
      <c r="AR31" s="10"/>
      <c r="AS31" s="10">
        <v>5.05</v>
      </c>
      <c r="AT31" s="10">
        <v>5.7</v>
      </c>
      <c r="AU31" s="10"/>
      <c r="AV31" s="10">
        <v>6.65</v>
      </c>
      <c r="AW31" s="10">
        <v>6.96</v>
      </c>
      <c r="AX31" s="10"/>
      <c r="AY31" s="29">
        <v>1.51</v>
      </c>
      <c r="AZ31" s="29">
        <v>1.44</v>
      </c>
      <c r="BA31" s="29"/>
      <c r="BB31" s="29"/>
      <c r="BC31" s="10" t="str">
        <f t="shared" si="14"/>
        <v>#NAME?</v>
      </c>
      <c r="BD31" s="10">
        <f t="shared" si="10"/>
        <v>10.75</v>
      </c>
      <c r="BE31" s="10">
        <f t="shared" si="11"/>
        <v>2.95</v>
      </c>
    </row>
    <row r="32" ht="15.75" customHeight="1">
      <c r="A32" s="19" t="s">
        <v>113</v>
      </c>
      <c r="B32" s="18" t="s">
        <v>64</v>
      </c>
      <c r="C32" s="18">
        <v>43.0</v>
      </c>
      <c r="D32" s="18">
        <v>40.5</v>
      </c>
      <c r="E32" s="18">
        <v>36.5</v>
      </c>
      <c r="F32" s="18">
        <v>40.5</v>
      </c>
      <c r="G32" s="18">
        <f t="shared" si="1"/>
        <v>40.125</v>
      </c>
      <c r="H32" s="10"/>
      <c r="I32" s="10"/>
      <c r="J32" s="10"/>
      <c r="K32" s="10"/>
      <c r="L32" s="10"/>
      <c r="M32" s="10"/>
      <c r="N32" s="18">
        <v>4.97</v>
      </c>
      <c r="O32" s="18">
        <v>4.1</v>
      </c>
      <c r="P32" s="18">
        <v>3.67</v>
      </c>
      <c r="Q32" s="18">
        <v>4.53</v>
      </c>
      <c r="R32" s="18">
        <f t="shared" si="3"/>
        <v>4.3175</v>
      </c>
      <c r="S32" s="10"/>
      <c r="T32" s="10"/>
      <c r="U32" s="10"/>
      <c r="V32" s="10"/>
      <c r="W32" s="10"/>
      <c r="X32" s="18">
        <v>53.5</v>
      </c>
      <c r="Y32" s="18">
        <v>57.3</v>
      </c>
      <c r="Z32" s="18">
        <v>54.6</v>
      </c>
      <c r="AA32" s="18">
        <v>64.4</v>
      </c>
      <c r="AB32" s="18">
        <f t="shared" si="5"/>
        <v>57.45</v>
      </c>
      <c r="AC32" s="10"/>
      <c r="AD32" s="10"/>
      <c r="AE32" s="10"/>
      <c r="AF32" s="10"/>
      <c r="AG32" s="18">
        <v>6.0</v>
      </c>
      <c r="AH32" s="18">
        <v>3.0</v>
      </c>
      <c r="AI32" s="18">
        <v>0.0</v>
      </c>
      <c r="AJ32" s="18">
        <v>3.0</v>
      </c>
      <c r="AK32" s="18">
        <f t="shared" si="7"/>
        <v>3</v>
      </c>
      <c r="AL32" s="10"/>
      <c r="AM32" s="10"/>
      <c r="AN32" s="10"/>
      <c r="AO32" s="10" t="s">
        <v>136</v>
      </c>
      <c r="AP32" s="10">
        <v>29.24</v>
      </c>
      <c r="AQ32" s="10">
        <v>36.81</v>
      </c>
      <c r="AR32" s="10"/>
      <c r="AS32" s="10">
        <v>3.26</v>
      </c>
      <c r="AT32" s="10">
        <v>3.61</v>
      </c>
      <c r="AU32" s="10"/>
      <c r="AV32" s="10">
        <v>8.14</v>
      </c>
      <c r="AW32" s="10">
        <v>5.42</v>
      </c>
      <c r="AX32" s="10"/>
      <c r="AY32" s="29">
        <v>0.96</v>
      </c>
      <c r="AZ32" s="29">
        <v>0.95</v>
      </c>
      <c r="BA32" s="29"/>
      <c r="BB32" s="29"/>
      <c r="BC32" s="10" t="str">
        <f t="shared" si="14"/>
        <v>#NAME?</v>
      </c>
      <c r="BD32" s="10">
        <f t="shared" si="10"/>
        <v>6.87</v>
      </c>
      <c r="BE32" s="10">
        <f t="shared" si="11"/>
        <v>1.91</v>
      </c>
    </row>
    <row r="33" ht="15.75" customHeight="1">
      <c r="A33" s="19" t="s">
        <v>113</v>
      </c>
      <c r="B33" s="18" t="s">
        <v>66</v>
      </c>
      <c r="C33" s="18">
        <v>44.0</v>
      </c>
      <c r="D33" s="18">
        <v>43.0</v>
      </c>
      <c r="E33" s="18">
        <v>40.0</v>
      </c>
      <c r="F33" s="18">
        <v>45.5</v>
      </c>
      <c r="G33" s="18">
        <f t="shared" si="1"/>
        <v>43.125</v>
      </c>
      <c r="H33" s="10"/>
      <c r="I33" s="10"/>
      <c r="J33" s="10"/>
      <c r="K33" s="10"/>
      <c r="L33" s="10"/>
      <c r="M33" s="10"/>
      <c r="N33" s="18">
        <v>5.66</v>
      </c>
      <c r="O33" s="18">
        <v>5.5</v>
      </c>
      <c r="P33" s="18">
        <v>5.43</v>
      </c>
      <c r="Q33" s="18">
        <v>4.42</v>
      </c>
      <c r="R33" s="18">
        <f t="shared" si="3"/>
        <v>5.2525</v>
      </c>
      <c r="S33" s="10"/>
      <c r="T33" s="10"/>
      <c r="U33" s="10"/>
      <c r="V33" s="10"/>
      <c r="W33" s="10"/>
      <c r="X33" s="18">
        <v>56.9</v>
      </c>
      <c r="Y33" s="18">
        <v>50.2</v>
      </c>
      <c r="Z33" s="18">
        <v>52.0</v>
      </c>
      <c r="AA33" s="18">
        <v>63.2</v>
      </c>
      <c r="AB33" s="18">
        <f t="shared" si="5"/>
        <v>55.575</v>
      </c>
      <c r="AC33" s="10"/>
      <c r="AD33" s="10"/>
      <c r="AE33" s="10"/>
      <c r="AF33" s="10"/>
      <c r="AG33" s="18">
        <v>3.0</v>
      </c>
      <c r="AH33" s="18">
        <v>2.0</v>
      </c>
      <c r="AI33" s="18">
        <v>4.0</v>
      </c>
      <c r="AJ33" s="18">
        <v>4.0</v>
      </c>
      <c r="AK33" s="18">
        <f t="shared" si="7"/>
        <v>3.25</v>
      </c>
      <c r="AL33" s="10"/>
      <c r="AM33" s="10"/>
      <c r="AN33" s="10"/>
      <c r="AO33" s="10" t="s">
        <v>136</v>
      </c>
      <c r="AP33" s="10">
        <v>59.3</v>
      </c>
      <c r="AQ33" s="10">
        <v>55.25</v>
      </c>
      <c r="AR33" s="10"/>
      <c r="AS33" s="10">
        <v>6.93</v>
      </c>
      <c r="AT33" s="10">
        <v>4.77</v>
      </c>
      <c r="AU33" s="10"/>
      <c r="AV33" s="10">
        <v>12.72</v>
      </c>
      <c r="AW33" s="10">
        <v>12.62</v>
      </c>
      <c r="AX33" s="10"/>
      <c r="AY33" s="29">
        <v>1.92</v>
      </c>
      <c r="AZ33" s="29">
        <v>1.41</v>
      </c>
      <c r="BA33" s="29"/>
      <c r="BB33" s="29"/>
      <c r="BC33" s="10" t="str">
        <f t="shared" si="14"/>
        <v>#NAME?</v>
      </c>
      <c r="BD33" s="10">
        <f t="shared" si="10"/>
        <v>11.7</v>
      </c>
      <c r="BE33" s="10">
        <f t="shared" si="11"/>
        <v>3.33</v>
      </c>
    </row>
    <row r="34" ht="15.75" customHeight="1">
      <c r="A34" s="19" t="s">
        <v>113</v>
      </c>
      <c r="B34" s="18" t="s">
        <v>67</v>
      </c>
      <c r="C34" s="18">
        <v>35.0</v>
      </c>
      <c r="D34" s="18">
        <v>38.5</v>
      </c>
      <c r="E34" s="18">
        <v>37.5</v>
      </c>
      <c r="F34" s="18">
        <v>41.0</v>
      </c>
      <c r="G34" s="18">
        <f t="shared" si="1"/>
        <v>38</v>
      </c>
      <c r="H34" s="10"/>
      <c r="I34" s="10"/>
      <c r="J34" s="10"/>
      <c r="K34" s="10"/>
      <c r="L34" s="10"/>
      <c r="M34" s="10"/>
      <c r="N34" s="18">
        <v>4.05</v>
      </c>
      <c r="O34" s="18">
        <v>4.79</v>
      </c>
      <c r="P34" s="18">
        <v>4.34</v>
      </c>
      <c r="Q34" s="18">
        <v>4.71</v>
      </c>
      <c r="R34" s="18">
        <f t="shared" si="3"/>
        <v>4.4725</v>
      </c>
      <c r="S34" s="10"/>
      <c r="T34" s="10"/>
      <c r="U34" s="10"/>
      <c r="V34" s="10"/>
      <c r="W34" s="10"/>
      <c r="X34" s="18">
        <v>55.5</v>
      </c>
      <c r="Y34" s="18">
        <v>49.7</v>
      </c>
      <c r="Z34" s="18">
        <v>46.5</v>
      </c>
      <c r="AA34" s="18">
        <v>55.3</v>
      </c>
      <c r="AB34" s="18">
        <f t="shared" si="5"/>
        <v>51.75</v>
      </c>
      <c r="AC34" s="10"/>
      <c r="AD34" s="10"/>
      <c r="AE34" s="10"/>
      <c r="AF34" s="10"/>
      <c r="AG34" s="18">
        <v>3.0</v>
      </c>
      <c r="AH34" s="18">
        <v>4.0</v>
      </c>
      <c r="AI34" s="18">
        <v>2.0</v>
      </c>
      <c r="AJ34" s="18">
        <v>5.0</v>
      </c>
      <c r="AK34" s="18">
        <f t="shared" si="7"/>
        <v>3.5</v>
      </c>
      <c r="AL34" s="10"/>
      <c r="AM34" s="10"/>
      <c r="AN34" s="10"/>
      <c r="AO34" s="10" t="s">
        <v>136</v>
      </c>
      <c r="AP34" s="10">
        <v>39.16</v>
      </c>
      <c r="AQ34" s="10">
        <v>39.99</v>
      </c>
      <c r="AR34" s="10"/>
      <c r="AS34" s="10">
        <v>3.21</v>
      </c>
      <c r="AT34" s="10">
        <v>4.87</v>
      </c>
      <c r="AU34" s="10"/>
      <c r="AV34" s="10">
        <v>8.81</v>
      </c>
      <c r="AW34" s="10">
        <v>8.74</v>
      </c>
      <c r="AX34" s="10"/>
      <c r="AY34" s="29">
        <v>1.47</v>
      </c>
      <c r="AZ34" s="29">
        <v>0.92</v>
      </c>
      <c r="BA34" s="29"/>
      <c r="BB34" s="29"/>
      <c r="BC34" s="10" t="str">
        <f t="shared" si="14"/>
        <v>#NAME?</v>
      </c>
      <c r="BD34" s="10">
        <f t="shared" si="10"/>
        <v>8.08</v>
      </c>
      <c r="BE34" s="10">
        <f t="shared" si="11"/>
        <v>2.39</v>
      </c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29"/>
      <c r="AZ35" s="29"/>
      <c r="BA35" s="29"/>
      <c r="BB35" s="29"/>
      <c r="BC35" s="10"/>
      <c r="BD35" s="10"/>
      <c r="BE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29"/>
      <c r="AZ36" s="29"/>
      <c r="BA36" s="29"/>
      <c r="BB36" s="29"/>
      <c r="BC36" s="10"/>
      <c r="BD36" s="10"/>
      <c r="BE36" s="10"/>
    </row>
    <row r="37" ht="15.75" customHeight="1">
      <c r="A37" s="10" t="s">
        <v>137</v>
      </c>
      <c r="B37" s="17">
        <v>45881.0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29"/>
      <c r="AZ37" s="29"/>
      <c r="BA37" s="29"/>
      <c r="BB37" s="29"/>
      <c r="BC37" s="10"/>
      <c r="BD37" s="10"/>
      <c r="BE37" s="10"/>
    </row>
    <row r="38" ht="15.75" customHeight="1">
      <c r="A38" s="18" t="s">
        <v>84</v>
      </c>
      <c r="B38" s="18" t="s">
        <v>85</v>
      </c>
      <c r="C38" s="10" t="s">
        <v>86</v>
      </c>
      <c r="D38" s="10" t="s">
        <v>87</v>
      </c>
      <c r="E38" s="10" t="s">
        <v>88</v>
      </c>
      <c r="F38" s="10" t="s">
        <v>89</v>
      </c>
      <c r="G38" s="10" t="s">
        <v>90</v>
      </c>
      <c r="H38" s="10"/>
      <c r="I38" s="10"/>
      <c r="J38" s="10"/>
      <c r="K38" s="10"/>
      <c r="L38" s="10"/>
      <c r="M38" s="10"/>
      <c r="N38" s="10" t="s">
        <v>86</v>
      </c>
      <c r="O38" s="10" t="s">
        <v>87</v>
      </c>
      <c r="P38" s="10" t="s">
        <v>88</v>
      </c>
      <c r="Q38" s="10" t="s">
        <v>89</v>
      </c>
      <c r="R38" s="10" t="s">
        <v>90</v>
      </c>
      <c r="S38" s="10"/>
      <c r="T38" s="10"/>
      <c r="U38" s="10"/>
      <c r="V38" s="10"/>
      <c r="W38" s="10"/>
      <c r="X38" s="10" t="s">
        <v>86</v>
      </c>
      <c r="Y38" s="10" t="s">
        <v>87</v>
      </c>
      <c r="Z38" s="10" t="s">
        <v>88</v>
      </c>
      <c r="AA38" s="10" t="s">
        <v>89</v>
      </c>
      <c r="AB38" s="10" t="s">
        <v>90</v>
      </c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29"/>
      <c r="AZ38" s="29"/>
      <c r="BA38" s="29"/>
      <c r="BB38" s="29"/>
      <c r="BC38" s="10"/>
      <c r="BD38" s="10"/>
      <c r="BE38" s="10"/>
    </row>
    <row r="39" ht="15.75" customHeight="1">
      <c r="A39" s="19" t="s">
        <v>94</v>
      </c>
      <c r="B39" s="18" t="s">
        <v>53</v>
      </c>
      <c r="C39" s="30">
        <v>36.0</v>
      </c>
      <c r="D39" s="30">
        <v>35.5</v>
      </c>
      <c r="E39" s="30">
        <v>32.5</v>
      </c>
      <c r="F39" s="30">
        <v>30.5</v>
      </c>
      <c r="G39" s="30">
        <f t="shared" ref="G39:G70" si="15">(AVERAGE(C39:F39))</f>
        <v>33.625</v>
      </c>
      <c r="H39" s="10"/>
      <c r="I39" s="10"/>
      <c r="J39" s="10"/>
      <c r="K39" s="10"/>
      <c r="L39" s="10"/>
      <c r="M39" s="10"/>
      <c r="N39" s="30">
        <v>4.86</v>
      </c>
      <c r="O39" s="30">
        <v>4.58</v>
      </c>
      <c r="P39" s="30">
        <v>4.96</v>
      </c>
      <c r="Q39" s="30">
        <v>4.21</v>
      </c>
      <c r="R39" s="30">
        <f t="shared" ref="R39:R70" si="16">(AVERAGE(N39:Q39))</f>
        <v>4.6525</v>
      </c>
      <c r="S39" s="10"/>
      <c r="T39" s="10"/>
      <c r="U39" s="10"/>
      <c r="V39" s="10"/>
      <c r="W39" s="10"/>
      <c r="X39" s="30">
        <v>30.6</v>
      </c>
      <c r="Y39" s="30">
        <v>31.5</v>
      </c>
      <c r="Z39" s="30">
        <v>24.8</v>
      </c>
      <c r="AA39" s="30">
        <v>27.9</v>
      </c>
      <c r="AB39" s="30">
        <f t="shared" ref="AB39:AB70" si="17">(AVERAGE(X39:AA39))</f>
        <v>28.7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29"/>
      <c r="AZ39" s="29"/>
      <c r="BA39" s="29"/>
      <c r="BB39" s="29"/>
      <c r="BC39" s="10"/>
      <c r="BD39" s="10"/>
      <c r="BE39" s="10"/>
    </row>
    <row r="40" ht="15.75" customHeight="1">
      <c r="A40" s="19" t="s">
        <v>94</v>
      </c>
      <c r="B40" s="18" t="s">
        <v>57</v>
      </c>
      <c r="C40" s="30">
        <v>23.5</v>
      </c>
      <c r="D40" s="30">
        <v>46.0</v>
      </c>
      <c r="E40" s="30">
        <v>38.5</v>
      </c>
      <c r="F40" s="30">
        <v>42.5</v>
      </c>
      <c r="G40" s="30">
        <f t="shared" si="15"/>
        <v>37.625</v>
      </c>
      <c r="H40" s="10"/>
      <c r="I40" s="10"/>
      <c r="J40" s="10"/>
      <c r="K40" s="10"/>
      <c r="L40" s="10"/>
      <c r="M40" s="10"/>
      <c r="N40" s="30">
        <v>4.33</v>
      </c>
      <c r="O40" s="30">
        <v>4.6</v>
      </c>
      <c r="P40" s="30">
        <v>5.36</v>
      </c>
      <c r="Q40" s="30">
        <v>4.61</v>
      </c>
      <c r="R40" s="30">
        <f t="shared" si="16"/>
        <v>4.725</v>
      </c>
      <c r="S40" s="10"/>
      <c r="T40" s="10"/>
      <c r="U40" s="10"/>
      <c r="V40" s="10"/>
      <c r="W40" s="10"/>
      <c r="X40" s="30">
        <v>28.2</v>
      </c>
      <c r="Y40" s="30">
        <v>37.5</v>
      </c>
      <c r="Z40" s="30">
        <v>35.2</v>
      </c>
      <c r="AA40" s="30">
        <v>42.6</v>
      </c>
      <c r="AB40" s="30">
        <f t="shared" si="17"/>
        <v>35.875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29"/>
      <c r="AZ40" s="29"/>
      <c r="BA40" s="29"/>
      <c r="BB40" s="29"/>
      <c r="BC40" s="10"/>
      <c r="BD40" s="10"/>
      <c r="BE40" s="10"/>
    </row>
    <row r="41" ht="15.75" customHeight="1">
      <c r="A41" s="19" t="s">
        <v>94</v>
      </c>
      <c r="B41" s="18" t="s">
        <v>59</v>
      </c>
      <c r="C41" s="30">
        <v>57.5</v>
      </c>
      <c r="D41" s="30">
        <v>55.5</v>
      </c>
      <c r="E41" s="30">
        <v>55.5</v>
      </c>
      <c r="F41" s="30">
        <v>61.0</v>
      </c>
      <c r="G41" s="30">
        <f t="shared" si="15"/>
        <v>57.375</v>
      </c>
      <c r="H41" s="10"/>
      <c r="I41" s="10"/>
      <c r="J41" s="10"/>
      <c r="K41" s="10"/>
      <c r="L41" s="10"/>
      <c r="M41" s="10"/>
      <c r="N41" s="30">
        <v>4.94</v>
      </c>
      <c r="O41" s="30">
        <v>5.11</v>
      </c>
      <c r="P41" s="30">
        <v>5.37</v>
      </c>
      <c r="Q41" s="30">
        <v>5.77</v>
      </c>
      <c r="R41" s="30">
        <f t="shared" si="16"/>
        <v>5.2975</v>
      </c>
      <c r="S41" s="10"/>
      <c r="T41" s="10"/>
      <c r="U41" s="10"/>
      <c r="V41" s="10"/>
      <c r="W41" s="10"/>
      <c r="X41" s="30">
        <v>66.0</v>
      </c>
      <c r="Y41" s="30">
        <v>66.9</v>
      </c>
      <c r="Z41" s="30">
        <v>65.8</v>
      </c>
      <c r="AA41" s="30">
        <v>59.7</v>
      </c>
      <c r="AB41" s="30">
        <f t="shared" si="17"/>
        <v>64.6</v>
      </c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29"/>
      <c r="AZ41" s="29"/>
      <c r="BA41" s="29"/>
      <c r="BB41" s="29"/>
      <c r="BC41" s="10"/>
      <c r="BD41" s="10"/>
      <c r="BE41" s="10"/>
    </row>
    <row r="42" ht="15.75" customHeight="1">
      <c r="A42" s="19" t="s">
        <v>94</v>
      </c>
      <c r="B42" s="18" t="s">
        <v>61</v>
      </c>
      <c r="C42" s="30">
        <v>55.5</v>
      </c>
      <c r="D42" s="30">
        <v>57.5</v>
      </c>
      <c r="E42" s="30">
        <v>58.0</v>
      </c>
      <c r="F42" s="30">
        <v>58.5</v>
      </c>
      <c r="G42" s="30">
        <f t="shared" si="15"/>
        <v>57.375</v>
      </c>
      <c r="H42" s="10"/>
      <c r="I42" s="10"/>
      <c r="J42" s="10"/>
      <c r="K42" s="10"/>
      <c r="L42" s="10"/>
      <c r="M42" s="10"/>
      <c r="N42" s="30">
        <v>5.65</v>
      </c>
      <c r="O42" s="30">
        <v>5.67</v>
      </c>
      <c r="P42" s="30">
        <v>4.91</v>
      </c>
      <c r="Q42" s="30">
        <v>5.53</v>
      </c>
      <c r="R42" s="30">
        <f t="shared" si="16"/>
        <v>5.44</v>
      </c>
      <c r="S42" s="10"/>
      <c r="T42" s="10"/>
      <c r="U42" s="10"/>
      <c r="V42" s="10"/>
      <c r="W42" s="10"/>
      <c r="X42" s="30">
        <v>64.0</v>
      </c>
      <c r="Y42" s="30">
        <v>65.0</v>
      </c>
      <c r="Z42" s="30">
        <v>51.6</v>
      </c>
      <c r="AA42" s="30">
        <v>64.1</v>
      </c>
      <c r="AB42" s="30">
        <f t="shared" si="17"/>
        <v>61.175</v>
      </c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29"/>
      <c r="AZ42" s="29"/>
      <c r="BA42" s="29"/>
      <c r="BB42" s="29"/>
      <c r="BC42" s="10"/>
      <c r="BD42" s="10"/>
      <c r="BE42" s="10"/>
    </row>
    <row r="43" ht="15.75" customHeight="1">
      <c r="A43" s="19" t="s">
        <v>94</v>
      </c>
      <c r="B43" s="18" t="s">
        <v>62</v>
      </c>
      <c r="C43" s="30">
        <v>58.0</v>
      </c>
      <c r="D43" s="30">
        <v>53.5</v>
      </c>
      <c r="E43" s="30">
        <v>60.5</v>
      </c>
      <c r="F43" s="30">
        <v>59.0</v>
      </c>
      <c r="G43" s="30">
        <f t="shared" si="15"/>
        <v>57.75</v>
      </c>
      <c r="H43" s="10"/>
      <c r="I43" s="10"/>
      <c r="J43" s="10"/>
      <c r="K43" s="10"/>
      <c r="L43" s="10"/>
      <c r="M43" s="10"/>
      <c r="N43" s="30">
        <v>5.7</v>
      </c>
      <c r="O43" s="30">
        <v>4.53</v>
      </c>
      <c r="P43" s="30">
        <v>5.49</v>
      </c>
      <c r="Q43" s="30">
        <v>5.73</v>
      </c>
      <c r="R43" s="30">
        <f t="shared" si="16"/>
        <v>5.3625</v>
      </c>
      <c r="S43" s="10"/>
      <c r="T43" s="10"/>
      <c r="U43" s="10"/>
      <c r="V43" s="10"/>
      <c r="W43" s="10"/>
      <c r="X43" s="30">
        <v>53.7</v>
      </c>
      <c r="Y43" s="30">
        <v>54.4</v>
      </c>
      <c r="Z43" s="30">
        <v>54.4</v>
      </c>
      <c r="AA43" s="30">
        <v>50.4</v>
      </c>
      <c r="AB43" s="30">
        <f t="shared" si="17"/>
        <v>53.225</v>
      </c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29"/>
      <c r="AZ43" s="29"/>
      <c r="BA43" s="29"/>
      <c r="BB43" s="29"/>
      <c r="BC43" s="10"/>
      <c r="BD43" s="10"/>
      <c r="BE43" s="10"/>
    </row>
    <row r="44" ht="15.75" customHeight="1">
      <c r="A44" s="19" t="s">
        <v>94</v>
      </c>
      <c r="B44" s="18" t="s">
        <v>64</v>
      </c>
      <c r="C44" s="30">
        <v>62.5</v>
      </c>
      <c r="D44" s="30">
        <v>67.5</v>
      </c>
      <c r="E44" s="30">
        <v>62.5</v>
      </c>
      <c r="F44" s="30">
        <v>53.5</v>
      </c>
      <c r="G44" s="30">
        <f t="shared" si="15"/>
        <v>61.5</v>
      </c>
      <c r="H44" s="10"/>
      <c r="I44" s="10"/>
      <c r="J44" s="10"/>
      <c r="K44" s="10"/>
      <c r="L44" s="10"/>
      <c r="M44" s="10"/>
      <c r="N44" s="30">
        <v>5.5</v>
      </c>
      <c r="O44" s="30">
        <v>5.9</v>
      </c>
      <c r="P44" s="30">
        <v>5.11</v>
      </c>
      <c r="Q44" s="30">
        <v>5.35</v>
      </c>
      <c r="R44" s="30">
        <f t="shared" si="16"/>
        <v>5.465</v>
      </c>
      <c r="S44" s="10"/>
      <c r="T44" s="10"/>
      <c r="U44" s="10"/>
      <c r="V44" s="10"/>
      <c r="W44" s="10"/>
      <c r="X44" s="30">
        <v>52.4</v>
      </c>
      <c r="Y44" s="30">
        <v>52.7</v>
      </c>
      <c r="Z44" s="30">
        <v>52.6</v>
      </c>
      <c r="AA44" s="30">
        <v>56.0</v>
      </c>
      <c r="AB44" s="30">
        <f t="shared" si="17"/>
        <v>53.425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29"/>
      <c r="AZ44" s="29"/>
      <c r="BA44" s="29"/>
      <c r="BB44" s="29"/>
      <c r="BC44" s="10"/>
      <c r="BD44" s="10"/>
      <c r="BE44" s="10"/>
    </row>
    <row r="45" ht="15.75" customHeight="1">
      <c r="A45" s="19" t="s">
        <v>94</v>
      </c>
      <c r="B45" s="18" t="s">
        <v>66</v>
      </c>
      <c r="C45" s="30">
        <v>61.0</v>
      </c>
      <c r="D45" s="30">
        <v>66.5</v>
      </c>
      <c r="E45" s="30">
        <v>61.0</v>
      </c>
      <c r="F45" s="30">
        <v>67.0</v>
      </c>
      <c r="G45" s="30">
        <f t="shared" si="15"/>
        <v>63.875</v>
      </c>
      <c r="H45" s="10"/>
      <c r="I45" s="10"/>
      <c r="J45" s="10"/>
      <c r="K45" s="10"/>
      <c r="L45" s="10"/>
      <c r="M45" s="10"/>
      <c r="N45" s="30">
        <v>5.91</v>
      </c>
      <c r="O45" s="30">
        <v>5.88</v>
      </c>
      <c r="P45" s="30">
        <v>5.94</v>
      </c>
      <c r="Q45" s="30">
        <v>5.32</v>
      </c>
      <c r="R45" s="30">
        <f t="shared" si="16"/>
        <v>5.7625</v>
      </c>
      <c r="S45" s="10"/>
      <c r="T45" s="10"/>
      <c r="U45" s="10"/>
      <c r="V45" s="10"/>
      <c r="W45" s="10"/>
      <c r="X45" s="30">
        <v>52.0</v>
      </c>
      <c r="Y45" s="30">
        <v>49.6</v>
      </c>
      <c r="Z45" s="30">
        <v>53.1</v>
      </c>
      <c r="AA45" s="30">
        <v>55.8</v>
      </c>
      <c r="AB45" s="30">
        <f t="shared" si="17"/>
        <v>52.625</v>
      </c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29"/>
      <c r="AZ45" s="29"/>
      <c r="BA45" s="29"/>
      <c r="BB45" s="29"/>
      <c r="BC45" s="10"/>
      <c r="BD45" s="10"/>
      <c r="BE45" s="10"/>
    </row>
    <row r="46" ht="15.75" customHeight="1">
      <c r="A46" s="19" t="s">
        <v>94</v>
      </c>
      <c r="B46" s="18" t="s">
        <v>67</v>
      </c>
      <c r="C46" s="30">
        <v>56.5</v>
      </c>
      <c r="D46" s="30">
        <v>62.5</v>
      </c>
      <c r="E46" s="30">
        <v>64.0</v>
      </c>
      <c r="F46" s="30">
        <v>64.0</v>
      </c>
      <c r="G46" s="30">
        <f t="shared" si="15"/>
        <v>61.75</v>
      </c>
      <c r="H46" s="10"/>
      <c r="I46" s="10"/>
      <c r="J46" s="10"/>
      <c r="K46" s="10"/>
      <c r="L46" s="10"/>
      <c r="M46" s="10"/>
      <c r="N46" s="30">
        <v>4.7</v>
      </c>
      <c r="O46" s="30">
        <v>6.38</v>
      </c>
      <c r="P46" s="30">
        <v>6.1</v>
      </c>
      <c r="Q46" s="30">
        <v>6.17</v>
      </c>
      <c r="R46" s="30">
        <f t="shared" si="16"/>
        <v>5.8375</v>
      </c>
      <c r="S46" s="10"/>
      <c r="T46" s="10"/>
      <c r="U46" s="10"/>
      <c r="V46" s="10"/>
      <c r="W46" s="10"/>
      <c r="X46" s="30">
        <v>56.4</v>
      </c>
      <c r="Y46" s="30">
        <v>57.9</v>
      </c>
      <c r="Z46" s="30">
        <v>68.8</v>
      </c>
      <c r="AA46" s="30">
        <v>52.3</v>
      </c>
      <c r="AB46" s="30">
        <f t="shared" si="17"/>
        <v>58.85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29"/>
      <c r="AZ46" s="29"/>
      <c r="BA46" s="29"/>
      <c r="BB46" s="29"/>
      <c r="BC46" s="10"/>
      <c r="BD46" s="10"/>
      <c r="BE46" s="10"/>
    </row>
    <row r="47" ht="15.75" customHeight="1">
      <c r="A47" s="19" t="s">
        <v>111</v>
      </c>
      <c r="B47" s="18" t="s">
        <v>53</v>
      </c>
      <c r="C47" s="30">
        <v>33.5</v>
      </c>
      <c r="D47" s="30">
        <v>34.5</v>
      </c>
      <c r="E47" s="30">
        <v>32.5</v>
      </c>
      <c r="F47" s="30">
        <v>30.5</v>
      </c>
      <c r="G47" s="30">
        <f t="shared" si="15"/>
        <v>32.75</v>
      </c>
      <c r="H47" s="10"/>
      <c r="I47" s="10"/>
      <c r="J47" s="10"/>
      <c r="K47" s="10"/>
      <c r="L47" s="10"/>
      <c r="M47" s="10"/>
      <c r="N47" s="30">
        <v>4.29</v>
      </c>
      <c r="O47" s="30">
        <v>3.9</v>
      </c>
      <c r="P47" s="30">
        <v>4.33</v>
      </c>
      <c r="Q47" s="30">
        <v>3.94</v>
      </c>
      <c r="R47" s="30">
        <f t="shared" si="16"/>
        <v>4.115</v>
      </c>
      <c r="S47" s="10"/>
      <c r="T47" s="10"/>
      <c r="U47" s="10"/>
      <c r="V47" s="10"/>
      <c r="W47" s="10"/>
      <c r="X47" s="30">
        <v>29.9</v>
      </c>
      <c r="Y47" s="30">
        <v>22.1</v>
      </c>
      <c r="Z47" s="30">
        <v>34.5</v>
      </c>
      <c r="AA47" s="30">
        <v>27.1</v>
      </c>
      <c r="AB47" s="30">
        <f t="shared" si="17"/>
        <v>28.4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29"/>
      <c r="AZ47" s="29"/>
      <c r="BA47" s="29"/>
      <c r="BB47" s="29"/>
      <c r="BC47" s="10"/>
      <c r="BD47" s="10"/>
      <c r="BE47" s="10"/>
    </row>
    <row r="48" ht="15.75" customHeight="1">
      <c r="A48" s="19" t="s">
        <v>111</v>
      </c>
      <c r="B48" s="18" t="s">
        <v>57</v>
      </c>
      <c r="C48" s="30">
        <v>35.5</v>
      </c>
      <c r="D48" s="30">
        <v>34.5</v>
      </c>
      <c r="E48" s="30">
        <v>41.5</v>
      </c>
      <c r="F48" s="30">
        <v>42.0</v>
      </c>
      <c r="G48" s="30">
        <f t="shared" si="15"/>
        <v>38.375</v>
      </c>
      <c r="H48" s="10"/>
      <c r="I48" s="10"/>
      <c r="J48" s="10"/>
      <c r="K48" s="10"/>
      <c r="L48" s="10"/>
      <c r="M48" s="10"/>
      <c r="N48" s="30">
        <v>4.67</v>
      </c>
      <c r="O48" s="30">
        <v>4.61</v>
      </c>
      <c r="P48" s="30">
        <v>4.89</v>
      </c>
      <c r="Q48" s="30">
        <v>4.67</v>
      </c>
      <c r="R48" s="30">
        <f t="shared" si="16"/>
        <v>4.71</v>
      </c>
      <c r="S48" s="10"/>
      <c r="T48" s="10"/>
      <c r="U48" s="10"/>
      <c r="V48" s="10"/>
      <c r="W48" s="10"/>
      <c r="X48" s="30">
        <v>33.2</v>
      </c>
      <c r="Y48" s="10">
        <v>43.6</v>
      </c>
      <c r="Z48" s="30">
        <v>40.8</v>
      </c>
      <c r="AA48" s="30">
        <v>40.6</v>
      </c>
      <c r="AB48" s="30">
        <f t="shared" si="17"/>
        <v>39.55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29"/>
      <c r="AZ48" s="29"/>
      <c r="BA48" s="29"/>
      <c r="BB48" s="29"/>
      <c r="BC48" s="10"/>
      <c r="BD48" s="10"/>
      <c r="BE48" s="10"/>
    </row>
    <row r="49" ht="15.75" customHeight="1">
      <c r="A49" s="19" t="s">
        <v>111</v>
      </c>
      <c r="B49" s="18" t="s">
        <v>59</v>
      </c>
      <c r="C49" s="30">
        <v>55.5</v>
      </c>
      <c r="D49" s="30">
        <v>56.5</v>
      </c>
      <c r="E49" s="30">
        <v>48.5</v>
      </c>
      <c r="F49" s="30">
        <v>60.0</v>
      </c>
      <c r="G49" s="30">
        <f t="shared" si="15"/>
        <v>55.125</v>
      </c>
      <c r="H49" s="10"/>
      <c r="I49" s="10"/>
      <c r="J49" s="10"/>
      <c r="K49" s="10"/>
      <c r="L49" s="10"/>
      <c r="M49" s="10"/>
      <c r="N49" s="30">
        <v>5.17</v>
      </c>
      <c r="O49" s="30">
        <v>5.59</v>
      </c>
      <c r="P49" s="30">
        <v>5.05</v>
      </c>
      <c r="Q49" s="30">
        <v>5.36</v>
      </c>
      <c r="R49" s="30">
        <f t="shared" si="16"/>
        <v>5.2925</v>
      </c>
      <c r="S49" s="10"/>
      <c r="T49" s="10"/>
      <c r="U49" s="10"/>
      <c r="V49" s="10"/>
      <c r="W49" s="10"/>
      <c r="X49" s="30">
        <v>51.9</v>
      </c>
      <c r="Y49" s="30">
        <v>43.6</v>
      </c>
      <c r="Z49" s="30">
        <v>43.8</v>
      </c>
      <c r="AA49" s="30">
        <v>51.8</v>
      </c>
      <c r="AB49" s="30">
        <f t="shared" si="17"/>
        <v>47.775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29"/>
      <c r="AZ49" s="29"/>
      <c r="BA49" s="29"/>
      <c r="BB49" s="29"/>
      <c r="BC49" s="10"/>
      <c r="BD49" s="10"/>
      <c r="BE49" s="10"/>
    </row>
    <row r="50" ht="15.75" customHeight="1">
      <c r="A50" s="19" t="s">
        <v>111</v>
      </c>
      <c r="B50" s="18" t="s">
        <v>61</v>
      </c>
      <c r="C50" s="30">
        <v>60.5</v>
      </c>
      <c r="D50" s="30">
        <v>55.0</v>
      </c>
      <c r="E50" s="30">
        <v>57.0</v>
      </c>
      <c r="F50" s="30">
        <v>67.5</v>
      </c>
      <c r="G50" s="30">
        <f t="shared" si="15"/>
        <v>60</v>
      </c>
      <c r="H50" s="10"/>
      <c r="I50" s="10"/>
      <c r="J50" s="10"/>
      <c r="K50" s="10"/>
      <c r="L50" s="10"/>
      <c r="M50" s="10"/>
      <c r="N50" s="30">
        <v>5.52</v>
      </c>
      <c r="O50" s="30">
        <v>5.16</v>
      </c>
      <c r="P50" s="30">
        <v>5.03</v>
      </c>
      <c r="Q50" s="30">
        <v>5.15</v>
      </c>
      <c r="R50" s="30">
        <f t="shared" si="16"/>
        <v>5.215</v>
      </c>
      <c r="S50" s="10"/>
      <c r="T50" s="10"/>
      <c r="U50" s="10"/>
      <c r="V50" s="10"/>
      <c r="W50" s="10"/>
      <c r="X50" s="30">
        <v>51.1</v>
      </c>
      <c r="Y50" s="30">
        <v>55.4</v>
      </c>
      <c r="Z50" s="30">
        <v>50.8</v>
      </c>
      <c r="AA50" s="30">
        <v>57.4</v>
      </c>
      <c r="AB50" s="30">
        <f t="shared" si="17"/>
        <v>53.675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29"/>
      <c r="AZ50" s="29"/>
      <c r="BA50" s="29"/>
      <c r="BB50" s="29"/>
      <c r="BC50" s="10"/>
      <c r="BD50" s="10"/>
      <c r="BE50" s="10"/>
    </row>
    <row r="51" ht="15.75" customHeight="1">
      <c r="A51" s="19" t="s">
        <v>111</v>
      </c>
      <c r="B51" s="18" t="s">
        <v>62</v>
      </c>
      <c r="C51" s="30">
        <v>64.0</v>
      </c>
      <c r="D51" s="30">
        <v>56.0</v>
      </c>
      <c r="E51" s="30">
        <v>56.0</v>
      </c>
      <c r="F51" s="30">
        <v>63.0</v>
      </c>
      <c r="G51" s="30">
        <f t="shared" si="15"/>
        <v>59.75</v>
      </c>
      <c r="H51" s="10"/>
      <c r="I51" s="10"/>
      <c r="J51" s="10"/>
      <c r="K51" s="10"/>
      <c r="L51" s="10"/>
      <c r="M51" s="10"/>
      <c r="N51" s="30">
        <v>4.88</v>
      </c>
      <c r="O51" s="30">
        <v>5.22</v>
      </c>
      <c r="P51" s="30">
        <v>5.88</v>
      </c>
      <c r="Q51" s="30">
        <v>6.11</v>
      </c>
      <c r="R51" s="30">
        <f t="shared" si="16"/>
        <v>5.5225</v>
      </c>
      <c r="S51" s="10"/>
      <c r="T51" s="10"/>
      <c r="U51" s="10"/>
      <c r="V51" s="10"/>
      <c r="W51" s="10"/>
      <c r="X51" s="30">
        <v>53.8</v>
      </c>
      <c r="Y51" s="30">
        <v>57.5</v>
      </c>
      <c r="Z51" s="30">
        <v>52.6</v>
      </c>
      <c r="AA51" s="30">
        <v>59.4</v>
      </c>
      <c r="AB51" s="30">
        <f t="shared" si="17"/>
        <v>55.825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29"/>
      <c r="AZ51" s="29"/>
      <c r="BA51" s="29"/>
      <c r="BB51" s="29"/>
      <c r="BC51" s="10"/>
      <c r="BD51" s="10"/>
      <c r="BE51" s="10"/>
    </row>
    <row r="52" ht="15.75" customHeight="1">
      <c r="A52" s="19" t="s">
        <v>111</v>
      </c>
      <c r="B52" s="18" t="s">
        <v>64</v>
      </c>
      <c r="C52" s="30">
        <v>56.0</v>
      </c>
      <c r="D52" s="30">
        <v>51.5</v>
      </c>
      <c r="E52" s="30">
        <v>67.5</v>
      </c>
      <c r="F52" s="30">
        <v>58.0</v>
      </c>
      <c r="G52" s="30">
        <f t="shared" si="15"/>
        <v>58.25</v>
      </c>
      <c r="H52" s="10"/>
      <c r="I52" s="10"/>
      <c r="J52" s="10"/>
      <c r="K52" s="10"/>
      <c r="L52" s="10"/>
      <c r="M52" s="10"/>
      <c r="N52" s="30">
        <v>5.5</v>
      </c>
      <c r="O52" s="30">
        <v>5.02</v>
      </c>
      <c r="P52" s="30">
        <v>4.95</v>
      </c>
      <c r="Q52" s="30">
        <v>5.41</v>
      </c>
      <c r="R52" s="30">
        <f t="shared" si="16"/>
        <v>5.22</v>
      </c>
      <c r="S52" s="10"/>
      <c r="T52" s="10"/>
      <c r="U52" s="10"/>
      <c r="V52" s="10"/>
      <c r="W52" s="10"/>
      <c r="X52" s="30">
        <v>51.2</v>
      </c>
      <c r="Y52" s="30">
        <v>53.0</v>
      </c>
      <c r="Z52" s="30">
        <v>52.9</v>
      </c>
      <c r="AA52" s="30">
        <v>51.8</v>
      </c>
      <c r="AB52" s="30">
        <f t="shared" si="17"/>
        <v>52.225</v>
      </c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29"/>
      <c r="AZ52" s="29"/>
      <c r="BA52" s="29"/>
      <c r="BB52" s="29"/>
      <c r="BC52" s="10"/>
      <c r="BD52" s="10"/>
      <c r="BE52" s="10"/>
    </row>
    <row r="53" ht="15.75" customHeight="1">
      <c r="A53" s="19" t="s">
        <v>111</v>
      </c>
      <c r="B53" s="18" t="s">
        <v>66</v>
      </c>
      <c r="C53" s="30">
        <v>64.5</v>
      </c>
      <c r="D53" s="30">
        <v>62.0</v>
      </c>
      <c r="E53" s="30">
        <v>59.0</v>
      </c>
      <c r="F53" s="30">
        <v>58.0</v>
      </c>
      <c r="G53" s="30">
        <f t="shared" si="15"/>
        <v>60.875</v>
      </c>
      <c r="H53" s="10"/>
      <c r="I53" s="10"/>
      <c r="J53" s="10"/>
      <c r="K53" s="10"/>
      <c r="L53" s="10"/>
      <c r="M53" s="10"/>
      <c r="N53" s="30">
        <v>5.99</v>
      </c>
      <c r="O53" s="30">
        <v>6.78</v>
      </c>
      <c r="P53" s="30">
        <v>6.2</v>
      </c>
      <c r="Q53" s="30">
        <v>6.82</v>
      </c>
      <c r="R53" s="30">
        <f t="shared" si="16"/>
        <v>6.4475</v>
      </c>
      <c r="S53" s="10"/>
      <c r="T53" s="10"/>
      <c r="U53" s="10"/>
      <c r="V53" s="10"/>
      <c r="W53" s="10"/>
      <c r="X53" s="30">
        <v>50.4</v>
      </c>
      <c r="Y53" s="30">
        <v>56.2</v>
      </c>
      <c r="Z53" s="30">
        <v>53.7</v>
      </c>
      <c r="AA53" s="30">
        <v>57.1</v>
      </c>
      <c r="AB53" s="30">
        <f t="shared" si="17"/>
        <v>54.35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29"/>
      <c r="AZ53" s="29"/>
      <c r="BA53" s="29"/>
      <c r="BB53" s="29"/>
      <c r="BC53" s="10"/>
      <c r="BD53" s="10"/>
      <c r="BE53" s="10"/>
    </row>
    <row r="54" ht="15.75" customHeight="1">
      <c r="A54" s="19" t="s">
        <v>111</v>
      </c>
      <c r="B54" s="18" t="s">
        <v>67</v>
      </c>
      <c r="C54" s="30">
        <v>52.5</v>
      </c>
      <c r="D54" s="30">
        <v>62.5</v>
      </c>
      <c r="E54" s="30">
        <v>64.5</v>
      </c>
      <c r="F54" s="30">
        <v>59.5</v>
      </c>
      <c r="G54" s="30">
        <f t="shared" si="15"/>
        <v>59.75</v>
      </c>
      <c r="H54" s="10"/>
      <c r="I54" s="10"/>
      <c r="J54" s="10"/>
      <c r="K54" s="10"/>
      <c r="L54" s="10"/>
      <c r="M54" s="10"/>
      <c r="N54" s="30">
        <v>5.72</v>
      </c>
      <c r="O54" s="30">
        <v>5.85</v>
      </c>
      <c r="P54" s="30">
        <v>5.71</v>
      </c>
      <c r="Q54" s="30">
        <v>5.52</v>
      </c>
      <c r="R54" s="30">
        <f t="shared" si="16"/>
        <v>5.7</v>
      </c>
      <c r="S54" s="10"/>
      <c r="T54" s="10"/>
      <c r="U54" s="10"/>
      <c r="V54" s="10"/>
      <c r="W54" s="10"/>
      <c r="X54" s="30">
        <v>49.6</v>
      </c>
      <c r="Y54" s="30">
        <v>51.8</v>
      </c>
      <c r="Z54" s="30">
        <v>56.9</v>
      </c>
      <c r="AA54" s="30">
        <v>48.6</v>
      </c>
      <c r="AB54" s="30">
        <f t="shared" si="17"/>
        <v>51.725</v>
      </c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29"/>
      <c r="AZ54" s="29"/>
      <c r="BA54" s="29"/>
      <c r="BB54" s="29"/>
      <c r="BC54" s="10"/>
      <c r="BD54" s="10"/>
      <c r="BE54" s="10"/>
    </row>
    <row r="55" ht="15.75" customHeight="1">
      <c r="A55" s="19" t="s">
        <v>112</v>
      </c>
      <c r="B55" s="18" t="s">
        <v>53</v>
      </c>
      <c r="C55" s="30">
        <v>32.5</v>
      </c>
      <c r="D55" s="30">
        <v>31.5</v>
      </c>
      <c r="E55" s="30">
        <v>33.5</v>
      </c>
      <c r="F55" s="30">
        <v>30.5</v>
      </c>
      <c r="G55" s="30">
        <f t="shared" si="15"/>
        <v>32</v>
      </c>
      <c r="H55" s="10"/>
      <c r="I55" s="10"/>
      <c r="J55" s="10"/>
      <c r="K55" s="10"/>
      <c r="L55" s="10"/>
      <c r="M55" s="10"/>
      <c r="N55" s="30">
        <v>4.42</v>
      </c>
      <c r="O55" s="30">
        <v>4.31</v>
      </c>
      <c r="P55" s="30">
        <v>4.66</v>
      </c>
      <c r="Q55" s="30">
        <v>4.76</v>
      </c>
      <c r="R55" s="30">
        <f t="shared" si="16"/>
        <v>4.5375</v>
      </c>
      <c r="S55" s="10"/>
      <c r="T55" s="10"/>
      <c r="U55" s="10"/>
      <c r="V55" s="10"/>
      <c r="W55" s="10"/>
      <c r="X55" s="30">
        <v>33.4</v>
      </c>
      <c r="Y55" s="30">
        <v>22.5</v>
      </c>
      <c r="Z55" s="30">
        <v>25.8</v>
      </c>
      <c r="AA55" s="30">
        <v>25.2</v>
      </c>
      <c r="AB55" s="30">
        <f t="shared" si="17"/>
        <v>26.725</v>
      </c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29"/>
      <c r="AZ55" s="29"/>
      <c r="BA55" s="29"/>
      <c r="BB55" s="29"/>
      <c r="BC55" s="10"/>
      <c r="BD55" s="10"/>
      <c r="BE55" s="10"/>
    </row>
    <row r="56" ht="15.75" customHeight="1">
      <c r="A56" s="19" t="s">
        <v>112</v>
      </c>
      <c r="B56" s="18" t="s">
        <v>57</v>
      </c>
      <c r="C56" s="30">
        <v>27.5</v>
      </c>
      <c r="D56" s="30">
        <v>34.0</v>
      </c>
      <c r="E56" s="30">
        <v>34.5</v>
      </c>
      <c r="F56" s="30">
        <v>36.5</v>
      </c>
      <c r="G56" s="30">
        <f t="shared" si="15"/>
        <v>33.125</v>
      </c>
      <c r="H56" s="10"/>
      <c r="I56" s="10"/>
      <c r="J56" s="10"/>
      <c r="K56" s="10"/>
      <c r="L56" s="10"/>
      <c r="M56" s="10"/>
      <c r="N56" s="30">
        <v>3.61</v>
      </c>
      <c r="O56" s="30">
        <v>4.44</v>
      </c>
      <c r="P56" s="30">
        <v>3.41</v>
      </c>
      <c r="Q56" s="30">
        <v>4.26</v>
      </c>
      <c r="R56" s="30">
        <f t="shared" si="16"/>
        <v>3.93</v>
      </c>
      <c r="S56" s="10"/>
      <c r="T56" s="10"/>
      <c r="U56" s="10"/>
      <c r="V56" s="10"/>
      <c r="W56" s="10"/>
      <c r="X56" s="30">
        <v>30.7</v>
      </c>
      <c r="Y56" s="30">
        <v>31.8</v>
      </c>
      <c r="Z56" s="30">
        <v>34.1</v>
      </c>
      <c r="AA56" s="30">
        <v>36.9</v>
      </c>
      <c r="AB56" s="30">
        <f t="shared" si="17"/>
        <v>33.375</v>
      </c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29"/>
      <c r="AZ56" s="29"/>
      <c r="BA56" s="29"/>
      <c r="BB56" s="29"/>
      <c r="BC56" s="10"/>
      <c r="BD56" s="10"/>
      <c r="BE56" s="10"/>
    </row>
    <row r="57" ht="15.75" customHeight="1">
      <c r="A57" s="19" t="s">
        <v>112</v>
      </c>
      <c r="B57" s="18" t="s">
        <v>59</v>
      </c>
      <c r="C57" s="30">
        <v>57.0</v>
      </c>
      <c r="D57" s="30">
        <v>53.0</v>
      </c>
      <c r="E57" s="30">
        <v>52.5</v>
      </c>
      <c r="F57" s="30">
        <v>60.0</v>
      </c>
      <c r="G57" s="30">
        <f t="shared" si="15"/>
        <v>55.625</v>
      </c>
      <c r="H57" s="10"/>
      <c r="I57" s="10"/>
      <c r="J57" s="10"/>
      <c r="K57" s="10"/>
      <c r="L57" s="10"/>
      <c r="M57" s="10"/>
      <c r="N57" s="30">
        <v>5.29</v>
      </c>
      <c r="O57" s="30">
        <v>4.88</v>
      </c>
      <c r="P57" s="30">
        <v>5.5</v>
      </c>
      <c r="Q57" s="30">
        <v>4.83</v>
      </c>
      <c r="R57" s="30">
        <f t="shared" si="16"/>
        <v>5.125</v>
      </c>
      <c r="S57" s="10"/>
      <c r="T57" s="10"/>
      <c r="U57" s="10"/>
      <c r="V57" s="10"/>
      <c r="W57" s="10"/>
      <c r="X57" s="30">
        <v>57.0</v>
      </c>
      <c r="Y57" s="30">
        <v>66.0</v>
      </c>
      <c r="Z57" s="30">
        <v>58.8</v>
      </c>
      <c r="AA57" s="30">
        <v>50.7</v>
      </c>
      <c r="AB57" s="30">
        <f t="shared" si="17"/>
        <v>58.125</v>
      </c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29"/>
      <c r="AZ57" s="29"/>
      <c r="BA57" s="29"/>
      <c r="BB57" s="29"/>
      <c r="BC57" s="10"/>
      <c r="BD57" s="10"/>
      <c r="BE57" s="10"/>
    </row>
    <row r="58" ht="15.75" customHeight="1">
      <c r="A58" s="19" t="s">
        <v>112</v>
      </c>
      <c r="B58" s="18" t="s">
        <v>61</v>
      </c>
      <c r="C58" s="30">
        <v>61.5</v>
      </c>
      <c r="D58" s="30">
        <v>55.0</v>
      </c>
      <c r="E58" s="30">
        <v>63.0</v>
      </c>
      <c r="F58" s="30">
        <v>60.0</v>
      </c>
      <c r="G58" s="30">
        <f t="shared" si="15"/>
        <v>59.875</v>
      </c>
      <c r="H58" s="10"/>
      <c r="I58" s="10"/>
      <c r="J58" s="10"/>
      <c r="K58" s="10"/>
      <c r="L58" s="10"/>
      <c r="M58" s="10"/>
      <c r="N58" s="30">
        <v>5.68</v>
      </c>
      <c r="O58" s="30">
        <v>5.76</v>
      </c>
      <c r="P58" s="30">
        <v>6.23</v>
      </c>
      <c r="Q58" s="30">
        <v>5.64</v>
      </c>
      <c r="R58" s="30">
        <f t="shared" si="16"/>
        <v>5.8275</v>
      </c>
      <c r="S58" s="10"/>
      <c r="T58" s="10"/>
      <c r="U58" s="10"/>
      <c r="V58" s="10"/>
      <c r="W58" s="10"/>
      <c r="X58" s="30">
        <v>48.8</v>
      </c>
      <c r="Y58" s="30">
        <v>50.9</v>
      </c>
      <c r="Z58" s="30">
        <v>56.6</v>
      </c>
      <c r="AA58" s="30">
        <v>50.7</v>
      </c>
      <c r="AB58" s="30">
        <f t="shared" si="17"/>
        <v>51.75</v>
      </c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29"/>
      <c r="AZ58" s="29"/>
      <c r="BA58" s="29"/>
      <c r="BB58" s="29"/>
      <c r="BC58" s="10"/>
      <c r="BD58" s="10"/>
      <c r="BE58" s="10"/>
    </row>
    <row r="59" ht="15.75" customHeight="1">
      <c r="A59" s="19" t="s">
        <v>112</v>
      </c>
      <c r="B59" s="18" t="s">
        <v>62</v>
      </c>
      <c r="C59" s="30">
        <v>55.5</v>
      </c>
      <c r="D59" s="30">
        <v>62.5</v>
      </c>
      <c r="E59" s="30">
        <v>55.0</v>
      </c>
      <c r="F59" s="30">
        <v>59.5</v>
      </c>
      <c r="G59" s="30">
        <f t="shared" si="15"/>
        <v>58.125</v>
      </c>
      <c r="H59" s="10"/>
      <c r="I59" s="10"/>
      <c r="J59" s="10"/>
      <c r="K59" s="10"/>
      <c r="L59" s="10"/>
      <c r="M59" s="10"/>
      <c r="N59" s="30">
        <v>5.04</v>
      </c>
      <c r="O59" s="30">
        <v>6.09</v>
      </c>
      <c r="P59" s="30">
        <v>5.26</v>
      </c>
      <c r="Q59" s="30">
        <v>5.65</v>
      </c>
      <c r="R59" s="30">
        <f t="shared" si="16"/>
        <v>5.51</v>
      </c>
      <c r="S59" s="10"/>
      <c r="T59" s="10"/>
      <c r="U59" s="10"/>
      <c r="V59" s="10"/>
      <c r="W59" s="10"/>
      <c r="X59" s="30">
        <v>52.3</v>
      </c>
      <c r="Y59" s="30">
        <v>68.1</v>
      </c>
      <c r="Z59" s="30">
        <v>67.5</v>
      </c>
      <c r="AA59" s="30">
        <v>58.9</v>
      </c>
      <c r="AB59" s="30">
        <f t="shared" si="17"/>
        <v>61.7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29"/>
      <c r="AZ59" s="29"/>
      <c r="BA59" s="29"/>
      <c r="BB59" s="29"/>
      <c r="BC59" s="10"/>
      <c r="BD59" s="10"/>
      <c r="BE59" s="10"/>
    </row>
    <row r="60" ht="15.75" customHeight="1">
      <c r="A60" s="19" t="s">
        <v>112</v>
      </c>
      <c r="B60" s="18" t="s">
        <v>64</v>
      </c>
      <c r="C60" s="30">
        <v>58.5</v>
      </c>
      <c r="D60" s="30">
        <v>57.5</v>
      </c>
      <c r="E60" s="30">
        <v>57.5</v>
      </c>
      <c r="F60" s="30">
        <v>53.5</v>
      </c>
      <c r="G60" s="30">
        <f t="shared" si="15"/>
        <v>56.75</v>
      </c>
      <c r="H60" s="10"/>
      <c r="I60" s="10"/>
      <c r="J60" s="10"/>
      <c r="K60" s="10"/>
      <c r="L60" s="10"/>
      <c r="M60" s="10"/>
      <c r="N60" s="30">
        <v>5.84</v>
      </c>
      <c r="O60" s="30">
        <v>5.04</v>
      </c>
      <c r="P60" s="30">
        <v>5.1</v>
      </c>
      <c r="Q60" s="30">
        <v>5.53</v>
      </c>
      <c r="R60" s="30">
        <f t="shared" si="16"/>
        <v>5.3775</v>
      </c>
      <c r="S60" s="10"/>
      <c r="T60" s="10"/>
      <c r="U60" s="10"/>
      <c r="V60" s="10"/>
      <c r="W60" s="10"/>
      <c r="X60" s="30">
        <v>69.7</v>
      </c>
      <c r="Y60" s="30">
        <v>66.7</v>
      </c>
      <c r="Z60" s="30">
        <v>65.4</v>
      </c>
      <c r="AA60" s="30">
        <v>53.8</v>
      </c>
      <c r="AB60" s="30">
        <f t="shared" si="17"/>
        <v>63.9</v>
      </c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29"/>
      <c r="AZ60" s="29"/>
      <c r="BA60" s="29"/>
      <c r="BB60" s="29"/>
      <c r="BC60" s="10"/>
      <c r="BD60" s="10"/>
      <c r="BE60" s="10"/>
    </row>
    <row r="61" ht="15.75" customHeight="1">
      <c r="A61" s="19" t="s">
        <v>112</v>
      </c>
      <c r="B61" s="18" t="s">
        <v>66</v>
      </c>
      <c r="C61" s="30">
        <v>65.0</v>
      </c>
      <c r="D61" s="30">
        <v>73.5</v>
      </c>
      <c r="E61" s="30">
        <v>60.5</v>
      </c>
      <c r="F61" s="30">
        <v>66.5</v>
      </c>
      <c r="G61" s="30">
        <f t="shared" si="15"/>
        <v>66.375</v>
      </c>
      <c r="H61" s="10"/>
      <c r="I61" s="10"/>
      <c r="J61" s="10"/>
      <c r="K61" s="10"/>
      <c r="L61" s="10"/>
      <c r="M61" s="10"/>
      <c r="N61" s="30">
        <v>5.41</v>
      </c>
      <c r="O61" s="30">
        <v>5.66</v>
      </c>
      <c r="P61" s="30">
        <v>5.9</v>
      </c>
      <c r="Q61" s="30">
        <v>5.97</v>
      </c>
      <c r="R61" s="30">
        <f t="shared" si="16"/>
        <v>5.735</v>
      </c>
      <c r="S61" s="10"/>
      <c r="T61" s="10"/>
      <c r="U61" s="10"/>
      <c r="V61" s="10"/>
      <c r="W61" s="10"/>
      <c r="X61" s="30">
        <v>52.3</v>
      </c>
      <c r="Y61" s="30">
        <v>53.3</v>
      </c>
      <c r="Z61" s="30">
        <v>53.5</v>
      </c>
      <c r="AA61" s="30">
        <v>46.7</v>
      </c>
      <c r="AB61" s="30">
        <f t="shared" si="17"/>
        <v>51.45</v>
      </c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29"/>
      <c r="AZ61" s="29"/>
      <c r="BA61" s="29"/>
      <c r="BB61" s="29"/>
      <c r="BC61" s="10"/>
      <c r="BD61" s="10"/>
      <c r="BE61" s="10"/>
    </row>
    <row r="62" ht="15.75" customHeight="1">
      <c r="A62" s="19" t="s">
        <v>112</v>
      </c>
      <c r="B62" s="18" t="s">
        <v>67</v>
      </c>
      <c r="C62" s="30">
        <v>59.5</v>
      </c>
      <c r="D62" s="30">
        <v>58.0</v>
      </c>
      <c r="E62" s="30">
        <v>60.5</v>
      </c>
      <c r="F62" s="30">
        <v>61.0</v>
      </c>
      <c r="G62" s="30">
        <f t="shared" si="15"/>
        <v>59.75</v>
      </c>
      <c r="H62" s="10"/>
      <c r="I62" s="10"/>
      <c r="J62" s="10"/>
      <c r="K62" s="10"/>
      <c r="L62" s="10"/>
      <c r="M62" s="10"/>
      <c r="N62" s="30">
        <v>6.36</v>
      </c>
      <c r="O62" s="30">
        <v>5.07</v>
      </c>
      <c r="P62" s="30">
        <v>5.67</v>
      </c>
      <c r="Q62" s="30">
        <v>5.57</v>
      </c>
      <c r="R62" s="30">
        <f t="shared" si="16"/>
        <v>5.6675</v>
      </c>
      <c r="S62" s="10"/>
      <c r="T62" s="10"/>
      <c r="U62" s="10"/>
      <c r="V62" s="10"/>
      <c r="W62" s="10"/>
      <c r="X62" s="30">
        <v>57.3</v>
      </c>
      <c r="Y62" s="30">
        <v>43.8</v>
      </c>
      <c r="Z62" s="30">
        <v>45.1</v>
      </c>
      <c r="AA62" s="30">
        <v>51.3</v>
      </c>
      <c r="AB62" s="30">
        <f t="shared" si="17"/>
        <v>49.375</v>
      </c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29"/>
      <c r="AZ62" s="29"/>
      <c r="BA62" s="29"/>
      <c r="BB62" s="29"/>
      <c r="BC62" s="10"/>
      <c r="BD62" s="10"/>
      <c r="BE62" s="10"/>
    </row>
    <row r="63" ht="15.75" customHeight="1">
      <c r="A63" s="19" t="s">
        <v>113</v>
      </c>
      <c r="B63" s="18" t="s">
        <v>53</v>
      </c>
      <c r="C63" s="30">
        <v>31.5</v>
      </c>
      <c r="D63" s="30">
        <v>30.0</v>
      </c>
      <c r="E63" s="30">
        <v>30.0</v>
      </c>
      <c r="F63" s="30">
        <v>29.0</v>
      </c>
      <c r="G63" s="30">
        <f t="shared" si="15"/>
        <v>30.125</v>
      </c>
      <c r="H63" s="10"/>
      <c r="I63" s="10"/>
      <c r="J63" s="10"/>
      <c r="K63" s="10"/>
      <c r="L63" s="10"/>
      <c r="M63" s="10"/>
      <c r="N63" s="30">
        <v>4.08</v>
      </c>
      <c r="O63" s="30">
        <v>3.94</v>
      </c>
      <c r="P63" s="30">
        <v>3.83</v>
      </c>
      <c r="Q63" s="30">
        <v>3.38</v>
      </c>
      <c r="R63" s="30">
        <f t="shared" si="16"/>
        <v>3.8075</v>
      </c>
      <c r="S63" s="10"/>
      <c r="T63" s="10"/>
      <c r="U63" s="10"/>
      <c r="V63" s="10"/>
      <c r="W63" s="10"/>
      <c r="X63" s="30">
        <v>28.3</v>
      </c>
      <c r="Y63" s="30">
        <v>24.9</v>
      </c>
      <c r="Z63" s="30">
        <v>25.5</v>
      </c>
      <c r="AA63" s="30">
        <v>31.7</v>
      </c>
      <c r="AB63" s="30">
        <f t="shared" si="17"/>
        <v>27.6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29"/>
      <c r="AZ63" s="29"/>
      <c r="BA63" s="29"/>
      <c r="BB63" s="29"/>
      <c r="BC63" s="10"/>
      <c r="BD63" s="10"/>
      <c r="BE63" s="10"/>
    </row>
    <row r="64" ht="15.75" customHeight="1">
      <c r="A64" s="19" t="s">
        <v>113</v>
      </c>
      <c r="B64" s="18" t="s">
        <v>57</v>
      </c>
      <c r="C64" s="30">
        <v>48.0</v>
      </c>
      <c r="D64" s="30">
        <v>45.5</v>
      </c>
      <c r="E64" s="30">
        <v>44.0</v>
      </c>
      <c r="F64" s="30">
        <v>39.5</v>
      </c>
      <c r="G64" s="30">
        <f t="shared" si="15"/>
        <v>44.25</v>
      </c>
      <c r="H64" s="10"/>
      <c r="I64" s="10"/>
      <c r="J64" s="10"/>
      <c r="K64" s="10"/>
      <c r="L64" s="10"/>
      <c r="M64" s="10"/>
      <c r="N64" s="30">
        <v>5.27</v>
      </c>
      <c r="O64" s="30">
        <v>5.32</v>
      </c>
      <c r="P64" s="30">
        <v>5.07</v>
      </c>
      <c r="Q64" s="30">
        <v>4.23</v>
      </c>
      <c r="R64" s="30">
        <f t="shared" si="16"/>
        <v>4.9725</v>
      </c>
      <c r="S64" s="10"/>
      <c r="T64" s="10"/>
      <c r="U64" s="10"/>
      <c r="V64" s="10"/>
      <c r="W64" s="10"/>
      <c r="X64" s="30">
        <v>46.0</v>
      </c>
      <c r="Y64" s="30">
        <v>44.9</v>
      </c>
      <c r="Z64" s="30">
        <v>36.7</v>
      </c>
      <c r="AA64" s="30">
        <v>47.3</v>
      </c>
      <c r="AB64" s="30">
        <f t="shared" si="17"/>
        <v>43.725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29"/>
      <c r="AZ64" s="29"/>
      <c r="BA64" s="29"/>
      <c r="BB64" s="29"/>
      <c r="BC64" s="10"/>
      <c r="BD64" s="10"/>
      <c r="BE64" s="10"/>
    </row>
    <row r="65" ht="15.75" customHeight="1">
      <c r="A65" s="19" t="s">
        <v>113</v>
      </c>
      <c r="B65" s="18" t="s">
        <v>59</v>
      </c>
      <c r="C65" s="30">
        <v>59.5</v>
      </c>
      <c r="D65" s="30">
        <v>53.5</v>
      </c>
      <c r="E65" s="30">
        <v>57.0</v>
      </c>
      <c r="F65" s="30">
        <v>60.5</v>
      </c>
      <c r="G65" s="30">
        <f t="shared" si="15"/>
        <v>57.625</v>
      </c>
      <c r="H65" s="10"/>
      <c r="I65" s="10"/>
      <c r="J65" s="10"/>
      <c r="K65" s="10"/>
      <c r="L65" s="10"/>
      <c r="M65" s="10"/>
      <c r="N65" s="30">
        <v>5.8</v>
      </c>
      <c r="O65" s="30">
        <v>5.18</v>
      </c>
      <c r="P65" s="30">
        <v>5.28</v>
      </c>
      <c r="Q65" s="30">
        <v>5.32</v>
      </c>
      <c r="R65" s="30">
        <f t="shared" si="16"/>
        <v>5.395</v>
      </c>
      <c r="S65" s="10"/>
      <c r="T65" s="10"/>
      <c r="U65" s="10"/>
      <c r="V65" s="10"/>
      <c r="W65" s="10"/>
      <c r="X65" s="30">
        <v>49.8</v>
      </c>
      <c r="Y65" s="30">
        <v>53.9</v>
      </c>
      <c r="Z65" s="30">
        <v>63.6</v>
      </c>
      <c r="AA65" s="30">
        <v>64.7</v>
      </c>
      <c r="AB65" s="30">
        <f t="shared" si="17"/>
        <v>58</v>
      </c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29"/>
      <c r="AZ65" s="29"/>
      <c r="BA65" s="29"/>
      <c r="BB65" s="29"/>
      <c r="BC65" s="10"/>
      <c r="BD65" s="10"/>
      <c r="BE65" s="10"/>
    </row>
    <row r="66" ht="15.75" customHeight="1">
      <c r="A66" s="19" t="s">
        <v>113</v>
      </c>
      <c r="B66" s="18" t="s">
        <v>61</v>
      </c>
      <c r="C66" s="30">
        <v>59.5</v>
      </c>
      <c r="D66" s="30">
        <v>53.0</v>
      </c>
      <c r="E66" s="30">
        <v>61.5</v>
      </c>
      <c r="F66" s="30">
        <v>57.0</v>
      </c>
      <c r="G66" s="30">
        <f t="shared" si="15"/>
        <v>57.75</v>
      </c>
      <c r="H66" s="10"/>
      <c r="I66" s="10"/>
      <c r="J66" s="10"/>
      <c r="K66" s="10"/>
      <c r="L66" s="10"/>
      <c r="M66" s="10"/>
      <c r="N66" s="30">
        <v>5.49</v>
      </c>
      <c r="O66" s="30">
        <v>5.41</v>
      </c>
      <c r="P66" s="30">
        <v>6.34</v>
      </c>
      <c r="Q66" s="30">
        <v>4.92</v>
      </c>
      <c r="R66" s="30">
        <f t="shared" si="16"/>
        <v>5.54</v>
      </c>
      <c r="S66" s="10"/>
      <c r="T66" s="10"/>
      <c r="U66" s="10"/>
      <c r="V66" s="10"/>
      <c r="W66" s="10"/>
      <c r="X66" s="30">
        <v>46.2</v>
      </c>
      <c r="Y66" s="30">
        <v>54.8</v>
      </c>
      <c r="Z66" s="30">
        <v>54.3</v>
      </c>
      <c r="AA66" s="30">
        <v>51.4</v>
      </c>
      <c r="AB66" s="30">
        <f t="shared" si="17"/>
        <v>51.675</v>
      </c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29"/>
      <c r="AZ66" s="29"/>
      <c r="BA66" s="29"/>
      <c r="BB66" s="29"/>
      <c r="BC66" s="10"/>
      <c r="BD66" s="10"/>
      <c r="BE66" s="10"/>
    </row>
    <row r="67" ht="15.75" customHeight="1">
      <c r="A67" s="19" t="s">
        <v>113</v>
      </c>
      <c r="B67" s="18" t="s">
        <v>62</v>
      </c>
      <c r="C67" s="30">
        <v>56.0</v>
      </c>
      <c r="D67" s="30">
        <v>60.0</v>
      </c>
      <c r="E67" s="30">
        <v>62.0</v>
      </c>
      <c r="F67" s="30">
        <v>55.5</v>
      </c>
      <c r="G67" s="30">
        <f t="shared" si="15"/>
        <v>58.375</v>
      </c>
      <c r="H67" s="10"/>
      <c r="I67" s="10"/>
      <c r="J67" s="10"/>
      <c r="K67" s="10"/>
      <c r="L67" s="10"/>
      <c r="M67" s="10"/>
      <c r="N67" s="30">
        <v>5.36</v>
      </c>
      <c r="O67" s="30">
        <v>5.16</v>
      </c>
      <c r="P67" s="30">
        <v>5.88</v>
      </c>
      <c r="Q67" s="30">
        <v>5.48</v>
      </c>
      <c r="R67" s="30">
        <f t="shared" si="16"/>
        <v>5.47</v>
      </c>
      <c r="S67" s="10"/>
      <c r="T67" s="10"/>
      <c r="U67" s="10"/>
      <c r="V67" s="10"/>
      <c r="W67" s="10"/>
      <c r="X67" s="30">
        <v>53.7</v>
      </c>
      <c r="Y67" s="30">
        <v>53.1</v>
      </c>
      <c r="Z67" s="30">
        <v>57.7</v>
      </c>
      <c r="AA67" s="30">
        <v>44.5</v>
      </c>
      <c r="AB67" s="30">
        <f t="shared" si="17"/>
        <v>52.25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 ht="15.75" customHeight="1">
      <c r="A68" s="19" t="s">
        <v>113</v>
      </c>
      <c r="B68" s="18" t="s">
        <v>64</v>
      </c>
      <c r="C68" s="30">
        <v>61.5</v>
      </c>
      <c r="D68" s="30">
        <v>67.0</v>
      </c>
      <c r="E68" s="30">
        <v>67.5</v>
      </c>
      <c r="F68" s="30">
        <v>60.0</v>
      </c>
      <c r="G68" s="30">
        <f t="shared" si="15"/>
        <v>64</v>
      </c>
      <c r="H68" s="10"/>
      <c r="I68" s="10"/>
      <c r="J68" s="10"/>
      <c r="K68" s="10"/>
      <c r="L68" s="10"/>
      <c r="M68" s="10"/>
      <c r="N68" s="30">
        <v>5.96</v>
      </c>
      <c r="O68" s="30">
        <v>5.87</v>
      </c>
      <c r="P68" s="30">
        <v>4.34</v>
      </c>
      <c r="Q68" s="30">
        <v>4.86</v>
      </c>
      <c r="R68" s="30">
        <f t="shared" si="16"/>
        <v>5.2575</v>
      </c>
      <c r="S68" s="10"/>
      <c r="T68" s="10"/>
      <c r="U68" s="10"/>
      <c r="V68" s="10"/>
      <c r="W68" s="10"/>
      <c r="X68" s="30">
        <v>65.5</v>
      </c>
      <c r="Y68" s="30">
        <v>58.5</v>
      </c>
      <c r="Z68" s="30">
        <v>46.4</v>
      </c>
      <c r="AA68" s="30">
        <v>52.5</v>
      </c>
      <c r="AB68" s="30">
        <f t="shared" si="17"/>
        <v>55.725</v>
      </c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 ht="15.75" customHeight="1">
      <c r="A69" s="19" t="s">
        <v>113</v>
      </c>
      <c r="B69" s="18" t="s">
        <v>66</v>
      </c>
      <c r="C69" s="30">
        <v>68.5</v>
      </c>
      <c r="D69" s="30">
        <v>65.5</v>
      </c>
      <c r="E69" s="30">
        <v>61.0</v>
      </c>
      <c r="F69" s="30">
        <v>70.0</v>
      </c>
      <c r="G69" s="30">
        <f t="shared" si="15"/>
        <v>66.25</v>
      </c>
      <c r="H69" s="10"/>
      <c r="I69" s="10"/>
      <c r="J69" s="10"/>
      <c r="K69" s="10"/>
      <c r="L69" s="10"/>
      <c r="M69" s="10"/>
      <c r="N69" s="30">
        <v>6.27</v>
      </c>
      <c r="O69" s="30">
        <v>6.26</v>
      </c>
      <c r="P69" s="30">
        <v>5.99</v>
      </c>
      <c r="Q69" s="30">
        <v>5.36</v>
      </c>
      <c r="R69" s="30">
        <f t="shared" si="16"/>
        <v>5.97</v>
      </c>
      <c r="S69" s="10"/>
      <c r="T69" s="10"/>
      <c r="U69" s="10"/>
      <c r="V69" s="10"/>
      <c r="W69" s="10"/>
      <c r="X69" s="30">
        <v>51.6</v>
      </c>
      <c r="Y69" s="30">
        <v>53.5</v>
      </c>
      <c r="Z69" s="30">
        <v>55.4</v>
      </c>
      <c r="AA69" s="30">
        <v>51.6</v>
      </c>
      <c r="AB69" s="30">
        <f t="shared" si="17"/>
        <v>53.025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 ht="15.75" customHeight="1">
      <c r="A70" s="19" t="s">
        <v>113</v>
      </c>
      <c r="B70" s="18" t="s">
        <v>67</v>
      </c>
      <c r="C70" s="30">
        <v>61.5</v>
      </c>
      <c r="D70" s="30">
        <v>62.0</v>
      </c>
      <c r="E70" s="30">
        <v>60.5</v>
      </c>
      <c r="F70" s="30">
        <v>64.0</v>
      </c>
      <c r="G70" s="30">
        <f t="shared" si="15"/>
        <v>62</v>
      </c>
      <c r="H70" s="10"/>
      <c r="I70" s="10"/>
      <c r="J70" s="10"/>
      <c r="K70" s="10"/>
      <c r="L70" s="10"/>
      <c r="M70" s="10"/>
      <c r="N70" s="30">
        <v>5.02</v>
      </c>
      <c r="O70" s="30">
        <v>5.57</v>
      </c>
      <c r="P70" s="30">
        <v>5.2</v>
      </c>
      <c r="Q70" s="30">
        <v>6.0</v>
      </c>
      <c r="R70" s="30">
        <f t="shared" si="16"/>
        <v>5.4475</v>
      </c>
      <c r="S70" s="10"/>
      <c r="T70" s="10"/>
      <c r="U70" s="10"/>
      <c r="V70" s="10"/>
      <c r="W70" s="10"/>
      <c r="X70" s="30">
        <v>47.5</v>
      </c>
      <c r="Y70" s="30">
        <v>45.5</v>
      </c>
      <c r="Z70" s="30">
        <v>44.8</v>
      </c>
      <c r="AA70" s="30">
        <v>63.7</v>
      </c>
      <c r="AB70" s="30">
        <f t="shared" si="17"/>
        <v>50.375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4" width="11.0"/>
  </cols>
  <sheetData>
    <row r="1">
      <c r="A1" s="31" t="s">
        <v>84</v>
      </c>
      <c r="B1" s="31" t="s">
        <v>91</v>
      </c>
      <c r="C1" s="32" t="s">
        <v>138</v>
      </c>
      <c r="D1" s="31" t="s">
        <v>139</v>
      </c>
      <c r="E1" s="31" t="s">
        <v>140</v>
      </c>
      <c r="F1" s="31" t="s">
        <v>141</v>
      </c>
      <c r="G1" s="31" t="s">
        <v>142</v>
      </c>
      <c r="H1" s="31" t="s">
        <v>143</v>
      </c>
      <c r="I1" s="31" t="s">
        <v>144</v>
      </c>
      <c r="J1" s="32" t="s">
        <v>145</v>
      </c>
      <c r="K1" s="32" t="s">
        <v>146</v>
      </c>
      <c r="L1" s="31" t="s">
        <v>147</v>
      </c>
      <c r="M1" s="31" t="s">
        <v>148</v>
      </c>
      <c r="N1" s="31" t="s">
        <v>149</v>
      </c>
      <c r="O1" s="31" t="s">
        <v>150</v>
      </c>
      <c r="P1" s="31" t="s">
        <v>151</v>
      </c>
      <c r="Q1" s="31" t="s">
        <v>152</v>
      </c>
      <c r="R1" s="32" t="s">
        <v>153</v>
      </c>
      <c r="S1" s="31" t="s">
        <v>154</v>
      </c>
      <c r="T1" s="31" t="s">
        <v>155</v>
      </c>
      <c r="U1" s="31" t="s">
        <v>156</v>
      </c>
      <c r="V1" s="31" t="s">
        <v>157</v>
      </c>
      <c r="W1" s="31" t="s">
        <v>158</v>
      </c>
      <c r="X1" s="31" t="s">
        <v>159</v>
      </c>
      <c r="Y1" s="32" t="s">
        <v>160</v>
      </c>
      <c r="Z1" s="31" t="s">
        <v>161</v>
      </c>
      <c r="AA1" s="31" t="s">
        <v>162</v>
      </c>
      <c r="AB1" s="31" t="s">
        <v>163</v>
      </c>
      <c r="AC1" s="31" t="s">
        <v>164</v>
      </c>
      <c r="AD1" s="31" t="s">
        <v>165</v>
      </c>
      <c r="AE1" s="31" t="s">
        <v>166</v>
      </c>
      <c r="AF1" s="32" t="s">
        <v>167</v>
      </c>
      <c r="AG1" s="31" t="s">
        <v>168</v>
      </c>
      <c r="AH1" s="31" t="s">
        <v>169</v>
      </c>
      <c r="AI1" s="31" t="s">
        <v>170</v>
      </c>
      <c r="AJ1" s="31" t="s">
        <v>171</v>
      </c>
      <c r="AK1" s="31" t="s">
        <v>172</v>
      </c>
      <c r="AL1" s="31" t="s">
        <v>173</v>
      </c>
      <c r="AM1" s="32" t="s">
        <v>174</v>
      </c>
      <c r="AN1" s="31" t="s">
        <v>175</v>
      </c>
      <c r="AO1" s="31" t="s">
        <v>176</v>
      </c>
      <c r="AP1" s="31" t="s">
        <v>177</v>
      </c>
      <c r="AQ1" s="31" t="s">
        <v>178</v>
      </c>
      <c r="AR1" s="31" t="s">
        <v>179</v>
      </c>
      <c r="AS1" s="31" t="s">
        <v>180</v>
      </c>
      <c r="AT1" s="31" t="s">
        <v>181</v>
      </c>
      <c r="AU1" s="32" t="s">
        <v>182</v>
      </c>
      <c r="AV1" s="32" t="s">
        <v>183</v>
      </c>
      <c r="AW1" s="32" t="s">
        <v>184</v>
      </c>
      <c r="AX1" s="31" t="s">
        <v>185</v>
      </c>
      <c r="AY1" s="31" t="s">
        <v>186</v>
      </c>
      <c r="AZ1" s="31" t="s">
        <v>187</v>
      </c>
      <c r="BA1" s="31" t="s">
        <v>188</v>
      </c>
      <c r="BB1" s="31" t="s">
        <v>189</v>
      </c>
      <c r="BC1" s="31" t="s">
        <v>190</v>
      </c>
      <c r="BD1" s="32" t="s">
        <v>191</v>
      </c>
      <c r="BE1" s="31" t="s">
        <v>192</v>
      </c>
      <c r="BF1" s="31" t="s">
        <v>193</v>
      </c>
      <c r="BG1" s="31" t="s">
        <v>194</v>
      </c>
      <c r="BH1" s="31" t="s">
        <v>195</v>
      </c>
      <c r="BI1" s="31" t="s">
        <v>196</v>
      </c>
      <c r="BJ1" s="31" t="s">
        <v>197</v>
      </c>
      <c r="BK1" s="31" t="s">
        <v>198</v>
      </c>
      <c r="BL1" s="31" t="s">
        <v>199</v>
      </c>
    </row>
    <row r="2">
      <c r="A2" s="33" t="s">
        <v>94</v>
      </c>
      <c r="B2" s="33" t="s">
        <v>53</v>
      </c>
      <c r="C2" s="34">
        <v>6927.97</v>
      </c>
      <c r="D2" s="33">
        <v>109.699</v>
      </c>
      <c r="E2" s="33">
        <v>17291.5</v>
      </c>
      <c r="F2" s="33">
        <v>24.5584</v>
      </c>
      <c r="G2" s="33">
        <v>79.4172</v>
      </c>
      <c r="H2" s="33">
        <v>513.474</v>
      </c>
      <c r="I2" s="33">
        <v>194.296</v>
      </c>
      <c r="J2" s="34">
        <v>1510260.0</v>
      </c>
      <c r="K2" s="34">
        <v>0.23951</v>
      </c>
      <c r="L2" s="33">
        <v>0.634578</v>
      </c>
      <c r="M2" s="33">
        <v>2.92986</v>
      </c>
      <c r="N2" s="33">
        <v>14.2645</v>
      </c>
      <c r="O2" s="33">
        <v>50.2262</v>
      </c>
      <c r="P2" s="33">
        <v>31.9449</v>
      </c>
      <c r="Q2" s="33">
        <v>0.0</v>
      </c>
      <c r="R2" s="34">
        <v>81.5428</v>
      </c>
      <c r="S2" s="33">
        <v>1.94424</v>
      </c>
      <c r="T2" s="33">
        <v>6.93985</v>
      </c>
      <c r="U2" s="33">
        <v>18.0787</v>
      </c>
      <c r="V2" s="33">
        <v>61.1692</v>
      </c>
      <c r="W2" s="33">
        <v>10.6461</v>
      </c>
      <c r="X2" s="33">
        <v>1.2219</v>
      </c>
      <c r="Y2" s="34">
        <v>9.35856</v>
      </c>
      <c r="Z2" s="33">
        <v>0.0</v>
      </c>
      <c r="AA2" s="33">
        <v>100.0</v>
      </c>
      <c r="AB2" s="33">
        <v>0.0</v>
      </c>
      <c r="AC2" s="33">
        <v>0.0</v>
      </c>
      <c r="AD2" s="33">
        <v>0.0</v>
      </c>
      <c r="AE2" s="33">
        <v>0.0</v>
      </c>
      <c r="AF2" s="34">
        <v>0.45003</v>
      </c>
      <c r="AG2" s="33">
        <v>0.121515</v>
      </c>
      <c r="AH2" s="33">
        <v>2.99737</v>
      </c>
      <c r="AI2" s="33">
        <v>12.6308</v>
      </c>
      <c r="AJ2" s="33">
        <v>24.3975</v>
      </c>
      <c r="AK2" s="33">
        <v>51.1848</v>
      </c>
      <c r="AL2" s="33">
        <v>8.66806</v>
      </c>
      <c r="AM2" s="34">
        <v>0.303977</v>
      </c>
      <c r="AN2" s="33">
        <v>0.256531</v>
      </c>
      <c r="AO2" s="33">
        <v>0.884358</v>
      </c>
      <c r="AP2" s="33">
        <v>20.9748</v>
      </c>
      <c r="AQ2" s="33">
        <v>58.0301</v>
      </c>
      <c r="AR2" s="33">
        <v>15.5674</v>
      </c>
      <c r="AS2" s="33">
        <v>4.28678</v>
      </c>
      <c r="AT2" s="33">
        <v>217.995</v>
      </c>
      <c r="AU2" s="34">
        <v>222.001</v>
      </c>
      <c r="AV2" s="34">
        <v>4246.52</v>
      </c>
      <c r="AW2" s="34">
        <v>0.177549</v>
      </c>
      <c r="AX2" s="33">
        <v>0.0</v>
      </c>
      <c r="AY2" s="33">
        <v>0.216026</v>
      </c>
      <c r="AZ2" s="33">
        <v>0.141767</v>
      </c>
      <c r="BA2" s="33">
        <v>0.783096</v>
      </c>
      <c r="BB2" s="33">
        <v>68.4601</v>
      </c>
      <c r="BC2" s="33">
        <v>30.399</v>
      </c>
      <c r="BD2" s="34">
        <v>42.3301</v>
      </c>
      <c r="BE2" s="33">
        <v>0.0</v>
      </c>
      <c r="BF2" s="33">
        <v>8.12124</v>
      </c>
      <c r="BG2" s="33">
        <v>67.9538</v>
      </c>
      <c r="BH2" s="33">
        <v>21.8862</v>
      </c>
      <c r="BI2" s="33">
        <v>1.66745</v>
      </c>
      <c r="BJ2" s="33">
        <v>0.371295</v>
      </c>
      <c r="BK2" s="33">
        <v>37.8059</v>
      </c>
      <c r="BL2" s="33">
        <v>14813.0</v>
      </c>
    </row>
    <row r="3">
      <c r="A3" s="33" t="s">
        <v>94</v>
      </c>
      <c r="B3" s="33" t="s">
        <v>53</v>
      </c>
      <c r="C3" s="34">
        <v>7441.08</v>
      </c>
      <c r="D3" s="33">
        <v>126.821</v>
      </c>
      <c r="E3" s="33">
        <v>16328.3</v>
      </c>
      <c r="F3" s="33">
        <v>27.1855</v>
      </c>
      <c r="G3" s="33">
        <v>50.3959</v>
      </c>
      <c r="H3" s="33">
        <v>531.693</v>
      </c>
      <c r="I3" s="33">
        <v>211.746</v>
      </c>
      <c r="J3" s="34">
        <v>1741220.0</v>
      </c>
      <c r="K3" s="34">
        <v>0.229038</v>
      </c>
      <c r="L3" s="33">
        <v>0.404027</v>
      </c>
      <c r="M3" s="33">
        <v>2.12275</v>
      </c>
      <c r="N3" s="33">
        <v>17.5014</v>
      </c>
      <c r="O3" s="33">
        <v>53.8383</v>
      </c>
      <c r="P3" s="33">
        <v>26.1335</v>
      </c>
      <c r="Q3" s="33">
        <v>0.0</v>
      </c>
      <c r="R3" s="34">
        <v>79.6309</v>
      </c>
      <c r="S3" s="33">
        <v>1.34676</v>
      </c>
      <c r="T3" s="33">
        <v>7.16988</v>
      </c>
      <c r="U3" s="33">
        <v>22.2664</v>
      </c>
      <c r="V3" s="33">
        <v>61.1556</v>
      </c>
      <c r="W3" s="33">
        <v>7.14423</v>
      </c>
      <c r="X3" s="33">
        <v>0.917078</v>
      </c>
      <c r="Y3" s="34">
        <v>10.1955</v>
      </c>
      <c r="Z3" s="33">
        <v>0.0</v>
      </c>
      <c r="AA3" s="33">
        <v>100.0</v>
      </c>
      <c r="AB3" s="33">
        <v>0.0</v>
      </c>
      <c r="AC3" s="33">
        <v>0.0</v>
      </c>
      <c r="AD3" s="33">
        <v>0.0</v>
      </c>
      <c r="AE3" s="33">
        <v>0.0</v>
      </c>
      <c r="AF3" s="34">
        <v>0.410939</v>
      </c>
      <c r="AG3" s="33">
        <v>0.243699</v>
      </c>
      <c r="AH3" s="33">
        <v>4.14288</v>
      </c>
      <c r="AI3" s="33">
        <v>17.1231</v>
      </c>
      <c r="AJ3" s="33">
        <v>31.4628</v>
      </c>
      <c r="AK3" s="33">
        <v>43.667</v>
      </c>
      <c r="AL3" s="33">
        <v>3.36048</v>
      </c>
      <c r="AM3" s="34">
        <v>0.303433</v>
      </c>
      <c r="AN3" s="33">
        <v>0.0</v>
      </c>
      <c r="AO3" s="33">
        <v>0.808055</v>
      </c>
      <c r="AP3" s="33">
        <v>19.6306</v>
      </c>
      <c r="AQ3" s="33">
        <v>61.6366</v>
      </c>
      <c r="AR3" s="33">
        <v>14.3654</v>
      </c>
      <c r="AS3" s="33">
        <v>3.55929</v>
      </c>
      <c r="AT3" s="33">
        <v>234.0</v>
      </c>
      <c r="AU3" s="34">
        <v>242.401</v>
      </c>
      <c r="AV3" s="34">
        <v>4438.94</v>
      </c>
      <c r="AW3" s="34">
        <v>0.194722</v>
      </c>
      <c r="AX3" s="33">
        <v>0.0</v>
      </c>
      <c r="AY3" s="33">
        <v>0.0</v>
      </c>
      <c r="AZ3" s="33">
        <v>0.0256525</v>
      </c>
      <c r="BA3" s="33">
        <v>0.782402</v>
      </c>
      <c r="BB3" s="33">
        <v>61.2134</v>
      </c>
      <c r="BC3" s="33">
        <v>37.9786</v>
      </c>
      <c r="BD3" s="34">
        <v>40.8559</v>
      </c>
      <c r="BE3" s="33">
        <v>0.0</v>
      </c>
      <c r="BF3" s="33">
        <v>10.8318</v>
      </c>
      <c r="BG3" s="33">
        <v>67.9407</v>
      </c>
      <c r="BH3" s="33">
        <v>19.4446</v>
      </c>
      <c r="BI3" s="33">
        <v>1.59046</v>
      </c>
      <c r="BJ3" s="33">
        <v>0.192394</v>
      </c>
      <c r="BK3" s="33">
        <v>36.6251</v>
      </c>
      <c r="BL3" s="33">
        <v>15593.0</v>
      </c>
    </row>
    <row r="4">
      <c r="A4" s="33" t="s">
        <v>94</v>
      </c>
      <c r="B4" s="33" t="s">
        <v>53</v>
      </c>
      <c r="C4" s="34">
        <v>6015.87</v>
      </c>
      <c r="D4" s="33">
        <v>125.936</v>
      </c>
      <c r="E4" s="33">
        <v>14476.2</v>
      </c>
      <c r="F4" s="33">
        <v>25.6555</v>
      </c>
      <c r="G4" s="33">
        <v>86.6225</v>
      </c>
      <c r="H4" s="33">
        <v>460.185</v>
      </c>
      <c r="I4" s="33">
        <v>161.555</v>
      </c>
      <c r="J4" s="34">
        <v>1350800.0</v>
      </c>
      <c r="K4" s="34">
        <v>0.224448</v>
      </c>
      <c r="L4" s="33">
        <v>0.458435</v>
      </c>
      <c r="M4" s="33">
        <v>3.04859</v>
      </c>
      <c r="N4" s="33">
        <v>20.0947</v>
      </c>
      <c r="O4" s="33">
        <v>48.7928</v>
      </c>
      <c r="P4" s="33">
        <v>27.6054</v>
      </c>
      <c r="Q4" s="33">
        <v>0.0</v>
      </c>
      <c r="R4" s="34">
        <v>78.9887</v>
      </c>
      <c r="S4" s="33">
        <v>2.01711</v>
      </c>
      <c r="T4" s="33">
        <v>9.25275</v>
      </c>
      <c r="U4" s="33">
        <v>21.0651</v>
      </c>
      <c r="V4" s="33">
        <v>57.8392</v>
      </c>
      <c r="W4" s="33">
        <v>9.00825</v>
      </c>
      <c r="X4" s="33">
        <v>0.817543</v>
      </c>
      <c r="Y4" s="34">
        <v>9.83285</v>
      </c>
      <c r="Z4" s="33">
        <v>0.0</v>
      </c>
      <c r="AA4" s="33">
        <v>100.0</v>
      </c>
      <c r="AB4" s="33">
        <v>0.0</v>
      </c>
      <c r="AC4" s="33">
        <v>0.0</v>
      </c>
      <c r="AD4" s="33">
        <v>0.0</v>
      </c>
      <c r="AE4" s="33">
        <v>0.0</v>
      </c>
      <c r="AF4" s="34">
        <v>0.41183</v>
      </c>
      <c r="AG4" s="33">
        <v>0.290342</v>
      </c>
      <c r="AH4" s="33">
        <v>4.72188</v>
      </c>
      <c r="AI4" s="33">
        <v>20.8588</v>
      </c>
      <c r="AJ4" s="33">
        <v>24.6562</v>
      </c>
      <c r="AK4" s="33">
        <v>43.2075</v>
      </c>
      <c r="AL4" s="33">
        <v>6.26528</v>
      </c>
      <c r="AM4" s="34">
        <v>0.30445</v>
      </c>
      <c r="AN4" s="33">
        <v>0.00764059</v>
      </c>
      <c r="AO4" s="33">
        <v>0.687653</v>
      </c>
      <c r="AP4" s="33">
        <v>21.7986</v>
      </c>
      <c r="AQ4" s="33">
        <v>58.6568</v>
      </c>
      <c r="AR4" s="33">
        <v>14.0128</v>
      </c>
      <c r="AS4" s="33">
        <v>4.83649</v>
      </c>
      <c r="AT4" s="33">
        <v>224.54</v>
      </c>
      <c r="AU4" s="34">
        <v>234.001</v>
      </c>
      <c r="AV4" s="34">
        <v>3713.94</v>
      </c>
      <c r="AW4" s="34">
        <v>0.196838</v>
      </c>
      <c r="AX4" s="33">
        <v>0.0</v>
      </c>
      <c r="AY4" s="33">
        <v>0.00764059</v>
      </c>
      <c r="AZ4" s="33">
        <v>0.00764059</v>
      </c>
      <c r="BA4" s="33">
        <v>0.680012</v>
      </c>
      <c r="BB4" s="33">
        <v>61.9728</v>
      </c>
      <c r="BC4" s="33">
        <v>37.3319</v>
      </c>
      <c r="BD4" s="34">
        <v>41.0763</v>
      </c>
      <c r="BE4" s="33">
        <v>0.0</v>
      </c>
      <c r="BF4" s="33">
        <v>11.4685</v>
      </c>
      <c r="BG4" s="33">
        <v>65.9535</v>
      </c>
      <c r="BH4" s="33">
        <v>20.3545</v>
      </c>
      <c r="BI4" s="33">
        <v>1.8643</v>
      </c>
      <c r="BJ4" s="33">
        <v>0.359108</v>
      </c>
      <c r="BK4" s="33">
        <v>38.1306</v>
      </c>
      <c r="BL4" s="33">
        <v>13088.0</v>
      </c>
    </row>
    <row r="5">
      <c r="A5" s="33" t="s">
        <v>94</v>
      </c>
      <c r="B5" s="33" t="s">
        <v>53</v>
      </c>
      <c r="C5" s="34">
        <v>6183.52</v>
      </c>
      <c r="D5" s="33">
        <v>111.109</v>
      </c>
      <c r="E5" s="33">
        <v>11039.0</v>
      </c>
      <c r="F5" s="33">
        <v>35.6254</v>
      </c>
      <c r="G5" s="33">
        <v>54.5982</v>
      </c>
      <c r="H5" s="33">
        <v>421.247</v>
      </c>
      <c r="I5" s="33">
        <v>163.087</v>
      </c>
      <c r="J5" s="34">
        <v>1538080.0</v>
      </c>
      <c r="K5" s="34">
        <v>0.231634</v>
      </c>
      <c r="L5" s="33">
        <v>0.547054</v>
      </c>
      <c r="M5" s="33">
        <v>2.29171</v>
      </c>
      <c r="N5" s="33">
        <v>15.9902</v>
      </c>
      <c r="O5" s="33">
        <v>54.3506</v>
      </c>
      <c r="P5" s="33">
        <v>26.813</v>
      </c>
      <c r="Q5" s="33">
        <v>0.00739262</v>
      </c>
      <c r="R5" s="34">
        <v>81.1519</v>
      </c>
      <c r="S5" s="33">
        <v>1.66334</v>
      </c>
      <c r="T5" s="33">
        <v>6.68293</v>
      </c>
      <c r="U5" s="33">
        <v>18.3559</v>
      </c>
      <c r="V5" s="33">
        <v>63.4657</v>
      </c>
      <c r="W5" s="33">
        <v>8.90072</v>
      </c>
      <c r="X5" s="33">
        <v>0.93147</v>
      </c>
      <c r="Y5" s="34">
        <v>10.0995</v>
      </c>
      <c r="Z5" s="33">
        <v>0.0</v>
      </c>
      <c r="AA5" s="33">
        <v>99.963</v>
      </c>
      <c r="AB5" s="33">
        <v>0.0369631</v>
      </c>
      <c r="AC5" s="33">
        <v>0.0</v>
      </c>
      <c r="AD5" s="33">
        <v>0.0</v>
      </c>
      <c r="AE5" s="33">
        <v>0.0</v>
      </c>
      <c r="AF5" s="34">
        <v>0.426378</v>
      </c>
      <c r="AG5" s="33">
        <v>0.221779</v>
      </c>
      <c r="AH5" s="33">
        <v>2.79441</v>
      </c>
      <c r="AI5" s="33">
        <v>14.8</v>
      </c>
      <c r="AJ5" s="33">
        <v>31.67</v>
      </c>
      <c r="AK5" s="33">
        <v>46.1447</v>
      </c>
      <c r="AL5" s="33">
        <v>4.36904</v>
      </c>
      <c r="AM5" s="34">
        <v>0.296954</v>
      </c>
      <c r="AN5" s="33">
        <v>0.00739262</v>
      </c>
      <c r="AO5" s="33">
        <v>0.842759</v>
      </c>
      <c r="AP5" s="33">
        <v>21.9931</v>
      </c>
      <c r="AQ5" s="33">
        <v>60.516</v>
      </c>
      <c r="AR5" s="33">
        <v>12.3531</v>
      </c>
      <c r="AS5" s="33">
        <v>4.28772</v>
      </c>
      <c r="AT5" s="33">
        <v>248.739</v>
      </c>
      <c r="AU5" s="34">
        <v>253.201</v>
      </c>
      <c r="AV5" s="34">
        <v>3932.69</v>
      </c>
      <c r="AW5" s="34">
        <v>0.184183</v>
      </c>
      <c r="AX5" s="33">
        <v>0.0</v>
      </c>
      <c r="AY5" s="33">
        <v>0.0</v>
      </c>
      <c r="AZ5" s="33">
        <v>0.0295705</v>
      </c>
      <c r="BA5" s="33">
        <v>0.820581</v>
      </c>
      <c r="BB5" s="33">
        <v>66.918</v>
      </c>
      <c r="BC5" s="33">
        <v>32.2318</v>
      </c>
      <c r="BD5" s="34">
        <v>40.8988</v>
      </c>
      <c r="BE5" s="33">
        <v>0.0</v>
      </c>
      <c r="BF5" s="33">
        <v>10.845</v>
      </c>
      <c r="BG5" s="33">
        <v>68.4926</v>
      </c>
      <c r="BH5" s="33">
        <v>18.5111</v>
      </c>
      <c r="BI5" s="33">
        <v>1.79641</v>
      </c>
      <c r="BJ5" s="33">
        <v>0.354846</v>
      </c>
      <c r="BK5" s="33">
        <v>39.5006</v>
      </c>
      <c r="BL5" s="33">
        <v>13527.0</v>
      </c>
    </row>
    <row r="6">
      <c r="A6" s="33" t="s">
        <v>111</v>
      </c>
      <c r="B6" s="33" t="s">
        <v>53</v>
      </c>
      <c r="C6" s="34">
        <v>6676.4</v>
      </c>
      <c r="D6" s="33">
        <v>105.692</v>
      </c>
      <c r="E6" s="33">
        <v>17147.9</v>
      </c>
      <c r="F6" s="33">
        <v>24.0057</v>
      </c>
      <c r="G6" s="33">
        <v>75.8412</v>
      </c>
      <c r="H6" s="33">
        <v>512.101</v>
      </c>
      <c r="I6" s="33">
        <v>194.279</v>
      </c>
      <c r="J6" s="34">
        <v>1429680.0</v>
      </c>
      <c r="K6" s="34">
        <v>0.237833</v>
      </c>
      <c r="L6" s="33">
        <v>0.55467</v>
      </c>
      <c r="M6" s="33">
        <v>2.73175</v>
      </c>
      <c r="N6" s="33">
        <v>14.775</v>
      </c>
      <c r="O6" s="33">
        <v>51.2307</v>
      </c>
      <c r="P6" s="33">
        <v>30.7079</v>
      </c>
      <c r="Q6" s="33">
        <v>0.0</v>
      </c>
      <c r="R6" s="34">
        <v>80.5505</v>
      </c>
      <c r="S6" s="33">
        <v>1.79574</v>
      </c>
      <c r="T6" s="33">
        <v>7.87631</v>
      </c>
      <c r="U6" s="33">
        <v>19.3649</v>
      </c>
      <c r="V6" s="33">
        <v>60.5561</v>
      </c>
      <c r="W6" s="33">
        <v>9.47792</v>
      </c>
      <c r="X6" s="33">
        <v>0.929072</v>
      </c>
      <c r="Y6" s="34">
        <v>9.28139</v>
      </c>
      <c r="Z6" s="33">
        <v>0.0</v>
      </c>
      <c r="AA6" s="33">
        <v>100.0</v>
      </c>
      <c r="AB6" s="33">
        <v>0.0</v>
      </c>
      <c r="AC6" s="33">
        <v>0.0</v>
      </c>
      <c r="AD6" s="33">
        <v>0.0</v>
      </c>
      <c r="AE6" s="33">
        <v>0.0</v>
      </c>
      <c r="AF6" s="34">
        <v>0.443762</v>
      </c>
      <c r="AG6" s="33">
        <v>0.173334</v>
      </c>
      <c r="AH6" s="33">
        <v>3.09228</v>
      </c>
      <c r="AI6" s="33">
        <v>13.5201</v>
      </c>
      <c r="AJ6" s="33">
        <v>25.0156</v>
      </c>
      <c r="AK6" s="33">
        <v>50.8077</v>
      </c>
      <c r="AL6" s="33">
        <v>7.39097</v>
      </c>
      <c r="AM6" s="34">
        <v>0.314115</v>
      </c>
      <c r="AN6" s="33">
        <v>0.0970672</v>
      </c>
      <c r="AO6" s="33">
        <v>0.755737</v>
      </c>
      <c r="AP6" s="33">
        <v>19.9542</v>
      </c>
      <c r="AQ6" s="33">
        <v>57.8104</v>
      </c>
      <c r="AR6" s="33">
        <v>16.1686</v>
      </c>
      <c r="AS6" s="33">
        <v>5.21389</v>
      </c>
      <c r="AT6" s="33">
        <v>214.14</v>
      </c>
      <c r="AU6" s="34">
        <v>219.607</v>
      </c>
      <c r="AV6" s="34">
        <v>4116.46</v>
      </c>
      <c r="AW6" s="34">
        <v>0.18697</v>
      </c>
      <c r="AX6" s="33">
        <v>0.0</v>
      </c>
      <c r="AY6" s="33">
        <v>0.0832004</v>
      </c>
      <c r="AZ6" s="33">
        <v>0.0624003</v>
      </c>
      <c r="BA6" s="33">
        <v>0.707204</v>
      </c>
      <c r="BB6" s="33">
        <v>66.3385</v>
      </c>
      <c r="BC6" s="33">
        <v>32.8087</v>
      </c>
      <c r="BD6" s="34">
        <v>42.85</v>
      </c>
      <c r="BE6" s="33">
        <v>0.0</v>
      </c>
      <c r="BF6" s="33">
        <v>8.05658</v>
      </c>
      <c r="BG6" s="33">
        <v>66.9902</v>
      </c>
      <c r="BH6" s="33">
        <v>22.2908</v>
      </c>
      <c r="BI6" s="33">
        <v>2.17014</v>
      </c>
      <c r="BJ6" s="33">
        <v>0.492269</v>
      </c>
      <c r="BK6" s="33">
        <v>38.07</v>
      </c>
      <c r="BL6" s="33">
        <v>14423.0</v>
      </c>
    </row>
    <row r="7">
      <c r="A7" s="33" t="s">
        <v>111</v>
      </c>
      <c r="B7" s="33" t="s">
        <v>53</v>
      </c>
      <c r="C7" s="34">
        <v>7523.44</v>
      </c>
      <c r="D7" s="33">
        <v>121.788</v>
      </c>
      <c r="E7" s="33">
        <v>16477.0</v>
      </c>
      <c r="F7" s="33">
        <v>25.9498</v>
      </c>
      <c r="G7" s="33">
        <v>50.2885</v>
      </c>
      <c r="H7" s="33">
        <v>538.374</v>
      </c>
      <c r="I7" s="33">
        <v>215.002</v>
      </c>
      <c r="J7" s="34">
        <v>1700990.0</v>
      </c>
      <c r="K7" s="34">
        <v>0.226695</v>
      </c>
      <c r="L7" s="33">
        <v>0.312999</v>
      </c>
      <c r="M7" s="33">
        <v>2.14438</v>
      </c>
      <c r="N7" s="33">
        <v>18.4337</v>
      </c>
      <c r="O7" s="33">
        <v>54.0956</v>
      </c>
      <c r="P7" s="33">
        <v>25.0133</v>
      </c>
      <c r="Q7" s="33">
        <v>0.0</v>
      </c>
      <c r="R7" s="34">
        <v>79.0979</v>
      </c>
      <c r="S7" s="33">
        <v>1.29196</v>
      </c>
      <c r="T7" s="33">
        <v>7.21897</v>
      </c>
      <c r="U7" s="33">
        <v>23.2419</v>
      </c>
      <c r="V7" s="33">
        <v>61.208</v>
      </c>
      <c r="W7" s="33">
        <v>6.06686</v>
      </c>
      <c r="X7" s="33">
        <v>0.972296</v>
      </c>
      <c r="Y7" s="34">
        <v>10.3854</v>
      </c>
      <c r="Z7" s="33">
        <v>0.0</v>
      </c>
      <c r="AA7" s="33">
        <v>99.96</v>
      </c>
      <c r="AB7" s="33">
        <v>0.0399574</v>
      </c>
      <c r="AC7" s="33">
        <v>0.0</v>
      </c>
      <c r="AD7" s="33">
        <v>0.0</v>
      </c>
      <c r="AE7" s="33">
        <v>0.0</v>
      </c>
      <c r="AF7" s="34">
        <v>0.398025</v>
      </c>
      <c r="AG7" s="33">
        <v>0.406233</v>
      </c>
      <c r="AH7" s="33">
        <v>5.41422</v>
      </c>
      <c r="AI7" s="33">
        <v>19.4925</v>
      </c>
      <c r="AJ7" s="33">
        <v>30.594</v>
      </c>
      <c r="AK7" s="33">
        <v>41.4957</v>
      </c>
      <c r="AL7" s="33">
        <v>2.59723</v>
      </c>
      <c r="AM7" s="34">
        <v>0.303722</v>
      </c>
      <c r="AN7" s="33">
        <v>0.0199787</v>
      </c>
      <c r="AO7" s="33">
        <v>0.732552</v>
      </c>
      <c r="AP7" s="33">
        <v>18.6002</v>
      </c>
      <c r="AQ7" s="33">
        <v>63.3125</v>
      </c>
      <c r="AR7" s="33">
        <v>13.8985</v>
      </c>
      <c r="AS7" s="33">
        <v>3.43633</v>
      </c>
      <c r="AT7" s="33">
        <v>226.092</v>
      </c>
      <c r="AU7" s="34">
        <v>245.407</v>
      </c>
      <c r="AV7" s="34">
        <v>4275.75</v>
      </c>
      <c r="AW7" s="34">
        <v>0.200743</v>
      </c>
      <c r="AX7" s="33">
        <v>0.0</v>
      </c>
      <c r="AY7" s="33">
        <v>0.0</v>
      </c>
      <c r="AZ7" s="33">
        <v>0.0466169</v>
      </c>
      <c r="BA7" s="33">
        <v>0.705914</v>
      </c>
      <c r="BB7" s="33">
        <v>59.1236</v>
      </c>
      <c r="BC7" s="33">
        <v>40.1239</v>
      </c>
      <c r="BD7" s="34">
        <v>40.5784</v>
      </c>
      <c r="BE7" s="33">
        <v>0.0</v>
      </c>
      <c r="BF7" s="33">
        <v>10.9683</v>
      </c>
      <c r="BG7" s="33">
        <v>68.8466</v>
      </c>
      <c r="BH7" s="33">
        <v>18.4337</v>
      </c>
      <c r="BI7" s="33">
        <v>1.52504</v>
      </c>
      <c r="BJ7" s="33">
        <v>0.226425</v>
      </c>
      <c r="BK7" s="33">
        <v>34.6366</v>
      </c>
      <c r="BL7" s="33">
        <v>15016.0</v>
      </c>
    </row>
    <row r="8">
      <c r="A8" s="33" t="s">
        <v>111</v>
      </c>
      <c r="B8" s="33" t="s">
        <v>53</v>
      </c>
      <c r="C8" s="34">
        <v>5822.06</v>
      </c>
      <c r="D8" s="33">
        <v>117.767</v>
      </c>
      <c r="E8" s="33">
        <v>14357.7</v>
      </c>
      <c r="F8" s="33">
        <v>24.311</v>
      </c>
      <c r="G8" s="33">
        <v>91.4639</v>
      </c>
      <c r="H8" s="33">
        <v>453.895</v>
      </c>
      <c r="I8" s="33">
        <v>153.605</v>
      </c>
      <c r="J8" s="34">
        <v>1304510.0</v>
      </c>
      <c r="K8" s="34">
        <v>0.225589</v>
      </c>
      <c r="L8" s="33">
        <v>0.394542</v>
      </c>
      <c r="M8" s="33">
        <v>2.95907</v>
      </c>
      <c r="N8" s="33">
        <v>19.7929</v>
      </c>
      <c r="O8" s="33">
        <v>49.4575</v>
      </c>
      <c r="P8" s="33">
        <v>27.396</v>
      </c>
      <c r="Q8" s="33">
        <v>0.0</v>
      </c>
      <c r="R8" s="34">
        <v>79.282</v>
      </c>
      <c r="S8" s="33">
        <v>1.95627</v>
      </c>
      <c r="T8" s="33">
        <v>8.59773</v>
      </c>
      <c r="U8" s="33">
        <v>21.1491</v>
      </c>
      <c r="V8" s="33">
        <v>59.1156</v>
      </c>
      <c r="W8" s="33">
        <v>8.18675</v>
      </c>
      <c r="X8" s="33">
        <v>0.994575</v>
      </c>
      <c r="Y8" s="34">
        <v>9.84414</v>
      </c>
      <c r="Z8" s="33">
        <v>0.0</v>
      </c>
      <c r="AA8" s="33">
        <v>99.9918</v>
      </c>
      <c r="AB8" s="33">
        <v>0.00821963</v>
      </c>
      <c r="AC8" s="33">
        <v>0.0</v>
      </c>
      <c r="AD8" s="33">
        <v>0.0</v>
      </c>
      <c r="AE8" s="33">
        <v>0.0</v>
      </c>
      <c r="AF8" s="34">
        <v>0.412449</v>
      </c>
      <c r="AG8" s="33">
        <v>0.180832</v>
      </c>
      <c r="AH8" s="33">
        <v>4.12625</v>
      </c>
      <c r="AI8" s="33">
        <v>20.4915</v>
      </c>
      <c r="AJ8" s="33">
        <v>26.7795</v>
      </c>
      <c r="AK8" s="33">
        <v>42.7667</v>
      </c>
      <c r="AL8" s="33">
        <v>5.6551</v>
      </c>
      <c r="AM8" s="34">
        <v>0.302823</v>
      </c>
      <c r="AN8" s="33">
        <v>0.00821963</v>
      </c>
      <c r="AO8" s="33">
        <v>0.813743</v>
      </c>
      <c r="AP8" s="33">
        <v>21.5519</v>
      </c>
      <c r="AQ8" s="33">
        <v>59.132</v>
      </c>
      <c r="AR8" s="33">
        <v>13.9569</v>
      </c>
      <c r="AS8" s="33">
        <v>4.53723</v>
      </c>
      <c r="AT8" s="33">
        <v>224.063</v>
      </c>
      <c r="AU8" s="34">
        <v>234.607</v>
      </c>
      <c r="AV8" s="34">
        <v>3490.49</v>
      </c>
      <c r="AW8" s="34">
        <v>0.195268</v>
      </c>
      <c r="AX8" s="33">
        <v>0.0</v>
      </c>
      <c r="AY8" s="33">
        <v>0.0</v>
      </c>
      <c r="AZ8" s="33">
        <v>0.00821963</v>
      </c>
      <c r="BA8" s="33">
        <v>0.813743</v>
      </c>
      <c r="BB8" s="33">
        <v>62.6418</v>
      </c>
      <c r="BC8" s="33">
        <v>36.5362</v>
      </c>
      <c r="BD8" s="34">
        <v>40.911</v>
      </c>
      <c r="BE8" s="33">
        <v>0.0</v>
      </c>
      <c r="BF8" s="33">
        <v>11.5404</v>
      </c>
      <c r="BG8" s="33">
        <v>65.8228</v>
      </c>
      <c r="BH8" s="33">
        <v>20.5573</v>
      </c>
      <c r="BI8" s="33">
        <v>1.8412</v>
      </c>
      <c r="BJ8" s="33">
        <v>0.238369</v>
      </c>
      <c r="BK8" s="33">
        <v>36.842</v>
      </c>
      <c r="BL8" s="33">
        <v>12166.0</v>
      </c>
    </row>
    <row r="9">
      <c r="A9" s="33" t="s">
        <v>111</v>
      </c>
      <c r="B9" s="33" t="s">
        <v>53</v>
      </c>
      <c r="C9" s="34">
        <v>6265.99</v>
      </c>
      <c r="D9" s="33">
        <v>118.337</v>
      </c>
      <c r="E9" s="33">
        <v>11748.7</v>
      </c>
      <c r="F9" s="33">
        <v>32.8276</v>
      </c>
      <c r="G9" s="33">
        <v>61.3657</v>
      </c>
      <c r="H9" s="33">
        <v>422.981</v>
      </c>
      <c r="I9" s="33">
        <v>163.514</v>
      </c>
      <c r="J9" s="34">
        <v>1580690.0</v>
      </c>
      <c r="K9" s="34">
        <v>0.230252</v>
      </c>
      <c r="L9" s="33">
        <v>0.41841</v>
      </c>
      <c r="M9" s="33">
        <v>2.51046</v>
      </c>
      <c r="N9" s="33">
        <v>16.4525</v>
      </c>
      <c r="O9" s="33">
        <v>54.1169</v>
      </c>
      <c r="P9" s="33">
        <v>26.5018</v>
      </c>
      <c r="Q9" s="33">
        <v>0.0</v>
      </c>
      <c r="R9" s="34">
        <v>80.7796</v>
      </c>
      <c r="S9" s="33">
        <v>1.67364</v>
      </c>
      <c r="T9" s="33">
        <v>6.83652</v>
      </c>
      <c r="U9" s="33">
        <v>19.1423</v>
      </c>
      <c r="V9" s="33">
        <v>62.8586</v>
      </c>
      <c r="W9" s="33">
        <v>8.42797</v>
      </c>
      <c r="X9" s="33">
        <v>1.06097</v>
      </c>
      <c r="Y9" s="34">
        <v>10.0046</v>
      </c>
      <c r="Z9" s="33">
        <v>0.0</v>
      </c>
      <c r="AA9" s="33">
        <v>100.0</v>
      </c>
      <c r="AB9" s="33">
        <v>0.0</v>
      </c>
      <c r="AC9" s="33">
        <v>0.0</v>
      </c>
      <c r="AD9" s="33">
        <v>0.0</v>
      </c>
      <c r="AE9" s="33">
        <v>0.0</v>
      </c>
      <c r="AF9" s="34">
        <v>0.418684</v>
      </c>
      <c r="AG9" s="33">
        <v>0.246563</v>
      </c>
      <c r="AH9" s="33">
        <v>3.45935</v>
      </c>
      <c r="AI9" s="33">
        <v>16.1088</v>
      </c>
      <c r="AJ9" s="33">
        <v>32.2176</v>
      </c>
      <c r="AK9" s="33">
        <v>43.8957</v>
      </c>
      <c r="AL9" s="33">
        <v>4.07203</v>
      </c>
      <c r="AM9" s="34">
        <v>0.29822</v>
      </c>
      <c r="AN9" s="33">
        <v>0.0</v>
      </c>
      <c r="AO9" s="33">
        <v>1.03108</v>
      </c>
      <c r="AP9" s="33">
        <v>21.4211</v>
      </c>
      <c r="AQ9" s="33">
        <v>60.7666</v>
      </c>
      <c r="AR9" s="33">
        <v>12.5374</v>
      </c>
      <c r="AS9" s="33">
        <v>4.24387</v>
      </c>
      <c r="AT9" s="33">
        <v>252.265</v>
      </c>
      <c r="AU9" s="34">
        <v>257.75</v>
      </c>
      <c r="AV9" s="34">
        <v>3856.82</v>
      </c>
      <c r="AW9" s="34">
        <v>0.188678</v>
      </c>
      <c r="AX9" s="33">
        <v>0.0</v>
      </c>
      <c r="AY9" s="33">
        <v>0.0</v>
      </c>
      <c r="AZ9" s="33">
        <v>0.0</v>
      </c>
      <c r="BA9" s="33">
        <v>1.03108</v>
      </c>
      <c r="BB9" s="33">
        <v>65.6306</v>
      </c>
      <c r="BC9" s="33">
        <v>33.3383</v>
      </c>
      <c r="BD9" s="34">
        <v>40.8319</v>
      </c>
      <c r="BE9" s="33">
        <v>0.0</v>
      </c>
      <c r="BF9" s="33">
        <v>10.9085</v>
      </c>
      <c r="BG9" s="33">
        <v>68.5296</v>
      </c>
      <c r="BH9" s="33">
        <v>18.3577</v>
      </c>
      <c r="BI9" s="33">
        <v>1.88285</v>
      </c>
      <c r="BJ9" s="33">
        <v>0.321279</v>
      </c>
      <c r="BK9" s="33">
        <v>37.9967</v>
      </c>
      <c r="BL9" s="33">
        <v>13384.0</v>
      </c>
    </row>
    <row r="10" ht="14.25" customHeight="1">
      <c r="A10" s="33" t="s">
        <v>112</v>
      </c>
      <c r="B10" s="33" t="s">
        <v>53</v>
      </c>
      <c r="C10" s="32">
        <v>5636.74</v>
      </c>
      <c r="D10" s="31">
        <v>106.533</v>
      </c>
      <c r="E10" s="31">
        <v>10859.6</v>
      </c>
      <c r="F10" s="31">
        <v>34.5684</v>
      </c>
      <c r="G10" s="31">
        <v>55.8204</v>
      </c>
      <c r="H10" s="31">
        <v>416.545</v>
      </c>
      <c r="I10" s="31">
        <v>156.226</v>
      </c>
      <c r="J10" s="32">
        <v>1311620.0</v>
      </c>
      <c r="K10" s="32">
        <v>0.235586</v>
      </c>
      <c r="L10" s="31">
        <v>0.405277</v>
      </c>
      <c r="M10" s="31">
        <v>2.92435</v>
      </c>
      <c r="N10" s="31">
        <v>14.8522</v>
      </c>
      <c r="O10" s="31">
        <v>52.6542</v>
      </c>
      <c r="P10" s="31">
        <v>29.164</v>
      </c>
      <c r="Q10" s="31">
        <v>0.0</v>
      </c>
      <c r="R10" s="32">
        <v>83.4019</v>
      </c>
      <c r="S10" s="31">
        <v>1.46217</v>
      </c>
      <c r="T10" s="31">
        <v>5.92022</v>
      </c>
      <c r="U10" s="31">
        <v>16.4971</v>
      </c>
      <c r="V10" s="31">
        <v>62.3411</v>
      </c>
      <c r="W10" s="31">
        <v>11.8166</v>
      </c>
      <c r="X10" s="31">
        <v>1.96281</v>
      </c>
      <c r="Y10" s="32">
        <v>9.53097</v>
      </c>
      <c r="Z10" s="31">
        <v>0.0</v>
      </c>
      <c r="AA10" s="31">
        <v>100.0</v>
      </c>
      <c r="AB10" s="31">
        <v>0.0</v>
      </c>
      <c r="AC10" s="31">
        <v>0.0</v>
      </c>
      <c r="AD10" s="31">
        <v>0.0</v>
      </c>
      <c r="AE10" s="31">
        <v>0.0</v>
      </c>
      <c r="AF10" s="32">
        <v>0.449792</v>
      </c>
      <c r="AG10" s="31">
        <v>0.270184</v>
      </c>
      <c r="AH10" s="31">
        <v>3.07533</v>
      </c>
      <c r="AI10" s="31">
        <v>14.28</v>
      </c>
      <c r="AJ10" s="31">
        <v>21.3128</v>
      </c>
      <c r="AK10" s="31">
        <v>50.7788</v>
      </c>
      <c r="AL10" s="31">
        <v>10.2829</v>
      </c>
      <c r="AM10" s="32">
        <v>0.277012</v>
      </c>
      <c r="AN10" s="31">
        <v>0.389383</v>
      </c>
      <c r="AO10" s="31">
        <v>1.43039</v>
      </c>
      <c r="AP10" s="31">
        <v>25.1192</v>
      </c>
      <c r="AQ10" s="31">
        <v>59.6551</v>
      </c>
      <c r="AR10" s="31">
        <v>10.0445</v>
      </c>
      <c r="AS10" s="31">
        <v>3.36141</v>
      </c>
      <c r="AT10" s="31">
        <v>232.692</v>
      </c>
      <c r="AU10" s="32">
        <v>235.224</v>
      </c>
      <c r="AV10" s="32">
        <v>3753.98</v>
      </c>
      <c r="AW10" s="32">
        <v>0.162598</v>
      </c>
      <c r="AX10" s="31">
        <v>0.0</v>
      </c>
      <c r="AY10" s="31">
        <v>0.294024</v>
      </c>
      <c r="AZ10" s="31">
        <v>0.429116</v>
      </c>
      <c r="BA10" s="31">
        <v>1.09663</v>
      </c>
      <c r="BB10" s="31">
        <v>72.6637</v>
      </c>
      <c r="BC10" s="31">
        <v>25.5165</v>
      </c>
      <c r="BD10" s="32">
        <v>40.1694</v>
      </c>
      <c r="BE10" s="31">
        <v>0.0</v>
      </c>
      <c r="BF10" s="31">
        <v>10.2193</v>
      </c>
      <c r="BG10" s="31">
        <v>71.877</v>
      </c>
      <c r="BH10" s="31">
        <v>16.0283</v>
      </c>
      <c r="BI10" s="31">
        <v>1.58137</v>
      </c>
      <c r="BJ10" s="31">
        <v>0.294024</v>
      </c>
      <c r="BK10" s="31">
        <v>41.7628</v>
      </c>
      <c r="BL10" s="31">
        <v>12584.0</v>
      </c>
    </row>
    <row r="11" ht="14.25" customHeight="1">
      <c r="A11" s="33" t="s">
        <v>112</v>
      </c>
      <c r="B11" s="33" t="s">
        <v>53</v>
      </c>
      <c r="C11" s="32">
        <v>5209.67</v>
      </c>
      <c r="D11" s="31">
        <v>81.0104</v>
      </c>
      <c r="E11" s="31">
        <v>10970.5</v>
      </c>
      <c r="F11" s="31">
        <v>32.0815</v>
      </c>
      <c r="G11" s="31">
        <v>60.0237</v>
      </c>
      <c r="H11" s="31">
        <v>439.047</v>
      </c>
      <c r="I11" s="31">
        <v>158.584</v>
      </c>
      <c r="J11" s="32">
        <v>1105370.0</v>
      </c>
      <c r="K11" s="32">
        <v>0.231329</v>
      </c>
      <c r="L11" s="31">
        <v>0.510551</v>
      </c>
      <c r="M11" s="31">
        <v>2.42512</v>
      </c>
      <c r="N11" s="31">
        <v>15.1549</v>
      </c>
      <c r="O11" s="31">
        <v>55.8543</v>
      </c>
      <c r="P11" s="31">
        <v>26.0551</v>
      </c>
      <c r="Q11" s="31">
        <v>0.0</v>
      </c>
      <c r="R11" s="32">
        <v>82.3435</v>
      </c>
      <c r="S11" s="31">
        <v>1.73587</v>
      </c>
      <c r="T11" s="31">
        <v>5.77774</v>
      </c>
      <c r="U11" s="31">
        <v>17.2141</v>
      </c>
      <c r="V11" s="31">
        <v>63.9806</v>
      </c>
      <c r="W11" s="31">
        <v>10.2621</v>
      </c>
      <c r="X11" s="31">
        <v>1.02961</v>
      </c>
      <c r="Y11" s="32">
        <v>9.59454</v>
      </c>
      <c r="Z11" s="31">
        <v>0.0</v>
      </c>
      <c r="AA11" s="31">
        <v>100.0</v>
      </c>
      <c r="AB11" s="31">
        <v>0.0</v>
      </c>
      <c r="AC11" s="31">
        <v>0.0</v>
      </c>
      <c r="AD11" s="31">
        <v>0.0</v>
      </c>
      <c r="AE11" s="31">
        <v>0.0</v>
      </c>
      <c r="AF11" s="32">
        <v>0.442893</v>
      </c>
      <c r="AG11" s="31">
        <v>0.238257</v>
      </c>
      <c r="AH11" s="31">
        <v>2.48468</v>
      </c>
      <c r="AI11" s="31">
        <v>11.8788</v>
      </c>
      <c r="AJ11" s="31">
        <v>27.1784</v>
      </c>
      <c r="AK11" s="31">
        <v>54.6971</v>
      </c>
      <c r="AL11" s="31">
        <v>3.5228</v>
      </c>
      <c r="AM11" s="32">
        <v>0.282985</v>
      </c>
      <c r="AN11" s="31">
        <v>0.110619</v>
      </c>
      <c r="AO11" s="31">
        <v>0.936011</v>
      </c>
      <c r="AP11" s="31">
        <v>25.3999</v>
      </c>
      <c r="AQ11" s="31">
        <v>60.0068</v>
      </c>
      <c r="AR11" s="31">
        <v>9.59837</v>
      </c>
      <c r="AS11" s="31">
        <v>3.94826</v>
      </c>
      <c r="AT11" s="31">
        <v>212.178</v>
      </c>
      <c r="AU11" s="32">
        <v>214.862</v>
      </c>
      <c r="AV11" s="32">
        <v>3519.49</v>
      </c>
      <c r="AW11" s="32">
        <v>0.170145</v>
      </c>
      <c r="AX11" s="31">
        <v>0.0</v>
      </c>
      <c r="AY11" s="31">
        <v>0.10211</v>
      </c>
      <c r="AZ11" s="31">
        <v>0.0850919</v>
      </c>
      <c r="BA11" s="31">
        <v>0.859428</v>
      </c>
      <c r="BB11" s="31">
        <v>74.0385</v>
      </c>
      <c r="BC11" s="31">
        <v>24.9149</v>
      </c>
      <c r="BD11" s="32">
        <v>40.0428</v>
      </c>
      <c r="BE11" s="31">
        <v>0.0</v>
      </c>
      <c r="BF11" s="31">
        <v>10.5599</v>
      </c>
      <c r="BG11" s="31">
        <v>72.3792</v>
      </c>
      <c r="BH11" s="31">
        <v>14.9081</v>
      </c>
      <c r="BI11" s="31">
        <v>1.82097</v>
      </c>
      <c r="BJ11" s="31">
        <v>0.331858</v>
      </c>
      <c r="BK11" s="31">
        <v>42.5059</v>
      </c>
      <c r="BL11" s="31">
        <v>11752.0</v>
      </c>
    </row>
    <row r="12" ht="14.25" customHeight="1">
      <c r="A12" s="33" t="s">
        <v>112</v>
      </c>
      <c r="B12" s="33" t="s">
        <v>53</v>
      </c>
      <c r="C12" s="32">
        <v>5355.39</v>
      </c>
      <c r="D12" s="31">
        <v>133.809</v>
      </c>
      <c r="E12" s="31">
        <v>17892.7</v>
      </c>
      <c r="F12" s="31">
        <v>18.0892</v>
      </c>
      <c r="G12" s="31">
        <v>66.1189</v>
      </c>
      <c r="H12" s="31">
        <v>531.792</v>
      </c>
      <c r="I12" s="31">
        <v>183.228</v>
      </c>
      <c r="J12" s="32">
        <v>1235930.0</v>
      </c>
      <c r="K12" s="32">
        <v>0.204252</v>
      </c>
      <c r="L12" s="31">
        <v>0.634231</v>
      </c>
      <c r="M12" s="31">
        <v>3.72719</v>
      </c>
      <c r="N12" s="31">
        <v>23.4405</v>
      </c>
      <c r="O12" s="31">
        <v>53.0061</v>
      </c>
      <c r="P12" s="31">
        <v>19.192</v>
      </c>
      <c r="Q12" s="31">
        <v>0.0</v>
      </c>
      <c r="R12" s="32">
        <v>76.1203</v>
      </c>
      <c r="S12" s="31">
        <v>2.31103</v>
      </c>
      <c r="T12" s="31">
        <v>10.3736</v>
      </c>
      <c r="U12" s="31">
        <v>25.3171</v>
      </c>
      <c r="V12" s="31">
        <v>54.2398</v>
      </c>
      <c r="W12" s="31">
        <v>6.61164</v>
      </c>
      <c r="X12" s="31">
        <v>1.14683</v>
      </c>
      <c r="Y12" s="32">
        <v>10.1931</v>
      </c>
      <c r="Z12" s="31">
        <v>0.0</v>
      </c>
      <c r="AA12" s="31">
        <v>99.9826</v>
      </c>
      <c r="AB12" s="31">
        <v>0.0173762</v>
      </c>
      <c r="AC12" s="31">
        <v>0.0</v>
      </c>
      <c r="AD12" s="31">
        <v>0.0</v>
      </c>
      <c r="AE12" s="31">
        <v>0.0</v>
      </c>
      <c r="AF12" s="32">
        <v>0.386641</v>
      </c>
      <c r="AG12" s="31">
        <v>0.625543</v>
      </c>
      <c r="AH12" s="31">
        <v>5.70808</v>
      </c>
      <c r="AI12" s="31">
        <v>23.3102</v>
      </c>
      <c r="AJ12" s="31">
        <v>29.47</v>
      </c>
      <c r="AK12" s="31">
        <v>36.8375</v>
      </c>
      <c r="AL12" s="31">
        <v>4.04865</v>
      </c>
      <c r="AM12" s="32">
        <v>0.304427</v>
      </c>
      <c r="AN12" s="31">
        <v>0.0</v>
      </c>
      <c r="AO12" s="31">
        <v>0.799305</v>
      </c>
      <c r="AP12" s="31">
        <v>21.6507</v>
      </c>
      <c r="AQ12" s="31">
        <v>59.6699</v>
      </c>
      <c r="AR12" s="31">
        <v>12.2242</v>
      </c>
      <c r="AS12" s="31">
        <v>5.65595</v>
      </c>
      <c r="AT12" s="31">
        <v>230.782</v>
      </c>
      <c r="AU12" s="32">
        <v>252.062</v>
      </c>
      <c r="AV12" s="32">
        <v>3236.65</v>
      </c>
      <c r="AW12" s="32">
        <v>0.208188</v>
      </c>
      <c r="AX12" s="31">
        <v>0.0</v>
      </c>
      <c r="AY12" s="31">
        <v>0.0</v>
      </c>
      <c r="AZ12" s="31">
        <v>0.0260643</v>
      </c>
      <c r="BA12" s="31">
        <v>0.773241</v>
      </c>
      <c r="BB12" s="31">
        <v>58.9487</v>
      </c>
      <c r="BC12" s="31">
        <v>40.252</v>
      </c>
      <c r="BD12" s="32">
        <v>39.6292</v>
      </c>
      <c r="BE12" s="31">
        <v>0.0</v>
      </c>
      <c r="BF12" s="31">
        <v>13.2059</v>
      </c>
      <c r="BG12" s="31">
        <v>68.5838</v>
      </c>
      <c r="BH12" s="31">
        <v>15.543</v>
      </c>
      <c r="BI12" s="31">
        <v>2.25022</v>
      </c>
      <c r="BJ12" s="31">
        <v>0.417029</v>
      </c>
      <c r="BK12" s="31">
        <v>37.1883</v>
      </c>
      <c r="BL12" s="31">
        <v>11510.0</v>
      </c>
    </row>
    <row r="13" ht="14.25" customHeight="1">
      <c r="A13" s="33" t="s">
        <v>112</v>
      </c>
      <c r="B13" s="33" t="s">
        <v>53</v>
      </c>
      <c r="C13" s="32">
        <v>6745.98</v>
      </c>
      <c r="D13" s="31">
        <v>122.594</v>
      </c>
      <c r="E13" s="31">
        <v>13903.6</v>
      </c>
      <c r="F13" s="31">
        <v>31.8582</v>
      </c>
      <c r="G13" s="31">
        <v>73.0286</v>
      </c>
      <c r="H13" s="31">
        <v>457.659</v>
      </c>
      <c r="I13" s="31">
        <v>158.186</v>
      </c>
      <c r="J13" s="32">
        <v>1357850.0</v>
      </c>
      <c r="K13" s="32">
        <v>0.23982</v>
      </c>
      <c r="L13" s="31">
        <v>0.589551</v>
      </c>
      <c r="M13" s="31">
        <v>2.69025</v>
      </c>
      <c r="N13" s="31">
        <v>14.5016</v>
      </c>
      <c r="O13" s="31">
        <v>50.4439</v>
      </c>
      <c r="P13" s="31">
        <v>31.7612</v>
      </c>
      <c r="Q13" s="31">
        <v>0.0135529</v>
      </c>
      <c r="R13" s="32">
        <v>82.8545</v>
      </c>
      <c r="S13" s="31">
        <v>1.99905</v>
      </c>
      <c r="T13" s="31">
        <v>6.61381</v>
      </c>
      <c r="U13" s="31">
        <v>16.8462</v>
      </c>
      <c r="V13" s="31">
        <v>59.9715</v>
      </c>
      <c r="W13" s="31">
        <v>13.6545</v>
      </c>
      <c r="X13" s="31">
        <v>0.91482</v>
      </c>
      <c r="Y13" s="32">
        <v>9.15651</v>
      </c>
      <c r="Z13" s="31">
        <v>0.0</v>
      </c>
      <c r="AA13" s="31">
        <v>100.0</v>
      </c>
      <c r="AB13" s="31">
        <v>0.0</v>
      </c>
      <c r="AC13" s="31">
        <v>0.0</v>
      </c>
      <c r="AD13" s="31">
        <v>0.0</v>
      </c>
      <c r="AE13" s="31">
        <v>0.0</v>
      </c>
      <c r="AF13" s="32">
        <v>0.464761</v>
      </c>
      <c r="AG13" s="31">
        <v>0.203293</v>
      </c>
      <c r="AH13" s="31">
        <v>3.15105</v>
      </c>
      <c r="AI13" s="31">
        <v>11.8994</v>
      </c>
      <c r="AJ13" s="31">
        <v>20.7291</v>
      </c>
      <c r="AK13" s="31">
        <v>50.0983</v>
      </c>
      <c r="AL13" s="31">
        <v>13.9188</v>
      </c>
      <c r="AM13" s="32">
        <v>0.28893</v>
      </c>
      <c r="AN13" s="31">
        <v>0.0135529</v>
      </c>
      <c r="AO13" s="31">
        <v>0.826726</v>
      </c>
      <c r="AP13" s="31">
        <v>25.8318</v>
      </c>
      <c r="AQ13" s="31">
        <v>57.532</v>
      </c>
      <c r="AR13" s="31">
        <v>11.3641</v>
      </c>
      <c r="AS13" s="31">
        <v>4.4318</v>
      </c>
      <c r="AT13" s="31">
        <v>201.282</v>
      </c>
      <c r="AU13" s="32">
        <v>202.964</v>
      </c>
      <c r="AV13" s="32">
        <v>4429.42</v>
      </c>
      <c r="AW13" s="32">
        <v>0.167271</v>
      </c>
      <c r="AX13" s="31">
        <v>0.0</v>
      </c>
      <c r="AY13" s="31">
        <v>0.0</v>
      </c>
      <c r="AZ13" s="31">
        <v>0.0338822</v>
      </c>
      <c r="BA13" s="31">
        <v>0.806397</v>
      </c>
      <c r="BB13" s="31">
        <v>74.7713</v>
      </c>
      <c r="BC13" s="31">
        <v>24.3884</v>
      </c>
      <c r="BD13" s="32">
        <v>41.3695</v>
      </c>
      <c r="BE13" s="31">
        <v>0.0</v>
      </c>
      <c r="BF13" s="31">
        <v>8.87714</v>
      </c>
      <c r="BG13" s="31">
        <v>70.0413</v>
      </c>
      <c r="BH13" s="31">
        <v>18.7165</v>
      </c>
      <c r="BI13" s="31">
        <v>1.95162</v>
      </c>
      <c r="BJ13" s="31">
        <v>0.413363</v>
      </c>
      <c r="BK13" s="31">
        <v>41.0461</v>
      </c>
      <c r="BL13" s="31">
        <v>14757.0</v>
      </c>
    </row>
    <row r="14">
      <c r="A14" s="33" t="s">
        <v>113</v>
      </c>
      <c r="B14" s="33" t="s">
        <v>53</v>
      </c>
      <c r="C14" s="34">
        <v>7229.7</v>
      </c>
      <c r="D14" s="33">
        <v>121.914</v>
      </c>
      <c r="E14" s="33">
        <v>17495.5</v>
      </c>
      <c r="F14" s="33">
        <v>25.2599</v>
      </c>
      <c r="G14" s="33">
        <v>55.1796</v>
      </c>
      <c r="H14" s="33">
        <v>550.525</v>
      </c>
      <c r="I14" s="33">
        <v>228.13</v>
      </c>
      <c r="J14" s="34">
        <v>1853360.0</v>
      </c>
      <c r="K14" s="34">
        <v>0.218388</v>
      </c>
      <c r="L14" s="33">
        <v>0.439143</v>
      </c>
      <c r="M14" s="33">
        <v>3.5197</v>
      </c>
      <c r="N14" s="33">
        <v>18.0507</v>
      </c>
      <c r="O14" s="33">
        <v>55.8432</v>
      </c>
      <c r="P14" s="33">
        <v>22.1407</v>
      </c>
      <c r="Q14" s="33">
        <v>0.00655437</v>
      </c>
      <c r="R14" s="34">
        <v>79.9006</v>
      </c>
      <c r="S14" s="33">
        <v>1.75002</v>
      </c>
      <c r="T14" s="33">
        <v>7.52442</v>
      </c>
      <c r="U14" s="33">
        <v>20.9543</v>
      </c>
      <c r="V14" s="33">
        <v>59.5792</v>
      </c>
      <c r="W14" s="33">
        <v>7.96356</v>
      </c>
      <c r="X14" s="33">
        <v>2.22849</v>
      </c>
      <c r="Y14" s="34">
        <v>9.62183</v>
      </c>
      <c r="Z14" s="33">
        <v>0.0</v>
      </c>
      <c r="AA14" s="33">
        <v>100.0</v>
      </c>
      <c r="AB14" s="33">
        <v>0.0</v>
      </c>
      <c r="AC14" s="33">
        <v>0.0</v>
      </c>
      <c r="AD14" s="33">
        <v>0.0</v>
      </c>
      <c r="AE14" s="33">
        <v>0.0</v>
      </c>
      <c r="AF14" s="34">
        <v>0.411884</v>
      </c>
      <c r="AG14" s="33">
        <v>0.36049</v>
      </c>
      <c r="AH14" s="33">
        <v>3.47382</v>
      </c>
      <c r="AI14" s="33">
        <v>15.3634</v>
      </c>
      <c r="AJ14" s="33">
        <v>35.5771</v>
      </c>
      <c r="AK14" s="33">
        <v>42.3609</v>
      </c>
      <c r="AL14" s="33">
        <v>2.86426</v>
      </c>
      <c r="AM14" s="34">
        <v>0.294696</v>
      </c>
      <c r="AN14" s="33">
        <v>0.544013</v>
      </c>
      <c r="AO14" s="33">
        <v>1.63859</v>
      </c>
      <c r="AP14" s="33">
        <v>22.6191</v>
      </c>
      <c r="AQ14" s="33">
        <v>56.6101</v>
      </c>
      <c r="AR14" s="33">
        <v>14.1837</v>
      </c>
      <c r="AS14" s="33">
        <v>4.40454</v>
      </c>
      <c r="AT14" s="33">
        <v>256.353</v>
      </c>
      <c r="AU14" s="34">
        <v>260.408</v>
      </c>
      <c r="AV14" s="34">
        <v>4419.33</v>
      </c>
      <c r="AW14" s="34">
        <v>0.183558</v>
      </c>
      <c r="AX14" s="33">
        <v>0.0</v>
      </c>
      <c r="AY14" s="33">
        <v>0.498132</v>
      </c>
      <c r="AZ14" s="33">
        <v>0.334273</v>
      </c>
      <c r="BA14" s="33">
        <v>1.3502</v>
      </c>
      <c r="BB14" s="33">
        <v>61.7684</v>
      </c>
      <c r="BC14" s="33">
        <v>36.049</v>
      </c>
      <c r="BD14" s="34">
        <v>40.063</v>
      </c>
      <c r="BE14" s="33">
        <v>0.0</v>
      </c>
      <c r="BF14" s="33">
        <v>13.1481</v>
      </c>
      <c r="BG14" s="33">
        <v>66.9201</v>
      </c>
      <c r="BH14" s="33">
        <v>17.4608</v>
      </c>
      <c r="BI14" s="33">
        <v>2.14983</v>
      </c>
      <c r="BJ14" s="33">
        <v>0.321164</v>
      </c>
      <c r="BK14" s="33">
        <v>37.6823</v>
      </c>
      <c r="BL14" s="33">
        <v>15257.0</v>
      </c>
    </row>
    <row r="15">
      <c r="A15" s="33" t="s">
        <v>113</v>
      </c>
      <c r="B15" s="33" t="s">
        <v>53</v>
      </c>
      <c r="C15" s="34">
        <v>7009.61</v>
      </c>
      <c r="D15" s="33">
        <v>76.9388</v>
      </c>
      <c r="E15" s="33">
        <v>13905.9</v>
      </c>
      <c r="F15" s="33">
        <v>34.5147</v>
      </c>
      <c r="G15" s="33">
        <v>57.8071</v>
      </c>
      <c r="H15" s="33">
        <v>483.802</v>
      </c>
      <c r="I15" s="33">
        <v>189.412</v>
      </c>
      <c r="J15" s="34">
        <v>1592460.0</v>
      </c>
      <c r="K15" s="34">
        <v>0.254865</v>
      </c>
      <c r="L15" s="33">
        <v>0.521717</v>
      </c>
      <c r="M15" s="33">
        <v>2.72173</v>
      </c>
      <c r="N15" s="33">
        <v>12.3138</v>
      </c>
      <c r="O15" s="33">
        <v>45.798</v>
      </c>
      <c r="P15" s="33">
        <v>38.6196</v>
      </c>
      <c r="Q15" s="33">
        <v>0.025143</v>
      </c>
      <c r="R15" s="34">
        <v>87.9994</v>
      </c>
      <c r="S15" s="33">
        <v>1.65315</v>
      </c>
      <c r="T15" s="33">
        <v>4.46917</v>
      </c>
      <c r="U15" s="33">
        <v>11.3081</v>
      </c>
      <c r="V15" s="33">
        <v>56.9363</v>
      </c>
      <c r="W15" s="33">
        <v>23.5213</v>
      </c>
      <c r="X15" s="33">
        <v>2.11201</v>
      </c>
      <c r="Y15" s="34">
        <v>8.40858</v>
      </c>
      <c r="Z15" s="33">
        <v>0.0</v>
      </c>
      <c r="AA15" s="33">
        <v>100.0</v>
      </c>
      <c r="AB15" s="33">
        <v>0.0</v>
      </c>
      <c r="AC15" s="33">
        <v>0.0</v>
      </c>
      <c r="AD15" s="33">
        <v>0.0</v>
      </c>
      <c r="AE15" s="33">
        <v>0.0</v>
      </c>
      <c r="AF15" s="34">
        <v>0.509376</v>
      </c>
      <c r="AG15" s="33">
        <v>0.421145</v>
      </c>
      <c r="AH15" s="33">
        <v>3.48231</v>
      </c>
      <c r="AI15" s="33">
        <v>6.45547</v>
      </c>
      <c r="AJ15" s="33">
        <v>14.4635</v>
      </c>
      <c r="AK15" s="33">
        <v>45.886</v>
      </c>
      <c r="AL15" s="33">
        <v>29.2916</v>
      </c>
      <c r="AM15" s="34">
        <v>0.252038</v>
      </c>
      <c r="AN15" s="33">
        <v>0.025143</v>
      </c>
      <c r="AO15" s="33">
        <v>1.96744</v>
      </c>
      <c r="AP15" s="33">
        <v>36.1933</v>
      </c>
      <c r="AQ15" s="33">
        <v>50.374</v>
      </c>
      <c r="AR15" s="33">
        <v>8.12119</v>
      </c>
      <c r="AS15" s="33">
        <v>3.31888</v>
      </c>
      <c r="AT15" s="33">
        <v>227.182</v>
      </c>
      <c r="AU15" s="34">
        <v>234.008</v>
      </c>
      <c r="AV15" s="34">
        <v>4799.59</v>
      </c>
      <c r="AW15" s="34">
        <v>0.129621</v>
      </c>
      <c r="AX15" s="33">
        <v>0.00628575</v>
      </c>
      <c r="AY15" s="33">
        <v>0.0125715</v>
      </c>
      <c r="AZ15" s="33">
        <v>0.0440003</v>
      </c>
      <c r="BA15" s="33">
        <v>1.92973</v>
      </c>
      <c r="BB15" s="33">
        <v>84.2856</v>
      </c>
      <c r="BC15" s="33">
        <v>13.7218</v>
      </c>
      <c r="BD15" s="34">
        <v>40.1773</v>
      </c>
      <c r="BE15" s="33">
        <v>0.0</v>
      </c>
      <c r="BF15" s="33">
        <v>12.2384</v>
      </c>
      <c r="BG15" s="33">
        <v>68.3575</v>
      </c>
      <c r="BH15" s="33">
        <v>17.4618</v>
      </c>
      <c r="BI15" s="33">
        <v>1.48344</v>
      </c>
      <c r="BJ15" s="33">
        <v>0.45886</v>
      </c>
      <c r="BK15" s="33">
        <v>43.2131</v>
      </c>
      <c r="BL15" s="33">
        <v>15909.0</v>
      </c>
    </row>
    <row r="16">
      <c r="A16" s="33" t="s">
        <v>113</v>
      </c>
      <c r="B16" s="33" t="s">
        <v>53</v>
      </c>
      <c r="C16" s="34">
        <v>6809.23</v>
      </c>
      <c r="D16" s="33">
        <v>105.379</v>
      </c>
      <c r="E16" s="33">
        <v>14164.4</v>
      </c>
      <c r="F16" s="33">
        <v>30.3526</v>
      </c>
      <c r="G16" s="33">
        <v>52.4186</v>
      </c>
      <c r="H16" s="33">
        <v>493.878</v>
      </c>
      <c r="I16" s="33">
        <v>194.165</v>
      </c>
      <c r="J16" s="34">
        <v>1720180.0</v>
      </c>
      <c r="K16" s="34">
        <v>0.235868</v>
      </c>
      <c r="L16" s="33">
        <v>0.532614</v>
      </c>
      <c r="M16" s="33">
        <v>1.97828</v>
      </c>
      <c r="N16" s="33">
        <v>15.2106</v>
      </c>
      <c r="O16" s="33">
        <v>53.7041</v>
      </c>
      <c r="P16" s="33">
        <v>28.5675</v>
      </c>
      <c r="Q16" s="33">
        <v>0.00691706</v>
      </c>
      <c r="R16" s="34">
        <v>81.8002</v>
      </c>
      <c r="S16" s="33">
        <v>1.39725</v>
      </c>
      <c r="T16" s="33">
        <v>6.20461</v>
      </c>
      <c r="U16" s="33">
        <v>17.7976</v>
      </c>
      <c r="V16" s="33">
        <v>65.2694</v>
      </c>
      <c r="W16" s="33">
        <v>8.35581</v>
      </c>
      <c r="X16" s="33">
        <v>0.975306</v>
      </c>
      <c r="Y16" s="34">
        <v>9.1899</v>
      </c>
      <c r="Z16" s="33">
        <v>0.0</v>
      </c>
      <c r="AA16" s="33">
        <v>100.0</v>
      </c>
      <c r="AB16" s="33">
        <v>0.0</v>
      </c>
      <c r="AC16" s="33">
        <v>0.0</v>
      </c>
      <c r="AD16" s="33">
        <v>0.0</v>
      </c>
      <c r="AE16" s="33">
        <v>0.0</v>
      </c>
      <c r="AF16" s="34">
        <v>0.449859</v>
      </c>
      <c r="AG16" s="33">
        <v>0.193678</v>
      </c>
      <c r="AH16" s="33">
        <v>2.47631</v>
      </c>
      <c r="AI16" s="33">
        <v>11.8351</v>
      </c>
      <c r="AJ16" s="33">
        <v>23.7878</v>
      </c>
      <c r="AK16" s="33">
        <v>57.5569</v>
      </c>
      <c r="AL16" s="33">
        <v>4.15024</v>
      </c>
      <c r="AM16" s="34">
        <v>0.296682</v>
      </c>
      <c r="AN16" s="33">
        <v>0.0276683</v>
      </c>
      <c r="AO16" s="33">
        <v>0.809297</v>
      </c>
      <c r="AP16" s="33">
        <v>22.6257</v>
      </c>
      <c r="AQ16" s="33">
        <v>59.798</v>
      </c>
      <c r="AR16" s="33">
        <v>12.4646</v>
      </c>
      <c r="AS16" s="33">
        <v>4.27475</v>
      </c>
      <c r="AT16" s="33">
        <v>252.625</v>
      </c>
      <c r="AU16" s="34">
        <v>256.216</v>
      </c>
      <c r="AV16" s="34">
        <v>4299.25</v>
      </c>
      <c r="AW16" s="34">
        <v>0.173049</v>
      </c>
      <c r="AX16" s="33">
        <v>0.0</v>
      </c>
      <c r="AY16" s="33">
        <v>0.00691706</v>
      </c>
      <c r="AZ16" s="33">
        <v>0.0484194</v>
      </c>
      <c r="BA16" s="33">
        <v>0.781628</v>
      </c>
      <c r="BB16" s="33">
        <v>73.9573</v>
      </c>
      <c r="BC16" s="33">
        <v>25.2058</v>
      </c>
      <c r="BD16" s="34">
        <v>41.1573</v>
      </c>
      <c r="BE16" s="33">
        <v>0.0</v>
      </c>
      <c r="BF16" s="33">
        <v>10.7975</v>
      </c>
      <c r="BG16" s="33">
        <v>67.8287</v>
      </c>
      <c r="BH16" s="33">
        <v>19.1395</v>
      </c>
      <c r="BI16" s="33">
        <v>1.97136</v>
      </c>
      <c r="BJ16" s="33">
        <v>0.262848</v>
      </c>
      <c r="BK16" s="33">
        <v>39.1572</v>
      </c>
      <c r="BL16" s="33">
        <v>14457.0</v>
      </c>
    </row>
    <row r="17">
      <c r="A17" s="33" t="s">
        <v>113</v>
      </c>
      <c r="B17" s="33" t="s">
        <v>53</v>
      </c>
      <c r="C17" s="34">
        <v>6577.12</v>
      </c>
      <c r="D17" s="33">
        <v>101.004</v>
      </c>
      <c r="E17" s="33">
        <v>15557.9</v>
      </c>
      <c r="F17" s="33">
        <v>26.8693</v>
      </c>
      <c r="G17" s="33">
        <v>64.2923</v>
      </c>
      <c r="H17" s="33">
        <v>505.674</v>
      </c>
      <c r="I17" s="33">
        <v>184.665</v>
      </c>
      <c r="J17" s="34">
        <v>1641560.0</v>
      </c>
      <c r="K17" s="34">
        <v>0.237451</v>
      </c>
      <c r="L17" s="33">
        <v>0.31785</v>
      </c>
      <c r="M17" s="33">
        <v>2.24662</v>
      </c>
      <c r="N17" s="33">
        <v>16.0948</v>
      </c>
      <c r="O17" s="33">
        <v>50.9355</v>
      </c>
      <c r="P17" s="33">
        <v>30.4053</v>
      </c>
      <c r="Q17" s="33">
        <v>0.0</v>
      </c>
      <c r="R17" s="34">
        <v>80.3462</v>
      </c>
      <c r="S17" s="33">
        <v>1.47367</v>
      </c>
      <c r="T17" s="33">
        <v>6.68208</v>
      </c>
      <c r="U17" s="33">
        <v>19.6489</v>
      </c>
      <c r="V17" s="33">
        <v>65.2821</v>
      </c>
      <c r="W17" s="33">
        <v>6.28476</v>
      </c>
      <c r="X17" s="33">
        <v>0.628477</v>
      </c>
      <c r="Y17" s="34">
        <v>9.6977</v>
      </c>
      <c r="Z17" s="33">
        <v>0.0</v>
      </c>
      <c r="AA17" s="33">
        <v>100.0</v>
      </c>
      <c r="AB17" s="33">
        <v>0.0</v>
      </c>
      <c r="AC17" s="33">
        <v>0.0</v>
      </c>
      <c r="AD17" s="33">
        <v>0.0</v>
      </c>
      <c r="AE17" s="33">
        <v>0.0</v>
      </c>
      <c r="AF17" s="34">
        <v>0.422611</v>
      </c>
      <c r="AG17" s="33">
        <v>0.151701</v>
      </c>
      <c r="AH17" s="33">
        <v>3.77808</v>
      </c>
      <c r="AI17" s="33">
        <v>16.1526</v>
      </c>
      <c r="AJ17" s="33">
        <v>26.201</v>
      </c>
      <c r="AK17" s="33">
        <v>51.0727</v>
      </c>
      <c r="AL17" s="33">
        <v>2.64394</v>
      </c>
      <c r="AM17" s="34">
        <v>0.310162</v>
      </c>
      <c r="AN17" s="33">
        <v>0.00722387</v>
      </c>
      <c r="AO17" s="33">
        <v>0.592357</v>
      </c>
      <c r="AP17" s="33">
        <v>17.8357</v>
      </c>
      <c r="AQ17" s="33">
        <v>62.2842</v>
      </c>
      <c r="AR17" s="33">
        <v>15.7842</v>
      </c>
      <c r="AS17" s="33">
        <v>3.49635</v>
      </c>
      <c r="AT17" s="33">
        <v>249.587</v>
      </c>
      <c r="AU17" s="34">
        <v>259.808</v>
      </c>
      <c r="AV17" s="34">
        <v>4180.29</v>
      </c>
      <c r="AW17" s="34">
        <v>0.192923</v>
      </c>
      <c r="AX17" s="33">
        <v>0.0</v>
      </c>
      <c r="AY17" s="33">
        <v>0.0</v>
      </c>
      <c r="AZ17" s="33">
        <v>0.00722387</v>
      </c>
      <c r="BA17" s="33">
        <v>0.592357</v>
      </c>
      <c r="BB17" s="33">
        <v>64.9064</v>
      </c>
      <c r="BC17" s="33">
        <v>34.494</v>
      </c>
      <c r="BD17" s="34">
        <v>41.9316</v>
      </c>
      <c r="BE17" s="33">
        <v>0.0</v>
      </c>
      <c r="BF17" s="33">
        <v>9.5644</v>
      </c>
      <c r="BG17" s="33">
        <v>65.7589</v>
      </c>
      <c r="BH17" s="33">
        <v>23.1453</v>
      </c>
      <c r="BI17" s="33">
        <v>1.33642</v>
      </c>
      <c r="BJ17" s="33">
        <v>0.195044</v>
      </c>
      <c r="BK17" s="33">
        <v>39.47</v>
      </c>
      <c r="BL17" s="33">
        <v>13843.0</v>
      </c>
    </row>
    <row r="18">
      <c r="A18" s="33" t="s">
        <v>94</v>
      </c>
      <c r="B18" s="33" t="s">
        <v>57</v>
      </c>
      <c r="C18" s="34">
        <v>9699.88</v>
      </c>
      <c r="D18" s="33">
        <v>142.907</v>
      </c>
      <c r="E18" s="33">
        <v>20708.6</v>
      </c>
      <c r="F18" s="33">
        <v>29.3736</v>
      </c>
      <c r="G18" s="33">
        <v>65.7935</v>
      </c>
      <c r="H18" s="33">
        <v>566.04</v>
      </c>
      <c r="I18" s="33">
        <v>209.434</v>
      </c>
      <c r="J18" s="34">
        <v>2334640.0</v>
      </c>
      <c r="K18" s="34">
        <v>0.237772</v>
      </c>
      <c r="L18" s="33">
        <v>0.542452</v>
      </c>
      <c r="M18" s="33">
        <v>2.65414</v>
      </c>
      <c r="N18" s="33">
        <v>16.7288</v>
      </c>
      <c r="O18" s="33">
        <v>48.5979</v>
      </c>
      <c r="P18" s="33">
        <v>31.4283</v>
      </c>
      <c r="Q18" s="33">
        <v>0.0484332</v>
      </c>
      <c r="R18" s="34">
        <v>86.6056</v>
      </c>
      <c r="S18" s="33">
        <v>1.46753</v>
      </c>
      <c r="T18" s="33">
        <v>5.0758</v>
      </c>
      <c r="U18" s="33">
        <v>15.4647</v>
      </c>
      <c r="V18" s="33">
        <v>53.5623</v>
      </c>
      <c r="W18" s="33">
        <v>21.6981</v>
      </c>
      <c r="X18" s="33">
        <v>2.73163</v>
      </c>
      <c r="Y18" s="34">
        <v>8.48682</v>
      </c>
      <c r="Z18" s="33">
        <v>0.0</v>
      </c>
      <c r="AA18" s="33">
        <v>99.9903</v>
      </c>
      <c r="AB18" s="33">
        <v>0.00968664</v>
      </c>
      <c r="AC18" s="33">
        <v>0.0</v>
      </c>
      <c r="AD18" s="33">
        <v>0.0</v>
      </c>
      <c r="AE18" s="33">
        <v>0.0</v>
      </c>
      <c r="AF18" s="34">
        <v>0.476553</v>
      </c>
      <c r="AG18" s="33">
        <v>0.455272</v>
      </c>
      <c r="AH18" s="33">
        <v>3.62765</v>
      </c>
      <c r="AI18" s="33">
        <v>10.8151</v>
      </c>
      <c r="AJ18" s="33">
        <v>20.0998</v>
      </c>
      <c r="AK18" s="33">
        <v>41.7639</v>
      </c>
      <c r="AL18" s="33">
        <v>23.2382</v>
      </c>
      <c r="AM18" s="34">
        <v>0.246001</v>
      </c>
      <c r="AN18" s="33">
        <v>0.174359</v>
      </c>
      <c r="AO18" s="33">
        <v>2.60571</v>
      </c>
      <c r="AP18" s="33">
        <v>37.8651</v>
      </c>
      <c r="AQ18" s="33">
        <v>47.6437</v>
      </c>
      <c r="AR18" s="33">
        <v>8.35957</v>
      </c>
      <c r="AS18" s="33">
        <v>3.35158</v>
      </c>
      <c r="AT18" s="33">
        <v>240.687</v>
      </c>
      <c r="AU18" s="34">
        <v>244.489</v>
      </c>
      <c r="AV18" s="34">
        <v>6082.87</v>
      </c>
      <c r="AW18" s="34">
        <v>0.138356</v>
      </c>
      <c r="AX18" s="33">
        <v>0.00484332</v>
      </c>
      <c r="AY18" s="33">
        <v>0.10171</v>
      </c>
      <c r="AZ18" s="33">
        <v>0.169516</v>
      </c>
      <c r="BA18" s="33">
        <v>2.504</v>
      </c>
      <c r="BB18" s="33">
        <v>77.1202</v>
      </c>
      <c r="BC18" s="33">
        <v>20.0998</v>
      </c>
      <c r="BD18" s="34">
        <v>38.3656</v>
      </c>
      <c r="BE18" s="33">
        <v>0.0</v>
      </c>
      <c r="BF18" s="33">
        <v>16.0895</v>
      </c>
      <c r="BG18" s="33">
        <v>66.4745</v>
      </c>
      <c r="BH18" s="33">
        <v>15.4308</v>
      </c>
      <c r="BI18" s="33">
        <v>1.44331</v>
      </c>
      <c r="BJ18" s="33">
        <v>0.561825</v>
      </c>
      <c r="BK18" s="33">
        <v>38.8247</v>
      </c>
      <c r="BL18" s="33">
        <v>20647.0</v>
      </c>
    </row>
    <row r="19">
      <c r="A19" s="33" t="s">
        <v>94</v>
      </c>
      <c r="B19" s="33" t="s">
        <v>57</v>
      </c>
      <c r="C19" s="34">
        <v>8355.71</v>
      </c>
      <c r="D19" s="33">
        <v>124.35</v>
      </c>
      <c r="E19" s="33">
        <v>18209.7</v>
      </c>
      <c r="F19" s="33">
        <v>29.6165</v>
      </c>
      <c r="G19" s="33">
        <v>88.3294</v>
      </c>
      <c r="H19" s="33">
        <v>509.9</v>
      </c>
      <c r="I19" s="33">
        <v>170.042</v>
      </c>
      <c r="J19" s="34">
        <v>2071460.0</v>
      </c>
      <c r="K19" s="34">
        <v>0.238807</v>
      </c>
      <c r="L19" s="33">
        <v>0.633993</v>
      </c>
      <c r="M19" s="33">
        <v>2.5911</v>
      </c>
      <c r="N19" s="33">
        <v>15.1331</v>
      </c>
      <c r="O19" s="33">
        <v>50.3611</v>
      </c>
      <c r="P19" s="33">
        <v>31.198</v>
      </c>
      <c r="Q19" s="33">
        <v>0.0826947</v>
      </c>
      <c r="R19" s="34">
        <v>86.4096</v>
      </c>
      <c r="S19" s="33">
        <v>1.64838</v>
      </c>
      <c r="T19" s="33">
        <v>4.65296</v>
      </c>
      <c r="U19" s="33">
        <v>14.3779</v>
      </c>
      <c r="V19" s="33">
        <v>57.2303</v>
      </c>
      <c r="W19" s="33">
        <v>19.6317</v>
      </c>
      <c r="X19" s="33">
        <v>2.45879</v>
      </c>
      <c r="Y19" s="34">
        <v>8.67956</v>
      </c>
      <c r="Z19" s="33">
        <v>0.0</v>
      </c>
      <c r="AA19" s="33">
        <v>100.0</v>
      </c>
      <c r="AB19" s="33">
        <v>0.0</v>
      </c>
      <c r="AC19" s="33">
        <v>0.0</v>
      </c>
      <c r="AD19" s="33">
        <v>0.0</v>
      </c>
      <c r="AE19" s="33">
        <v>0.0</v>
      </c>
      <c r="AF19" s="34">
        <v>0.471818</v>
      </c>
      <c r="AG19" s="33">
        <v>0.286675</v>
      </c>
      <c r="AH19" s="33">
        <v>2.78406</v>
      </c>
      <c r="AI19" s="33">
        <v>10.4361</v>
      </c>
      <c r="AJ19" s="33">
        <v>21.7322</v>
      </c>
      <c r="AK19" s="33">
        <v>48.2221</v>
      </c>
      <c r="AL19" s="33">
        <v>16.5389</v>
      </c>
      <c r="AM19" s="34">
        <v>0.25234</v>
      </c>
      <c r="AN19" s="33">
        <v>0.154364</v>
      </c>
      <c r="AO19" s="33">
        <v>2.13904</v>
      </c>
      <c r="AP19" s="33">
        <v>36.6779</v>
      </c>
      <c r="AQ19" s="33">
        <v>49.242</v>
      </c>
      <c r="AR19" s="33">
        <v>7.94972</v>
      </c>
      <c r="AS19" s="33">
        <v>3.83704</v>
      </c>
      <c r="AT19" s="33">
        <v>247.91</v>
      </c>
      <c r="AU19" s="34">
        <v>250.152</v>
      </c>
      <c r="AV19" s="34">
        <v>5393.08</v>
      </c>
      <c r="AW19" s="34">
        <v>0.142697</v>
      </c>
      <c r="AX19" s="33">
        <v>0.00551298</v>
      </c>
      <c r="AY19" s="33">
        <v>0.0661558</v>
      </c>
      <c r="AZ19" s="33">
        <v>0.0826947</v>
      </c>
      <c r="BA19" s="33">
        <v>2.13904</v>
      </c>
      <c r="BB19" s="33">
        <v>79.1554</v>
      </c>
      <c r="BC19" s="33">
        <v>18.5512</v>
      </c>
      <c r="BD19" s="34">
        <v>38.9311</v>
      </c>
      <c r="BE19" s="33">
        <v>0.0</v>
      </c>
      <c r="BF19" s="33">
        <v>14.9347</v>
      </c>
      <c r="BG19" s="33">
        <v>67.5671</v>
      </c>
      <c r="BH19" s="33">
        <v>15.1497</v>
      </c>
      <c r="BI19" s="33">
        <v>1.58223</v>
      </c>
      <c r="BJ19" s="33">
        <v>0.766305</v>
      </c>
      <c r="BK19" s="33">
        <v>40.193</v>
      </c>
      <c r="BL19" s="33">
        <v>18139.0</v>
      </c>
    </row>
    <row r="20">
      <c r="A20" s="33" t="s">
        <v>94</v>
      </c>
      <c r="B20" s="33" t="s">
        <v>57</v>
      </c>
      <c r="C20" s="34">
        <v>13378.9</v>
      </c>
      <c r="D20" s="33">
        <v>135.508</v>
      </c>
      <c r="E20" s="33">
        <v>23924.7</v>
      </c>
      <c r="F20" s="33">
        <v>39.9496</v>
      </c>
      <c r="G20" s="33">
        <v>76.1226</v>
      </c>
      <c r="H20" s="33">
        <v>609.393</v>
      </c>
      <c r="I20" s="33">
        <v>207.876</v>
      </c>
      <c r="J20" s="34">
        <v>3437330.0</v>
      </c>
      <c r="K20" s="34">
        <v>0.256623</v>
      </c>
      <c r="L20" s="33">
        <v>0.583363</v>
      </c>
      <c r="M20" s="33">
        <v>2.36568</v>
      </c>
      <c r="N20" s="33">
        <v>12.0347</v>
      </c>
      <c r="O20" s="33">
        <v>46.8141</v>
      </c>
      <c r="P20" s="33">
        <v>38.112</v>
      </c>
      <c r="Q20" s="33">
        <v>0.090244</v>
      </c>
      <c r="R20" s="34">
        <v>92.2236</v>
      </c>
      <c r="S20" s="33">
        <v>1.46002</v>
      </c>
      <c r="T20" s="33">
        <v>3.84182</v>
      </c>
      <c r="U20" s="33">
        <v>9.70767</v>
      </c>
      <c r="V20" s="33">
        <v>47.3233</v>
      </c>
      <c r="W20" s="33">
        <v>34.0768</v>
      </c>
      <c r="X20" s="33">
        <v>3.59042</v>
      </c>
      <c r="Y20" s="34">
        <v>7.22847</v>
      </c>
      <c r="Z20" s="33">
        <v>0.0</v>
      </c>
      <c r="AA20" s="33">
        <v>100.0</v>
      </c>
      <c r="AB20" s="33">
        <v>0.0</v>
      </c>
      <c r="AC20" s="33">
        <v>0.0</v>
      </c>
      <c r="AD20" s="33">
        <v>0.0</v>
      </c>
      <c r="AE20" s="33">
        <v>0.0</v>
      </c>
      <c r="AF20" s="34">
        <v>0.555723</v>
      </c>
      <c r="AG20" s="33">
        <v>0.093467</v>
      </c>
      <c r="AH20" s="33">
        <v>1.402</v>
      </c>
      <c r="AI20" s="33">
        <v>5.25993</v>
      </c>
      <c r="AJ20" s="33">
        <v>11.0001</v>
      </c>
      <c r="AK20" s="33">
        <v>35.2435</v>
      </c>
      <c r="AL20" s="33">
        <v>47.001</v>
      </c>
      <c r="AM20" s="34">
        <v>0.217934</v>
      </c>
      <c r="AN20" s="33">
        <v>0.112805</v>
      </c>
      <c r="AO20" s="33">
        <v>4.54121</v>
      </c>
      <c r="AP20" s="33">
        <v>46.5756</v>
      </c>
      <c r="AQ20" s="33">
        <v>38.6921</v>
      </c>
      <c r="AR20" s="33">
        <v>6.72318</v>
      </c>
      <c r="AS20" s="33">
        <v>3.35514</v>
      </c>
      <c r="AT20" s="33">
        <v>256.922</v>
      </c>
      <c r="AU20" s="34">
        <v>261.889</v>
      </c>
      <c r="AV20" s="34">
        <v>9557.82</v>
      </c>
      <c r="AW20" s="34">
        <v>0.102538</v>
      </c>
      <c r="AX20" s="33">
        <v>0.006446</v>
      </c>
      <c r="AY20" s="33">
        <v>0.022561</v>
      </c>
      <c r="AZ20" s="33">
        <v>0.06446</v>
      </c>
      <c r="BA20" s="33">
        <v>4.56054</v>
      </c>
      <c r="BB20" s="33">
        <v>84.7778</v>
      </c>
      <c r="BC20" s="33">
        <v>10.5682</v>
      </c>
      <c r="BD20" s="34">
        <v>38.6654</v>
      </c>
      <c r="BE20" s="33">
        <v>0.0</v>
      </c>
      <c r="BF20" s="33">
        <v>14.8032</v>
      </c>
      <c r="BG20" s="33">
        <v>68.0407</v>
      </c>
      <c r="BH20" s="33">
        <v>15.0514</v>
      </c>
      <c r="BI20" s="33">
        <v>1.36977</v>
      </c>
      <c r="BJ20" s="33">
        <v>0.734844</v>
      </c>
      <c r="BK20" s="33">
        <v>45.5869</v>
      </c>
      <c r="BL20" s="33">
        <v>31027.0</v>
      </c>
    </row>
    <row r="21" ht="15.75" customHeight="1">
      <c r="A21" s="33" t="s">
        <v>94</v>
      </c>
      <c r="B21" s="33" t="s">
        <v>57</v>
      </c>
      <c r="C21" s="34">
        <v>11274.1</v>
      </c>
      <c r="D21" s="33">
        <v>108.801</v>
      </c>
      <c r="E21" s="33">
        <v>22550.6</v>
      </c>
      <c r="F21" s="33">
        <v>33.8835</v>
      </c>
      <c r="G21" s="33">
        <v>72.466</v>
      </c>
      <c r="H21" s="33">
        <v>598.795</v>
      </c>
      <c r="I21" s="33">
        <v>220.247</v>
      </c>
      <c r="J21" s="34">
        <v>2891560.0</v>
      </c>
      <c r="K21" s="34">
        <v>0.255219</v>
      </c>
      <c r="L21" s="33">
        <v>0.56843</v>
      </c>
      <c r="M21" s="33">
        <v>1.80864</v>
      </c>
      <c r="N21" s="33">
        <v>11.623</v>
      </c>
      <c r="O21" s="33">
        <v>49.2269</v>
      </c>
      <c r="P21" s="33">
        <v>36.7134</v>
      </c>
      <c r="Q21" s="33">
        <v>0.0596256</v>
      </c>
      <c r="R21" s="34">
        <v>87.303</v>
      </c>
      <c r="S21" s="33">
        <v>1.28791</v>
      </c>
      <c r="T21" s="33">
        <v>3.85976</v>
      </c>
      <c r="U21" s="33">
        <v>12.7718</v>
      </c>
      <c r="V21" s="33">
        <v>61.4024</v>
      </c>
      <c r="W21" s="33">
        <v>18.8417</v>
      </c>
      <c r="X21" s="33">
        <v>1.83647</v>
      </c>
      <c r="Y21" s="34">
        <v>8.63009</v>
      </c>
      <c r="Z21" s="33">
        <v>0.0</v>
      </c>
      <c r="AA21" s="33">
        <v>99.996</v>
      </c>
      <c r="AB21" s="33">
        <v>0.00397504</v>
      </c>
      <c r="AC21" s="33">
        <v>0.0</v>
      </c>
      <c r="AD21" s="33">
        <v>0.0</v>
      </c>
      <c r="AE21" s="33">
        <v>0.0</v>
      </c>
      <c r="AF21" s="34">
        <v>0.493703</v>
      </c>
      <c r="AG21" s="33">
        <v>0.143101</v>
      </c>
      <c r="AH21" s="33">
        <v>1.94777</v>
      </c>
      <c r="AI21" s="33">
        <v>7.71157</v>
      </c>
      <c r="AJ21" s="33">
        <v>18.3647</v>
      </c>
      <c r="AK21" s="33">
        <v>52.0531</v>
      </c>
      <c r="AL21" s="33">
        <v>19.7798</v>
      </c>
      <c r="AM21" s="34">
        <v>0.264207</v>
      </c>
      <c r="AN21" s="33">
        <v>0.0795007</v>
      </c>
      <c r="AO21" s="33">
        <v>1.79274</v>
      </c>
      <c r="AP21" s="33">
        <v>31.8877</v>
      </c>
      <c r="AQ21" s="33">
        <v>53.4762</v>
      </c>
      <c r="AR21" s="33">
        <v>9.26184</v>
      </c>
      <c r="AS21" s="33">
        <v>3.50201</v>
      </c>
      <c r="AT21" s="33">
        <v>256.478</v>
      </c>
      <c r="AU21" s="34">
        <v>259.189</v>
      </c>
      <c r="AV21" s="34">
        <v>7640.94</v>
      </c>
      <c r="AW21" s="34">
        <v>0.139813</v>
      </c>
      <c r="AX21" s="33">
        <v>0.00397504</v>
      </c>
      <c r="AY21" s="33">
        <v>0.0278253</v>
      </c>
      <c r="AZ21" s="33">
        <v>0.0636006</v>
      </c>
      <c r="BA21" s="33">
        <v>1.77684</v>
      </c>
      <c r="BB21" s="33">
        <v>80.6535</v>
      </c>
      <c r="BC21" s="33">
        <v>17.4743</v>
      </c>
      <c r="BD21" s="34">
        <v>40.7606</v>
      </c>
      <c r="BE21" s="33">
        <v>0.0</v>
      </c>
      <c r="BF21" s="33">
        <v>10.8757</v>
      </c>
      <c r="BG21" s="33">
        <v>68.9868</v>
      </c>
      <c r="BH21" s="33">
        <v>17.9711</v>
      </c>
      <c r="BI21" s="33">
        <v>1.42306</v>
      </c>
      <c r="BJ21" s="33">
        <v>0.743332</v>
      </c>
      <c r="BK21" s="33">
        <v>42.6479</v>
      </c>
      <c r="BL21" s="33">
        <v>25157.0</v>
      </c>
    </row>
    <row r="22" ht="15.75" customHeight="1">
      <c r="A22" s="33" t="s">
        <v>111</v>
      </c>
      <c r="B22" s="33" t="s">
        <v>57</v>
      </c>
      <c r="C22" s="34">
        <v>11124.4</v>
      </c>
      <c r="D22" s="33">
        <v>102.44</v>
      </c>
      <c r="E22" s="33">
        <v>18960.8</v>
      </c>
      <c r="F22" s="33">
        <v>39.5281</v>
      </c>
      <c r="G22" s="33">
        <v>67.7566</v>
      </c>
      <c r="H22" s="33">
        <v>553.77</v>
      </c>
      <c r="I22" s="33">
        <v>196.815</v>
      </c>
      <c r="J22" s="34">
        <v>2835590.0</v>
      </c>
      <c r="K22" s="34">
        <v>0.27073</v>
      </c>
      <c r="L22" s="33">
        <v>0.472813</v>
      </c>
      <c r="M22" s="33">
        <v>1.78307</v>
      </c>
      <c r="N22" s="33">
        <v>9.67264</v>
      </c>
      <c r="O22" s="33">
        <v>44.8572</v>
      </c>
      <c r="P22" s="33">
        <v>43.0781</v>
      </c>
      <c r="Q22" s="33">
        <v>0.136234</v>
      </c>
      <c r="R22" s="34">
        <v>91.0512</v>
      </c>
      <c r="S22" s="33">
        <v>1.02576</v>
      </c>
      <c r="T22" s="33">
        <v>2.83287</v>
      </c>
      <c r="U22" s="33">
        <v>9.94911</v>
      </c>
      <c r="V22" s="33">
        <v>55.5355</v>
      </c>
      <c r="W22" s="33">
        <v>28.0362</v>
      </c>
      <c r="X22" s="33">
        <v>2.62051</v>
      </c>
      <c r="Y22" s="34">
        <v>7.72065</v>
      </c>
      <c r="Z22" s="33">
        <v>0.0</v>
      </c>
      <c r="AA22" s="33">
        <v>100.0</v>
      </c>
      <c r="AB22" s="33">
        <v>0.0</v>
      </c>
      <c r="AC22" s="33">
        <v>0.0</v>
      </c>
      <c r="AD22" s="33">
        <v>0.0</v>
      </c>
      <c r="AE22" s="33">
        <v>0.0</v>
      </c>
      <c r="AF22" s="34">
        <v>0.533514</v>
      </c>
      <c r="AG22" s="33">
        <v>0.128221</v>
      </c>
      <c r="AH22" s="33">
        <v>1.39841</v>
      </c>
      <c r="AI22" s="33">
        <v>5.15286</v>
      </c>
      <c r="AJ22" s="33">
        <v>15.6389</v>
      </c>
      <c r="AK22" s="33">
        <v>40.3815</v>
      </c>
      <c r="AL22" s="33">
        <v>37.3002</v>
      </c>
      <c r="AM22" s="34">
        <v>0.244797</v>
      </c>
      <c r="AN22" s="33">
        <v>0.172296</v>
      </c>
      <c r="AO22" s="33">
        <v>2.88897</v>
      </c>
      <c r="AP22" s="33">
        <v>37.805</v>
      </c>
      <c r="AQ22" s="33">
        <v>46.7965</v>
      </c>
      <c r="AR22" s="33">
        <v>9.37212</v>
      </c>
      <c r="AS22" s="33">
        <v>2.9651</v>
      </c>
      <c r="AT22" s="33">
        <v>254.899</v>
      </c>
      <c r="AU22" s="34">
        <v>257.608</v>
      </c>
      <c r="AV22" s="34">
        <v>7494.87</v>
      </c>
      <c r="AW22" s="34">
        <v>0.11831</v>
      </c>
      <c r="AX22" s="33">
        <v>0.0</v>
      </c>
      <c r="AY22" s="33">
        <v>0.0560965</v>
      </c>
      <c r="AZ22" s="33">
        <v>0.148255</v>
      </c>
      <c r="BA22" s="33">
        <v>2.85691</v>
      </c>
      <c r="BB22" s="33">
        <v>83.3714</v>
      </c>
      <c r="BC22" s="33">
        <v>13.5673</v>
      </c>
      <c r="BD22" s="34">
        <v>40.9039</v>
      </c>
      <c r="BE22" s="33">
        <v>0.0</v>
      </c>
      <c r="BF22" s="33">
        <v>10.7184</v>
      </c>
      <c r="BG22" s="33">
        <v>67.8808</v>
      </c>
      <c r="BH22" s="33">
        <v>19.4695</v>
      </c>
      <c r="BI22" s="33">
        <v>1.31025</v>
      </c>
      <c r="BJ22" s="33">
        <v>0.621068</v>
      </c>
      <c r="BK22" s="33">
        <v>42.3353</v>
      </c>
      <c r="BL22" s="33">
        <v>24957.0</v>
      </c>
    </row>
    <row r="23" ht="15.75" customHeight="1">
      <c r="A23" s="33" t="s">
        <v>111</v>
      </c>
      <c r="B23" s="33" t="s">
        <v>57</v>
      </c>
      <c r="C23" s="34">
        <v>13286.3</v>
      </c>
      <c r="D23" s="33">
        <v>152.251</v>
      </c>
      <c r="E23" s="33">
        <v>25646.2</v>
      </c>
      <c r="F23" s="33">
        <v>36.1773</v>
      </c>
      <c r="G23" s="33">
        <v>84.7442</v>
      </c>
      <c r="H23" s="33">
        <v>623.289</v>
      </c>
      <c r="I23" s="33">
        <v>218.561</v>
      </c>
      <c r="J23" s="34">
        <v>3783240.0</v>
      </c>
      <c r="K23" s="34">
        <v>0.258009</v>
      </c>
      <c r="L23" s="33">
        <v>0.30107</v>
      </c>
      <c r="M23" s="33">
        <v>1.47973</v>
      </c>
      <c r="N23" s="33">
        <v>11.1236</v>
      </c>
      <c r="O23" s="33">
        <v>50.8616</v>
      </c>
      <c r="P23" s="33">
        <v>36.1796</v>
      </c>
      <c r="Q23" s="33">
        <v>0.0544488</v>
      </c>
      <c r="R23" s="34">
        <v>89.7367</v>
      </c>
      <c r="S23" s="33">
        <v>0.858369</v>
      </c>
      <c r="T23" s="33">
        <v>3.36942</v>
      </c>
      <c r="U23" s="33">
        <v>10.7937</v>
      </c>
      <c r="V23" s="33">
        <v>59.4292</v>
      </c>
      <c r="W23" s="33">
        <v>23.8422</v>
      </c>
      <c r="X23" s="33">
        <v>1.70713</v>
      </c>
      <c r="Y23" s="34">
        <v>8.82534</v>
      </c>
      <c r="Z23" s="33">
        <v>0.0</v>
      </c>
      <c r="AA23" s="33">
        <v>100.0</v>
      </c>
      <c r="AB23" s="33">
        <v>0.0</v>
      </c>
      <c r="AC23" s="33">
        <v>0.0</v>
      </c>
      <c r="AD23" s="33">
        <v>0.0</v>
      </c>
      <c r="AE23" s="33">
        <v>0.0</v>
      </c>
      <c r="AF23" s="34">
        <v>0.507852</v>
      </c>
      <c r="AG23" s="33">
        <v>0.240215</v>
      </c>
      <c r="AH23" s="33">
        <v>1.91532</v>
      </c>
      <c r="AI23" s="33">
        <v>6.49542</v>
      </c>
      <c r="AJ23" s="33">
        <v>16.3474</v>
      </c>
      <c r="AK23" s="33">
        <v>51.0409</v>
      </c>
      <c r="AL23" s="33">
        <v>23.9607</v>
      </c>
      <c r="AM23" s="34">
        <v>0.237754</v>
      </c>
      <c r="AN23" s="33">
        <v>0.144129</v>
      </c>
      <c r="AO23" s="33">
        <v>1.90571</v>
      </c>
      <c r="AP23" s="33">
        <v>37.8964</v>
      </c>
      <c r="AQ23" s="33">
        <v>51.2043</v>
      </c>
      <c r="AR23" s="33">
        <v>6.82532</v>
      </c>
      <c r="AS23" s="33">
        <v>2.02421</v>
      </c>
      <c r="AT23" s="33">
        <v>284.747</v>
      </c>
      <c r="AU23" s="34">
        <v>287.006</v>
      </c>
      <c r="AV23" s="34">
        <v>9278.11</v>
      </c>
      <c r="AW23" s="34">
        <v>0.124614</v>
      </c>
      <c r="AX23" s="33">
        <v>0.00960861</v>
      </c>
      <c r="AY23" s="33">
        <v>0.0416373</v>
      </c>
      <c r="AZ23" s="33">
        <v>0.192172</v>
      </c>
      <c r="BA23" s="33">
        <v>1.80642</v>
      </c>
      <c r="BB23" s="33">
        <v>84.8216</v>
      </c>
      <c r="BC23" s="33">
        <v>13.1286</v>
      </c>
      <c r="BD23" s="34">
        <v>39.1347</v>
      </c>
      <c r="BE23" s="33">
        <v>0.0</v>
      </c>
      <c r="BF23" s="33">
        <v>11.0147</v>
      </c>
      <c r="BG23" s="33">
        <v>73.381</v>
      </c>
      <c r="BH23" s="33">
        <v>14.493</v>
      </c>
      <c r="BI23" s="33">
        <v>0.752674</v>
      </c>
      <c r="BJ23" s="33">
        <v>0.358721</v>
      </c>
      <c r="BK23" s="33">
        <v>44.2821</v>
      </c>
      <c r="BL23" s="33">
        <v>31222.0</v>
      </c>
    </row>
    <row r="24" ht="15.75" customHeight="1">
      <c r="A24" s="33" t="s">
        <v>111</v>
      </c>
      <c r="B24" s="33" t="s">
        <v>57</v>
      </c>
      <c r="C24" s="34">
        <v>10067.6</v>
      </c>
      <c r="D24" s="33">
        <v>78.9694</v>
      </c>
      <c r="E24" s="33">
        <v>19594.1</v>
      </c>
      <c r="F24" s="33">
        <v>35.5143</v>
      </c>
      <c r="G24" s="33">
        <v>82.3628</v>
      </c>
      <c r="H24" s="33">
        <v>563.138</v>
      </c>
      <c r="I24" s="33">
        <v>197.895</v>
      </c>
      <c r="J24" s="34">
        <v>2226860.0</v>
      </c>
      <c r="K24" s="34">
        <v>0.253088</v>
      </c>
      <c r="L24" s="33">
        <v>0.337823</v>
      </c>
      <c r="M24" s="33">
        <v>1.45091</v>
      </c>
      <c r="N24" s="33">
        <v>12.6294</v>
      </c>
      <c r="O24" s="33">
        <v>50.5132</v>
      </c>
      <c r="P24" s="33">
        <v>35.0123</v>
      </c>
      <c r="Q24" s="33">
        <v>0.0563039</v>
      </c>
      <c r="R24" s="34">
        <v>87.7022</v>
      </c>
      <c r="S24" s="33">
        <v>0.93551</v>
      </c>
      <c r="T24" s="33">
        <v>3.86764</v>
      </c>
      <c r="U24" s="33">
        <v>12.5471</v>
      </c>
      <c r="V24" s="33">
        <v>61.6441</v>
      </c>
      <c r="W24" s="33">
        <v>19.7453</v>
      </c>
      <c r="X24" s="33">
        <v>1.26034</v>
      </c>
      <c r="Y24" s="34">
        <v>9.13909</v>
      </c>
      <c r="Z24" s="33">
        <v>0.0</v>
      </c>
      <c r="AA24" s="33">
        <v>100.0</v>
      </c>
      <c r="AB24" s="33">
        <v>0.0</v>
      </c>
      <c r="AC24" s="33">
        <v>0.0</v>
      </c>
      <c r="AD24" s="33">
        <v>0.0</v>
      </c>
      <c r="AE24" s="33">
        <v>0.0</v>
      </c>
      <c r="AF24" s="34">
        <v>0.49235</v>
      </c>
      <c r="AG24" s="33">
        <v>0.320499</v>
      </c>
      <c r="AH24" s="33">
        <v>2.01828</v>
      </c>
      <c r="AI24" s="33">
        <v>7.87388</v>
      </c>
      <c r="AJ24" s="33">
        <v>16.7872</v>
      </c>
      <c r="AK24" s="33">
        <v>55.1865</v>
      </c>
      <c r="AL24" s="33">
        <v>17.8137</v>
      </c>
      <c r="AM24" s="34">
        <v>0.250843</v>
      </c>
      <c r="AN24" s="33">
        <v>0.0389796</v>
      </c>
      <c r="AO24" s="33">
        <v>1.37295</v>
      </c>
      <c r="AP24" s="33">
        <v>34.419</v>
      </c>
      <c r="AQ24" s="33">
        <v>54.2509</v>
      </c>
      <c r="AR24" s="33">
        <v>7.62701</v>
      </c>
      <c r="AS24" s="33">
        <v>2.29113</v>
      </c>
      <c r="AT24" s="33">
        <v>221.191</v>
      </c>
      <c r="AU24" s="34">
        <v>228.393</v>
      </c>
      <c r="AV24" s="34">
        <v>6958.7</v>
      </c>
      <c r="AW24" s="34">
        <v>0.135828</v>
      </c>
      <c r="AX24" s="33">
        <v>0.0</v>
      </c>
      <c r="AY24" s="33">
        <v>0.00866213</v>
      </c>
      <c r="AZ24" s="33">
        <v>0.0563039</v>
      </c>
      <c r="BA24" s="33">
        <v>1.34696</v>
      </c>
      <c r="BB24" s="33">
        <v>83.2604</v>
      </c>
      <c r="BC24" s="33">
        <v>15.3276</v>
      </c>
      <c r="BD24" s="34">
        <v>39.4916</v>
      </c>
      <c r="BE24" s="33">
        <v>0.0</v>
      </c>
      <c r="BF24" s="33">
        <v>11.1438</v>
      </c>
      <c r="BG24" s="33">
        <v>72.684</v>
      </c>
      <c r="BH24" s="33">
        <v>14.8426</v>
      </c>
      <c r="BI24" s="33">
        <v>0.931179</v>
      </c>
      <c r="BJ24" s="33">
        <v>0.398458</v>
      </c>
      <c r="BK24" s="33">
        <v>43.7072</v>
      </c>
      <c r="BL24" s="33">
        <v>23089.0</v>
      </c>
    </row>
    <row r="25" ht="15.75" customHeight="1">
      <c r="A25" s="33" t="s">
        <v>111</v>
      </c>
      <c r="B25" s="33" t="s">
        <v>57</v>
      </c>
      <c r="C25" s="34">
        <v>9272.56</v>
      </c>
      <c r="D25" s="33">
        <v>82.4496</v>
      </c>
      <c r="E25" s="33">
        <v>16289.0</v>
      </c>
      <c r="F25" s="33">
        <v>37.4333</v>
      </c>
      <c r="G25" s="33">
        <v>71.1041</v>
      </c>
      <c r="H25" s="33">
        <v>487.823</v>
      </c>
      <c r="I25" s="33">
        <v>181.28</v>
      </c>
      <c r="J25" s="34">
        <v>2034670.0</v>
      </c>
      <c r="K25" s="34">
        <v>0.25447</v>
      </c>
      <c r="L25" s="33">
        <v>0.292296</v>
      </c>
      <c r="M25" s="33">
        <v>1.49121</v>
      </c>
      <c r="N25" s="33">
        <v>13.3366</v>
      </c>
      <c r="O25" s="33">
        <v>49.0562</v>
      </c>
      <c r="P25" s="33">
        <v>35.7741</v>
      </c>
      <c r="Q25" s="33">
        <v>0.0495417</v>
      </c>
      <c r="R25" s="34">
        <v>89.6967</v>
      </c>
      <c r="S25" s="33">
        <v>0.916522</v>
      </c>
      <c r="T25" s="33">
        <v>3.52737</v>
      </c>
      <c r="U25" s="33">
        <v>11.2113</v>
      </c>
      <c r="V25" s="33">
        <v>57.4139</v>
      </c>
      <c r="W25" s="33">
        <v>25.1523</v>
      </c>
      <c r="X25" s="33">
        <v>1.77855</v>
      </c>
      <c r="Y25" s="34">
        <v>8.6967</v>
      </c>
      <c r="Z25" s="33">
        <v>0.0</v>
      </c>
      <c r="AA25" s="33">
        <v>99.995</v>
      </c>
      <c r="AB25" s="33">
        <v>0.00495417</v>
      </c>
      <c r="AC25" s="33">
        <v>0.0</v>
      </c>
      <c r="AD25" s="33">
        <v>0.0</v>
      </c>
      <c r="AE25" s="33">
        <v>0.0</v>
      </c>
      <c r="AF25" s="34">
        <v>0.506907</v>
      </c>
      <c r="AG25" s="33">
        <v>0.203121</v>
      </c>
      <c r="AH25" s="33">
        <v>1.66956</v>
      </c>
      <c r="AI25" s="33">
        <v>7.14392</v>
      </c>
      <c r="AJ25" s="33">
        <v>18.6723</v>
      </c>
      <c r="AK25" s="33">
        <v>45.2712</v>
      </c>
      <c r="AL25" s="33">
        <v>27.0399</v>
      </c>
      <c r="AM25" s="34">
        <v>0.230923</v>
      </c>
      <c r="AN25" s="33">
        <v>0.0247709</v>
      </c>
      <c r="AO25" s="33">
        <v>2.17488</v>
      </c>
      <c r="AP25" s="33">
        <v>41.402</v>
      </c>
      <c r="AQ25" s="33">
        <v>48.2239</v>
      </c>
      <c r="AR25" s="33">
        <v>5.92519</v>
      </c>
      <c r="AS25" s="33">
        <v>2.24919</v>
      </c>
      <c r="AT25" s="33">
        <v>219.429</v>
      </c>
      <c r="AU25" s="34">
        <v>221.533</v>
      </c>
      <c r="AV25" s="34">
        <v>6097.51</v>
      </c>
      <c r="AW25" s="34">
        <v>0.121077</v>
      </c>
      <c r="AX25" s="33">
        <v>0.0</v>
      </c>
      <c r="AY25" s="33">
        <v>0.0</v>
      </c>
      <c r="AZ25" s="33">
        <v>0.0396334</v>
      </c>
      <c r="BA25" s="33">
        <v>2.16002</v>
      </c>
      <c r="BB25" s="33">
        <v>85.5536</v>
      </c>
      <c r="BC25" s="33">
        <v>12.2467</v>
      </c>
      <c r="BD25" s="34">
        <v>38.3616</v>
      </c>
      <c r="BE25" s="33">
        <v>0.0</v>
      </c>
      <c r="BF25" s="33">
        <v>14.6099</v>
      </c>
      <c r="BG25" s="33">
        <v>70.1214</v>
      </c>
      <c r="BH25" s="33">
        <v>13.8321</v>
      </c>
      <c r="BI25" s="33">
        <v>0.876889</v>
      </c>
      <c r="BJ25" s="33">
        <v>0.559822</v>
      </c>
      <c r="BK25" s="33">
        <v>41.1039</v>
      </c>
      <c r="BL25" s="33">
        <v>20185.0</v>
      </c>
    </row>
    <row r="26" ht="15.75" customHeight="1">
      <c r="A26" s="33" t="s">
        <v>112</v>
      </c>
      <c r="B26" s="33" t="s">
        <v>57</v>
      </c>
      <c r="C26" s="34">
        <v>13530.5</v>
      </c>
      <c r="D26" s="33">
        <v>150.139</v>
      </c>
      <c r="E26" s="33">
        <v>28682.4</v>
      </c>
      <c r="F26" s="33">
        <v>31.9297</v>
      </c>
      <c r="G26" s="33">
        <v>74.1955</v>
      </c>
      <c r="H26" s="33">
        <v>675.602</v>
      </c>
      <c r="I26" s="33">
        <v>253.255</v>
      </c>
      <c r="J26" s="34">
        <v>3748920.0</v>
      </c>
      <c r="K26" s="34">
        <v>0.246373</v>
      </c>
      <c r="L26" s="33">
        <v>0.308069</v>
      </c>
      <c r="M26" s="33">
        <v>2.6865</v>
      </c>
      <c r="N26" s="33">
        <v>12.9356</v>
      </c>
      <c r="O26" s="33">
        <v>50.9871</v>
      </c>
      <c r="P26" s="33">
        <v>33.0727</v>
      </c>
      <c r="Q26" s="33">
        <v>0.00993772</v>
      </c>
      <c r="R26" s="34">
        <v>89.4204</v>
      </c>
      <c r="S26" s="33">
        <v>1.28859</v>
      </c>
      <c r="T26" s="33">
        <v>3.90221</v>
      </c>
      <c r="U26" s="33">
        <v>11.1236</v>
      </c>
      <c r="V26" s="33">
        <v>56.433</v>
      </c>
      <c r="W26" s="33">
        <v>24.1984</v>
      </c>
      <c r="X26" s="33">
        <v>3.05419</v>
      </c>
      <c r="Y26" s="34">
        <v>8.72216</v>
      </c>
      <c r="Z26" s="33">
        <v>0.0</v>
      </c>
      <c r="AA26" s="33">
        <v>99.9967</v>
      </c>
      <c r="AB26" s="33">
        <v>0.00331257</v>
      </c>
      <c r="AC26" s="33">
        <v>0.0</v>
      </c>
      <c r="AD26" s="33">
        <v>0.0</v>
      </c>
      <c r="AE26" s="33">
        <v>0.0</v>
      </c>
      <c r="AF26" s="34">
        <v>0.505676</v>
      </c>
      <c r="AG26" s="33">
        <v>0.274944</v>
      </c>
      <c r="AH26" s="33">
        <v>2.46124</v>
      </c>
      <c r="AI26" s="33">
        <v>7.55267</v>
      </c>
      <c r="AJ26" s="33">
        <v>15.2378</v>
      </c>
      <c r="AK26" s="33">
        <v>47.6911</v>
      </c>
      <c r="AL26" s="33">
        <v>26.7822</v>
      </c>
      <c r="AM26" s="34">
        <v>0.226525</v>
      </c>
      <c r="AN26" s="33">
        <v>0.407447</v>
      </c>
      <c r="AO26" s="33">
        <v>2.67325</v>
      </c>
      <c r="AP26" s="33">
        <v>40.0722</v>
      </c>
      <c r="AQ26" s="33">
        <v>48.6982</v>
      </c>
      <c r="AR26" s="33">
        <v>6.47277</v>
      </c>
      <c r="AS26" s="33">
        <v>1.67616</v>
      </c>
      <c r="AT26" s="33">
        <v>277.073</v>
      </c>
      <c r="AU26" s="34">
        <v>282.615</v>
      </c>
      <c r="AV26" s="34">
        <v>9158.23</v>
      </c>
      <c r="AW26" s="34">
        <v>0.118892</v>
      </c>
      <c r="AX26" s="33">
        <v>0.0</v>
      </c>
      <c r="AY26" s="33">
        <v>0.294819</v>
      </c>
      <c r="AZ26" s="33">
        <v>0.281569</v>
      </c>
      <c r="BA26" s="33">
        <v>2.50431</v>
      </c>
      <c r="BB26" s="33">
        <v>83.9671</v>
      </c>
      <c r="BC26" s="33">
        <v>12.9522</v>
      </c>
      <c r="BD26" s="34">
        <v>37.7861</v>
      </c>
      <c r="BE26" s="33">
        <v>0.0</v>
      </c>
      <c r="BF26" s="33">
        <v>13.9261</v>
      </c>
      <c r="BG26" s="33">
        <v>72.4427</v>
      </c>
      <c r="BH26" s="33">
        <v>12.8495</v>
      </c>
      <c r="BI26" s="33">
        <v>0.672453</v>
      </c>
      <c r="BJ26" s="33">
        <v>0.109315</v>
      </c>
      <c r="BK26" s="33">
        <v>42.5868</v>
      </c>
      <c r="BL26" s="33">
        <v>30188.0</v>
      </c>
    </row>
    <row r="27" ht="15.75" customHeight="1">
      <c r="A27" s="33" t="s">
        <v>112</v>
      </c>
      <c r="B27" s="33" t="s">
        <v>57</v>
      </c>
      <c r="C27" s="34">
        <v>10974.7</v>
      </c>
      <c r="D27" s="33">
        <v>154.877</v>
      </c>
      <c r="E27" s="33">
        <v>23350.1</v>
      </c>
      <c r="F27" s="33">
        <v>31.5157</v>
      </c>
      <c r="G27" s="33">
        <v>81.6879</v>
      </c>
      <c r="H27" s="33">
        <v>600.635</v>
      </c>
      <c r="I27" s="33">
        <v>209.854</v>
      </c>
      <c r="J27" s="34">
        <v>2854650.0</v>
      </c>
      <c r="K27" s="34">
        <v>0.25333</v>
      </c>
      <c r="L27" s="33">
        <v>0.631809</v>
      </c>
      <c r="M27" s="33">
        <v>2.60014</v>
      </c>
      <c r="N27" s="33">
        <v>12.4539</v>
      </c>
      <c r="O27" s="33">
        <v>46.7741</v>
      </c>
      <c r="P27" s="33">
        <v>37.4185</v>
      </c>
      <c r="Q27" s="33">
        <v>0.121502</v>
      </c>
      <c r="R27" s="34">
        <v>87.4307</v>
      </c>
      <c r="S27" s="33">
        <v>1.59167</v>
      </c>
      <c r="T27" s="33">
        <v>4.57657</v>
      </c>
      <c r="U27" s="33">
        <v>12.5633</v>
      </c>
      <c r="V27" s="33">
        <v>57.0856</v>
      </c>
      <c r="W27" s="33">
        <v>21.8501</v>
      </c>
      <c r="X27" s="33">
        <v>2.33283</v>
      </c>
      <c r="Y27" s="34">
        <v>8.6598</v>
      </c>
      <c r="Z27" s="33">
        <v>0.0</v>
      </c>
      <c r="AA27" s="33">
        <v>99.9473</v>
      </c>
      <c r="AB27" s="33">
        <v>0.0526508</v>
      </c>
      <c r="AC27" s="33">
        <v>0.0</v>
      </c>
      <c r="AD27" s="33">
        <v>0.0</v>
      </c>
      <c r="AE27" s="33">
        <v>0.0</v>
      </c>
      <c r="AF27" s="34">
        <v>0.490061</v>
      </c>
      <c r="AG27" s="33">
        <v>0.639909</v>
      </c>
      <c r="AH27" s="33">
        <v>3.48305</v>
      </c>
      <c r="AI27" s="33">
        <v>8.90203</v>
      </c>
      <c r="AJ27" s="33">
        <v>16.0099</v>
      </c>
      <c r="AK27" s="33">
        <v>47.333</v>
      </c>
      <c r="AL27" s="33">
        <v>23.6321</v>
      </c>
      <c r="AM27" s="34">
        <v>0.257655</v>
      </c>
      <c r="AN27" s="33">
        <v>0.105302</v>
      </c>
      <c r="AO27" s="33">
        <v>2.09388</v>
      </c>
      <c r="AP27" s="33">
        <v>35.0654</v>
      </c>
      <c r="AQ27" s="33">
        <v>49.8927</v>
      </c>
      <c r="AR27" s="33">
        <v>9.09643</v>
      </c>
      <c r="AS27" s="33">
        <v>3.7463</v>
      </c>
      <c r="AT27" s="33">
        <v>260.112</v>
      </c>
      <c r="AU27" s="34">
        <v>267.015</v>
      </c>
      <c r="AV27" s="34">
        <v>7358.95</v>
      </c>
      <c r="AW27" s="34">
        <v>0.138851</v>
      </c>
      <c r="AX27" s="33">
        <v>0.00810012</v>
      </c>
      <c r="AY27" s="33">
        <v>0.0243004</v>
      </c>
      <c r="AZ27" s="33">
        <v>0.117452</v>
      </c>
      <c r="BA27" s="33">
        <v>2.04933</v>
      </c>
      <c r="BB27" s="33">
        <v>80.5071</v>
      </c>
      <c r="BC27" s="33">
        <v>17.2938</v>
      </c>
      <c r="BD27" s="34">
        <v>40.43</v>
      </c>
      <c r="BE27" s="33">
        <v>0.0</v>
      </c>
      <c r="BF27" s="33">
        <v>11.6561</v>
      </c>
      <c r="BG27" s="33">
        <v>68.4541</v>
      </c>
      <c r="BH27" s="33">
        <v>17.5854</v>
      </c>
      <c r="BI27" s="33">
        <v>1.69292</v>
      </c>
      <c r="BJ27" s="33">
        <v>0.611559</v>
      </c>
      <c r="BK27" s="33">
        <v>42.0895</v>
      </c>
      <c r="BL27" s="33">
        <v>24691.0</v>
      </c>
    </row>
    <row r="28" ht="15.75" customHeight="1">
      <c r="A28" s="33" t="s">
        <v>112</v>
      </c>
      <c r="B28" s="33" t="s">
        <v>57</v>
      </c>
      <c r="C28" s="34">
        <v>13218.8</v>
      </c>
      <c r="D28" s="33">
        <v>150.783</v>
      </c>
      <c r="E28" s="33">
        <v>27726.2</v>
      </c>
      <c r="F28" s="33">
        <v>29.8799</v>
      </c>
      <c r="G28" s="33">
        <v>76.1482</v>
      </c>
      <c r="H28" s="33">
        <v>646.38</v>
      </c>
      <c r="I28" s="33">
        <v>226.443</v>
      </c>
      <c r="J28" s="34">
        <v>3928160.0</v>
      </c>
      <c r="K28" s="34">
        <v>0.240457</v>
      </c>
      <c r="L28" s="33">
        <v>0.665228</v>
      </c>
      <c r="M28" s="33">
        <v>2.12661</v>
      </c>
      <c r="N28" s="33">
        <v>15.3392</v>
      </c>
      <c r="O28" s="33">
        <v>50.2495</v>
      </c>
      <c r="P28" s="33">
        <v>31.5417</v>
      </c>
      <c r="Q28" s="33">
        <v>0.0778458</v>
      </c>
      <c r="R28" s="34">
        <v>86.3575</v>
      </c>
      <c r="S28" s="33">
        <v>1.37646</v>
      </c>
      <c r="T28" s="33">
        <v>4.83352</v>
      </c>
      <c r="U28" s="33">
        <v>14.2458</v>
      </c>
      <c r="V28" s="33">
        <v>58.5117</v>
      </c>
      <c r="W28" s="33">
        <v>18.7042</v>
      </c>
      <c r="X28" s="33">
        <v>2.3283</v>
      </c>
      <c r="Y28" s="34">
        <v>8.56458</v>
      </c>
      <c r="Z28" s="33">
        <v>0.0</v>
      </c>
      <c r="AA28" s="33">
        <v>99.9398</v>
      </c>
      <c r="AB28" s="33">
        <v>0.0601536</v>
      </c>
      <c r="AC28" s="33">
        <v>0.0</v>
      </c>
      <c r="AD28" s="33">
        <v>0.0</v>
      </c>
      <c r="AE28" s="33">
        <v>0.0</v>
      </c>
      <c r="AF28" s="34">
        <v>0.473369</v>
      </c>
      <c r="AG28" s="33">
        <v>0.180461</v>
      </c>
      <c r="AH28" s="33">
        <v>3.15629</v>
      </c>
      <c r="AI28" s="33">
        <v>9.68119</v>
      </c>
      <c r="AJ28" s="33">
        <v>22.5151</v>
      </c>
      <c r="AK28" s="33">
        <v>47.769</v>
      </c>
      <c r="AL28" s="33">
        <v>16.6979</v>
      </c>
      <c r="AM28" s="34">
        <v>0.254778</v>
      </c>
      <c r="AN28" s="33">
        <v>0.0919996</v>
      </c>
      <c r="AO28" s="33">
        <v>2.14784</v>
      </c>
      <c r="AP28" s="33">
        <v>36.4354</v>
      </c>
      <c r="AQ28" s="33">
        <v>49.1667</v>
      </c>
      <c r="AR28" s="33">
        <v>8.21273</v>
      </c>
      <c r="AS28" s="33">
        <v>3.94537</v>
      </c>
      <c r="AT28" s="33">
        <v>297.165</v>
      </c>
      <c r="AU28" s="34">
        <v>303.615</v>
      </c>
      <c r="AV28" s="34">
        <v>8284.55</v>
      </c>
      <c r="AW28" s="34">
        <v>0.141867</v>
      </c>
      <c r="AX28" s="33">
        <v>0.00353845</v>
      </c>
      <c r="AY28" s="33">
        <v>0.00707689</v>
      </c>
      <c r="AZ28" s="33">
        <v>0.102615</v>
      </c>
      <c r="BA28" s="33">
        <v>2.12661</v>
      </c>
      <c r="BB28" s="33">
        <v>79.8344</v>
      </c>
      <c r="BC28" s="33">
        <v>17.9258</v>
      </c>
      <c r="BD28" s="34">
        <v>39.0771</v>
      </c>
      <c r="BE28" s="33">
        <v>0.0</v>
      </c>
      <c r="BF28" s="33">
        <v>15.2118</v>
      </c>
      <c r="BG28" s="33">
        <v>66.9085</v>
      </c>
      <c r="BH28" s="33">
        <v>15.2365</v>
      </c>
      <c r="BI28" s="33">
        <v>1.83645</v>
      </c>
      <c r="BJ28" s="33">
        <v>0.806765</v>
      </c>
      <c r="BK28" s="33">
        <v>38.7912</v>
      </c>
      <c r="BL28" s="33">
        <v>28261.0</v>
      </c>
    </row>
    <row r="29" ht="15.75" customHeight="1">
      <c r="A29" s="33" t="s">
        <v>112</v>
      </c>
      <c r="B29" s="33" t="s">
        <v>57</v>
      </c>
      <c r="C29" s="34">
        <v>9939.87</v>
      </c>
      <c r="D29" s="33">
        <v>75.0931</v>
      </c>
      <c r="E29" s="33">
        <v>19303.8</v>
      </c>
      <c r="F29" s="33">
        <v>36.8446</v>
      </c>
      <c r="G29" s="33">
        <v>74.669</v>
      </c>
      <c r="H29" s="33">
        <v>561.653</v>
      </c>
      <c r="I29" s="33">
        <v>195.073</v>
      </c>
      <c r="J29" s="34">
        <v>2185510.0</v>
      </c>
      <c r="K29" s="34">
        <v>0.246163</v>
      </c>
      <c r="L29" s="33">
        <v>0.745059</v>
      </c>
      <c r="M29" s="33">
        <v>2.37542</v>
      </c>
      <c r="N29" s="33">
        <v>11.7851</v>
      </c>
      <c r="O29" s="33">
        <v>52.7019</v>
      </c>
      <c r="P29" s="33">
        <v>32.2829</v>
      </c>
      <c r="Q29" s="33">
        <v>0.109567</v>
      </c>
      <c r="R29" s="34">
        <v>88.9549</v>
      </c>
      <c r="S29" s="33">
        <v>1.70049</v>
      </c>
      <c r="T29" s="33">
        <v>4.23807</v>
      </c>
      <c r="U29" s="33">
        <v>11.5879</v>
      </c>
      <c r="V29" s="33">
        <v>54.0518</v>
      </c>
      <c r="W29" s="33">
        <v>25.6782</v>
      </c>
      <c r="X29" s="33">
        <v>2.74357</v>
      </c>
      <c r="Y29" s="34">
        <v>8.087</v>
      </c>
      <c r="Z29" s="33">
        <v>0.0</v>
      </c>
      <c r="AA29" s="33">
        <v>100.0</v>
      </c>
      <c r="AB29" s="33">
        <v>0.0</v>
      </c>
      <c r="AC29" s="33">
        <v>0.0</v>
      </c>
      <c r="AD29" s="33">
        <v>0.0</v>
      </c>
      <c r="AE29" s="33">
        <v>0.0</v>
      </c>
      <c r="AF29" s="34">
        <v>0.511158</v>
      </c>
      <c r="AG29" s="33">
        <v>0.271727</v>
      </c>
      <c r="AH29" s="33">
        <v>2.27462</v>
      </c>
      <c r="AI29" s="33">
        <v>6.69676</v>
      </c>
      <c r="AJ29" s="33">
        <v>14.8004</v>
      </c>
      <c r="AK29" s="33">
        <v>48.9372</v>
      </c>
      <c r="AL29" s="33">
        <v>27.0193</v>
      </c>
      <c r="AM29" s="34">
        <v>0.239785</v>
      </c>
      <c r="AN29" s="33">
        <v>0.127098</v>
      </c>
      <c r="AO29" s="33">
        <v>2.94079</v>
      </c>
      <c r="AP29" s="33">
        <v>41.0001</v>
      </c>
      <c r="AQ29" s="33">
        <v>44.7824</v>
      </c>
      <c r="AR29" s="33">
        <v>7.41552</v>
      </c>
      <c r="AS29" s="33">
        <v>3.73406</v>
      </c>
      <c r="AT29" s="33">
        <v>219.873</v>
      </c>
      <c r="AU29" s="34">
        <v>225.615</v>
      </c>
      <c r="AV29" s="34">
        <v>7112.38</v>
      </c>
      <c r="AW29" s="34">
        <v>0.127789</v>
      </c>
      <c r="AX29" s="33">
        <v>0.0043827</v>
      </c>
      <c r="AY29" s="33">
        <v>0.0175308</v>
      </c>
      <c r="AZ29" s="33">
        <v>0.0745059</v>
      </c>
      <c r="BA29" s="33">
        <v>2.97147</v>
      </c>
      <c r="BB29" s="33">
        <v>81.4393</v>
      </c>
      <c r="BC29" s="33">
        <v>15.4928</v>
      </c>
      <c r="BD29" s="34">
        <v>39.0065</v>
      </c>
      <c r="BE29" s="33">
        <v>0.0</v>
      </c>
      <c r="BF29" s="33">
        <v>12.6309</v>
      </c>
      <c r="BG29" s="33">
        <v>71.885</v>
      </c>
      <c r="BH29" s="33">
        <v>13.1086</v>
      </c>
      <c r="BI29" s="33">
        <v>1.45944</v>
      </c>
      <c r="BJ29" s="33">
        <v>0.915984</v>
      </c>
      <c r="BK29" s="33">
        <v>45.6681</v>
      </c>
      <c r="BL29" s="33">
        <v>22817.0</v>
      </c>
    </row>
    <row r="30" ht="15.75" customHeight="1">
      <c r="A30" s="33" t="s">
        <v>113</v>
      </c>
      <c r="B30" s="33" t="s">
        <v>57</v>
      </c>
      <c r="C30" s="34">
        <v>9992.71</v>
      </c>
      <c r="D30" s="33">
        <v>130.156</v>
      </c>
      <c r="E30" s="33">
        <v>21644.8</v>
      </c>
      <c r="F30" s="33">
        <v>30.1483</v>
      </c>
      <c r="G30" s="33">
        <v>78.6743</v>
      </c>
      <c r="H30" s="33">
        <v>586.24</v>
      </c>
      <c r="I30" s="33">
        <v>209.853</v>
      </c>
      <c r="J30" s="34">
        <v>2811280.0</v>
      </c>
      <c r="K30" s="34">
        <v>0.225416</v>
      </c>
      <c r="L30" s="33">
        <v>0.436526</v>
      </c>
      <c r="M30" s="33">
        <v>3.37194</v>
      </c>
      <c r="N30" s="33">
        <v>18.5657</v>
      </c>
      <c r="O30" s="33">
        <v>50.9265</v>
      </c>
      <c r="P30" s="33">
        <v>26.6682</v>
      </c>
      <c r="Q30" s="33">
        <v>0.0311804</v>
      </c>
      <c r="R30" s="34">
        <v>85.7773</v>
      </c>
      <c r="S30" s="33">
        <v>1.58575</v>
      </c>
      <c r="T30" s="33">
        <v>6.05345</v>
      </c>
      <c r="U30" s="33">
        <v>14.5078</v>
      </c>
      <c r="V30" s="33">
        <v>56.9042</v>
      </c>
      <c r="W30" s="33">
        <v>17.4699</v>
      </c>
      <c r="X30" s="33">
        <v>3.47884</v>
      </c>
      <c r="Y30" s="34">
        <v>9.18316</v>
      </c>
      <c r="Z30" s="33">
        <v>0.0</v>
      </c>
      <c r="AA30" s="33">
        <v>99.9955</v>
      </c>
      <c r="AB30" s="33">
        <v>0.00445434</v>
      </c>
      <c r="AC30" s="33">
        <v>0.0</v>
      </c>
      <c r="AD30" s="33">
        <v>0.0</v>
      </c>
      <c r="AE30" s="33">
        <v>0.0</v>
      </c>
      <c r="AF30" s="34">
        <v>0.452836</v>
      </c>
      <c r="AG30" s="33">
        <v>0.387528</v>
      </c>
      <c r="AH30" s="33">
        <v>4.11136</v>
      </c>
      <c r="AI30" s="33">
        <v>12.9844</v>
      </c>
      <c r="AJ30" s="33">
        <v>21.8085</v>
      </c>
      <c r="AK30" s="33">
        <v>47.6437</v>
      </c>
      <c r="AL30" s="33">
        <v>13.0646</v>
      </c>
      <c r="AM30" s="34">
        <v>0.238426</v>
      </c>
      <c r="AN30" s="33">
        <v>0.632517</v>
      </c>
      <c r="AO30" s="33">
        <v>2.65479</v>
      </c>
      <c r="AP30" s="33">
        <v>36.0178</v>
      </c>
      <c r="AQ30" s="33">
        <v>50.784</v>
      </c>
      <c r="AR30" s="33">
        <v>7.52339</v>
      </c>
      <c r="AS30" s="33">
        <v>2.38753</v>
      </c>
      <c r="AT30" s="33">
        <v>281.333</v>
      </c>
      <c r="AU30" s="34">
        <v>286.1</v>
      </c>
      <c r="AV30" s="34">
        <v>6525.54</v>
      </c>
      <c r="AW30" s="34">
        <v>0.141403</v>
      </c>
      <c r="AX30" s="33">
        <v>0.0</v>
      </c>
      <c r="AY30" s="33">
        <v>0.418708</v>
      </c>
      <c r="AZ30" s="33">
        <v>0.561247</v>
      </c>
      <c r="BA30" s="33">
        <v>2.30735</v>
      </c>
      <c r="BB30" s="33">
        <v>76.3474</v>
      </c>
      <c r="BC30" s="33">
        <v>20.3653</v>
      </c>
      <c r="BD30" s="34">
        <v>37.0608</v>
      </c>
      <c r="BE30" s="33">
        <v>0.0</v>
      </c>
      <c r="BF30" s="33">
        <v>17.1047</v>
      </c>
      <c r="BG30" s="33">
        <v>69.5011</v>
      </c>
      <c r="BH30" s="33">
        <v>12.2494</v>
      </c>
      <c r="BI30" s="33">
        <v>0.877506</v>
      </c>
      <c r="BJ30" s="33">
        <v>0.267261</v>
      </c>
      <c r="BK30" s="33">
        <v>40.7551</v>
      </c>
      <c r="BL30" s="33">
        <v>22450.0</v>
      </c>
    </row>
    <row r="31" ht="15.75" customHeight="1">
      <c r="A31" s="33" t="s">
        <v>113</v>
      </c>
      <c r="B31" s="33" t="s">
        <v>57</v>
      </c>
      <c r="C31" s="34">
        <v>9385.97</v>
      </c>
      <c r="D31" s="33">
        <v>133.509</v>
      </c>
      <c r="E31" s="33">
        <v>19479.8</v>
      </c>
      <c r="F31" s="33">
        <v>31.7313</v>
      </c>
      <c r="G31" s="33">
        <v>74.3935</v>
      </c>
      <c r="H31" s="33">
        <v>649.766</v>
      </c>
      <c r="I31" s="33">
        <v>188.424</v>
      </c>
      <c r="J31" s="34">
        <v>2529800.0</v>
      </c>
      <c r="K31" s="34">
        <v>0.233548</v>
      </c>
      <c r="L31" s="33">
        <v>0.62473</v>
      </c>
      <c r="M31" s="33">
        <v>2.38358</v>
      </c>
      <c r="N31" s="33">
        <v>15.3924</v>
      </c>
      <c r="O31" s="33">
        <v>53.2894</v>
      </c>
      <c r="P31" s="33">
        <v>28.2522</v>
      </c>
      <c r="Q31" s="33">
        <v>0.0576674</v>
      </c>
      <c r="R31" s="34">
        <v>87.0842</v>
      </c>
      <c r="S31" s="33">
        <v>1.37921</v>
      </c>
      <c r="T31" s="33">
        <v>4.07997</v>
      </c>
      <c r="U31" s="33">
        <v>13.2539</v>
      </c>
      <c r="V31" s="33">
        <v>60.3008</v>
      </c>
      <c r="W31" s="33">
        <v>18.3142</v>
      </c>
      <c r="X31" s="33">
        <v>2.67192</v>
      </c>
      <c r="Y31" s="34">
        <v>9.27525</v>
      </c>
      <c r="Z31" s="33">
        <v>0.0</v>
      </c>
      <c r="AA31" s="33">
        <v>100.0</v>
      </c>
      <c r="AB31" s="33">
        <v>0.0</v>
      </c>
      <c r="AC31" s="33">
        <v>0.0</v>
      </c>
      <c r="AD31" s="33">
        <v>0.0</v>
      </c>
      <c r="AE31" s="33">
        <v>0.0</v>
      </c>
      <c r="AF31" s="34">
        <v>0.461394</v>
      </c>
      <c r="AG31" s="33">
        <v>0.293142</v>
      </c>
      <c r="AH31" s="33">
        <v>2.93142</v>
      </c>
      <c r="AI31" s="33">
        <v>10.8559</v>
      </c>
      <c r="AJ31" s="33">
        <v>22.9084</v>
      </c>
      <c r="AK31" s="33">
        <v>51.3528</v>
      </c>
      <c r="AL31" s="33">
        <v>11.6584</v>
      </c>
      <c r="AM31" s="34">
        <v>0.239625</v>
      </c>
      <c r="AN31" s="33">
        <v>0.446922</v>
      </c>
      <c r="AO31" s="33">
        <v>2.32111</v>
      </c>
      <c r="AP31" s="33">
        <v>37.9211</v>
      </c>
      <c r="AQ31" s="33">
        <v>50.012</v>
      </c>
      <c r="AR31" s="33">
        <v>6.57888</v>
      </c>
      <c r="AS31" s="33">
        <v>2.71998</v>
      </c>
      <c r="AT31" s="33">
        <v>269.53</v>
      </c>
      <c r="AU31" s="34">
        <v>276.032</v>
      </c>
      <c r="AV31" s="34">
        <v>6181.18</v>
      </c>
      <c r="AW31" s="34">
        <v>0.139994</v>
      </c>
      <c r="AX31" s="33">
        <v>0.00480561</v>
      </c>
      <c r="AY31" s="33">
        <v>0.240281</v>
      </c>
      <c r="AZ31" s="33">
        <v>0.346004</v>
      </c>
      <c r="BA31" s="33">
        <v>2.17694</v>
      </c>
      <c r="BB31" s="33">
        <v>79.3599</v>
      </c>
      <c r="BC31" s="33">
        <v>17.8721</v>
      </c>
      <c r="BD31" s="34">
        <v>37.6814</v>
      </c>
      <c r="BE31" s="33">
        <v>0.0</v>
      </c>
      <c r="BF31" s="33">
        <v>15.5894</v>
      </c>
      <c r="BG31" s="33">
        <v>70.556</v>
      </c>
      <c r="BH31" s="33">
        <v>12.2111</v>
      </c>
      <c r="BI31" s="33">
        <v>1.14374</v>
      </c>
      <c r="BJ31" s="33">
        <v>0.499784</v>
      </c>
      <c r="BK31" s="33">
        <v>41.1782</v>
      </c>
      <c r="BL31" s="33">
        <v>20809.0</v>
      </c>
    </row>
    <row r="32" ht="15.75" customHeight="1">
      <c r="A32" s="33" t="s">
        <v>113</v>
      </c>
      <c r="B32" s="33" t="s">
        <v>57</v>
      </c>
      <c r="C32" s="34">
        <v>13577.6</v>
      </c>
      <c r="D32" s="33">
        <v>155.176</v>
      </c>
      <c r="E32" s="33">
        <v>25714.3</v>
      </c>
      <c r="F32" s="33">
        <v>35.5288</v>
      </c>
      <c r="G32" s="33">
        <v>75.386</v>
      </c>
      <c r="H32" s="33">
        <v>625.338</v>
      </c>
      <c r="I32" s="33">
        <v>227.534</v>
      </c>
      <c r="J32" s="34">
        <v>3940630.0</v>
      </c>
      <c r="K32" s="34">
        <v>0.245184</v>
      </c>
      <c r="L32" s="33">
        <v>0.605982</v>
      </c>
      <c r="M32" s="33">
        <v>2.0221</v>
      </c>
      <c r="N32" s="33">
        <v>14.1353</v>
      </c>
      <c r="O32" s="33">
        <v>50.397</v>
      </c>
      <c r="P32" s="33">
        <v>32.7101</v>
      </c>
      <c r="Q32" s="33">
        <v>0.129622</v>
      </c>
      <c r="R32" s="34">
        <v>87.1666</v>
      </c>
      <c r="S32" s="33">
        <v>1.25085</v>
      </c>
      <c r="T32" s="33">
        <v>4.63074</v>
      </c>
      <c r="U32" s="33">
        <v>14.6764</v>
      </c>
      <c r="V32" s="33">
        <v>55.3226</v>
      </c>
      <c r="W32" s="33">
        <v>21.7149</v>
      </c>
      <c r="X32" s="33">
        <v>2.40448</v>
      </c>
      <c r="Y32" s="34">
        <v>8.39096</v>
      </c>
      <c r="Z32" s="33">
        <v>0.0</v>
      </c>
      <c r="AA32" s="33">
        <v>100.0</v>
      </c>
      <c r="AB32" s="33">
        <v>0.0</v>
      </c>
      <c r="AC32" s="33">
        <v>0.0</v>
      </c>
      <c r="AD32" s="33">
        <v>0.0</v>
      </c>
      <c r="AE32" s="33">
        <v>0.0</v>
      </c>
      <c r="AF32" s="34">
        <v>0.490192</v>
      </c>
      <c r="AG32" s="33">
        <v>0.327295</v>
      </c>
      <c r="AH32" s="33">
        <v>2.6378</v>
      </c>
      <c r="AI32" s="33">
        <v>9.55637</v>
      </c>
      <c r="AJ32" s="33">
        <v>18.6169</v>
      </c>
      <c r="AK32" s="33">
        <v>44.4862</v>
      </c>
      <c r="AL32" s="33">
        <v>24.3754</v>
      </c>
      <c r="AM32" s="34">
        <v>0.253057</v>
      </c>
      <c r="AN32" s="33">
        <v>0.0907353</v>
      </c>
      <c r="AO32" s="33">
        <v>2.43689</v>
      </c>
      <c r="AP32" s="33">
        <v>36.9325</v>
      </c>
      <c r="AQ32" s="33">
        <v>47.5258</v>
      </c>
      <c r="AR32" s="33">
        <v>9.52072</v>
      </c>
      <c r="AS32" s="33">
        <v>3.49331</v>
      </c>
      <c r="AT32" s="33">
        <v>290.231</v>
      </c>
      <c r="AU32" s="34">
        <v>296.432</v>
      </c>
      <c r="AV32" s="34">
        <v>9135.97</v>
      </c>
      <c r="AW32" s="34">
        <v>0.138469</v>
      </c>
      <c r="AX32" s="33">
        <v>0.00972164</v>
      </c>
      <c r="AY32" s="33">
        <v>0.00972164</v>
      </c>
      <c r="AZ32" s="33">
        <v>0.106938</v>
      </c>
      <c r="BA32" s="33">
        <v>2.40124</v>
      </c>
      <c r="BB32" s="33">
        <v>78.1944</v>
      </c>
      <c r="BC32" s="33">
        <v>19.278</v>
      </c>
      <c r="BD32" s="34">
        <v>39.3756</v>
      </c>
      <c r="BE32" s="33">
        <v>0.0</v>
      </c>
      <c r="BF32" s="33">
        <v>13.6265</v>
      </c>
      <c r="BG32" s="33">
        <v>68.9459</v>
      </c>
      <c r="BH32" s="33">
        <v>15.0653</v>
      </c>
      <c r="BI32" s="33">
        <v>1.51658</v>
      </c>
      <c r="BJ32" s="33">
        <v>0.845782</v>
      </c>
      <c r="BK32" s="33">
        <v>42.279</v>
      </c>
      <c r="BL32" s="33">
        <v>30859.0</v>
      </c>
    </row>
    <row r="33" ht="15.75" customHeight="1">
      <c r="A33" s="33" t="s">
        <v>113</v>
      </c>
      <c r="B33" s="33" t="s">
        <v>57</v>
      </c>
      <c r="C33" s="34">
        <v>16216.3</v>
      </c>
      <c r="D33" s="33">
        <v>136.209</v>
      </c>
      <c r="E33" s="33">
        <v>30069.8</v>
      </c>
      <c r="F33" s="33">
        <v>35.538</v>
      </c>
      <c r="G33" s="33">
        <v>83.1693</v>
      </c>
      <c r="H33" s="33">
        <v>654.627</v>
      </c>
      <c r="I33" s="33">
        <v>236.327</v>
      </c>
      <c r="J33" s="34">
        <v>4717140.0</v>
      </c>
      <c r="K33" s="34">
        <v>0.251953</v>
      </c>
      <c r="L33" s="33">
        <v>0.533385</v>
      </c>
      <c r="M33" s="33">
        <v>1.99812</v>
      </c>
      <c r="N33" s="33">
        <v>13.2794</v>
      </c>
      <c r="O33" s="33">
        <v>47.8748</v>
      </c>
      <c r="P33" s="33">
        <v>36.237</v>
      </c>
      <c r="Q33" s="33">
        <v>0.0773823</v>
      </c>
      <c r="R33" s="34">
        <v>89.5029</v>
      </c>
      <c r="S33" s="33">
        <v>1.29339</v>
      </c>
      <c r="T33" s="33">
        <v>4.28643</v>
      </c>
      <c r="U33" s="33">
        <v>10.9689</v>
      </c>
      <c r="V33" s="33">
        <v>54.7866</v>
      </c>
      <c r="W33" s="33">
        <v>26.3652</v>
      </c>
      <c r="X33" s="33">
        <v>2.29936</v>
      </c>
      <c r="Y33" s="34">
        <v>8.4888</v>
      </c>
      <c r="Z33" s="33">
        <v>0.0</v>
      </c>
      <c r="AA33" s="33">
        <v>99.9862</v>
      </c>
      <c r="AB33" s="33">
        <v>0.0138183</v>
      </c>
      <c r="AC33" s="33">
        <v>0.0</v>
      </c>
      <c r="AD33" s="33">
        <v>0.0</v>
      </c>
      <c r="AE33" s="33">
        <v>0.0</v>
      </c>
      <c r="AF33" s="34">
        <v>0.508919</v>
      </c>
      <c r="AG33" s="33">
        <v>0.373093</v>
      </c>
      <c r="AH33" s="33">
        <v>2.73878</v>
      </c>
      <c r="AI33" s="33">
        <v>7.79626</v>
      </c>
      <c r="AJ33" s="33">
        <v>14.8546</v>
      </c>
      <c r="AK33" s="33">
        <v>43.721</v>
      </c>
      <c r="AL33" s="33">
        <v>30.5163</v>
      </c>
      <c r="AM33" s="34">
        <v>0.233255</v>
      </c>
      <c r="AN33" s="33">
        <v>0.0912005</v>
      </c>
      <c r="AO33" s="33">
        <v>2.60336</v>
      </c>
      <c r="AP33" s="33">
        <v>40.8606</v>
      </c>
      <c r="AQ33" s="33">
        <v>47.5293</v>
      </c>
      <c r="AR33" s="33">
        <v>6.04134</v>
      </c>
      <c r="AS33" s="33">
        <v>2.8742</v>
      </c>
      <c r="AT33" s="33">
        <v>290.888</v>
      </c>
      <c r="AU33" s="34">
        <v>294.032</v>
      </c>
      <c r="AV33" s="34">
        <v>10686.2</v>
      </c>
      <c r="AW33" s="34">
        <v>0.124181</v>
      </c>
      <c r="AX33" s="33">
        <v>0.00276365</v>
      </c>
      <c r="AY33" s="33">
        <v>0.0193456</v>
      </c>
      <c r="AZ33" s="33">
        <v>0.0939642</v>
      </c>
      <c r="BA33" s="33">
        <v>2.57849</v>
      </c>
      <c r="BB33" s="33">
        <v>83.2661</v>
      </c>
      <c r="BC33" s="33">
        <v>14.0394</v>
      </c>
      <c r="BD33" s="34">
        <v>38.7771</v>
      </c>
      <c r="BE33" s="33">
        <v>0.0</v>
      </c>
      <c r="BF33" s="33">
        <v>13.1467</v>
      </c>
      <c r="BG33" s="33">
        <v>71.5178</v>
      </c>
      <c r="BH33" s="33">
        <v>13.5447</v>
      </c>
      <c r="BI33" s="33">
        <v>1.23259</v>
      </c>
      <c r="BJ33" s="33">
        <v>0.558258</v>
      </c>
      <c r="BK33" s="33">
        <v>41.2255</v>
      </c>
      <c r="BL33" s="33">
        <v>36184.0</v>
      </c>
    </row>
    <row r="34" ht="15.75" customHeight="1">
      <c r="A34" s="33" t="s">
        <v>94</v>
      </c>
      <c r="B34" s="33" t="s">
        <v>59</v>
      </c>
      <c r="C34" s="34">
        <v>16746.9</v>
      </c>
      <c r="D34" s="33">
        <v>191.216</v>
      </c>
      <c r="E34" s="33">
        <v>27993.6</v>
      </c>
      <c r="F34" s="33">
        <v>39.0476</v>
      </c>
      <c r="G34" s="33">
        <v>70.8253</v>
      </c>
      <c r="H34" s="33">
        <v>651.069</v>
      </c>
      <c r="I34" s="33">
        <v>233.449</v>
      </c>
      <c r="J34" s="34">
        <v>5459760.0</v>
      </c>
      <c r="K34" s="34">
        <v>0.202331</v>
      </c>
      <c r="L34" s="33">
        <v>0.647214</v>
      </c>
      <c r="M34" s="33">
        <v>4.12869</v>
      </c>
      <c r="N34" s="33">
        <v>24.2382</v>
      </c>
      <c r="O34" s="33">
        <v>51.6019</v>
      </c>
      <c r="P34" s="33">
        <v>19.2897</v>
      </c>
      <c r="Q34" s="33">
        <v>0.0943854</v>
      </c>
      <c r="R34" s="34">
        <v>94.1786</v>
      </c>
      <c r="S34" s="33">
        <v>1.87962</v>
      </c>
      <c r="T34" s="33">
        <v>5.17502</v>
      </c>
      <c r="U34" s="33">
        <v>11.6526</v>
      </c>
      <c r="V34" s="33">
        <v>37.2013</v>
      </c>
      <c r="W34" s="33">
        <v>32.2475</v>
      </c>
      <c r="X34" s="33">
        <v>11.844</v>
      </c>
      <c r="Y34" s="34">
        <v>6.19465</v>
      </c>
      <c r="Z34" s="33">
        <v>0.0</v>
      </c>
      <c r="AA34" s="33">
        <v>100.0</v>
      </c>
      <c r="AB34" s="33">
        <v>0.0</v>
      </c>
      <c r="AC34" s="33">
        <v>0.0</v>
      </c>
      <c r="AD34" s="33">
        <v>0.0</v>
      </c>
      <c r="AE34" s="33">
        <v>0.0</v>
      </c>
      <c r="AF34" s="34">
        <v>0.562467</v>
      </c>
      <c r="AG34" s="33">
        <v>0.110566</v>
      </c>
      <c r="AH34" s="33">
        <v>1.76636</v>
      </c>
      <c r="AI34" s="33">
        <v>5.81954</v>
      </c>
      <c r="AJ34" s="33">
        <v>12.8283</v>
      </c>
      <c r="AK34" s="33">
        <v>27.7358</v>
      </c>
      <c r="AL34" s="33">
        <v>51.7394</v>
      </c>
      <c r="AM34" s="34">
        <v>0.152172</v>
      </c>
      <c r="AN34" s="33">
        <v>0.857559</v>
      </c>
      <c r="AO34" s="33">
        <v>12.9632</v>
      </c>
      <c r="AP34" s="33">
        <v>54.0694</v>
      </c>
      <c r="AQ34" s="33">
        <v>25.9937</v>
      </c>
      <c r="AR34" s="33">
        <v>4.02621</v>
      </c>
      <c r="AS34" s="33">
        <v>2.08996</v>
      </c>
      <c r="AT34" s="33">
        <v>326.016</v>
      </c>
      <c r="AU34" s="34">
        <v>332.497</v>
      </c>
      <c r="AV34" s="34">
        <v>10930.8</v>
      </c>
      <c r="AW34" s="34">
        <v>0.073231</v>
      </c>
      <c r="AX34" s="33">
        <v>0.0107869</v>
      </c>
      <c r="AY34" s="33">
        <v>0.234615</v>
      </c>
      <c r="AZ34" s="33">
        <v>0.434173</v>
      </c>
      <c r="BA34" s="33">
        <v>13.1411</v>
      </c>
      <c r="BB34" s="33">
        <v>78.348</v>
      </c>
      <c r="BC34" s="33">
        <v>7.83129</v>
      </c>
      <c r="BD34" s="34">
        <v>30.9769</v>
      </c>
      <c r="BE34" s="33">
        <v>0.0</v>
      </c>
      <c r="BF34" s="33">
        <v>34.5019</v>
      </c>
      <c r="BG34" s="33">
        <v>57.9877</v>
      </c>
      <c r="BH34" s="33">
        <v>6.19438</v>
      </c>
      <c r="BI34" s="33">
        <v>0.887223</v>
      </c>
      <c r="BJ34" s="33">
        <v>0.428779</v>
      </c>
      <c r="BK34" s="33">
        <v>40.7503</v>
      </c>
      <c r="BL34" s="33">
        <v>37082.0</v>
      </c>
    </row>
    <row r="35" ht="15.75" customHeight="1">
      <c r="A35" s="33" t="s">
        <v>94</v>
      </c>
      <c r="B35" s="33" t="s">
        <v>59</v>
      </c>
      <c r="C35" s="34">
        <v>18165.7</v>
      </c>
      <c r="D35" s="33">
        <v>167.533</v>
      </c>
      <c r="E35" s="33">
        <v>36609.7</v>
      </c>
      <c r="F35" s="33">
        <v>33.8449</v>
      </c>
      <c r="G35" s="33">
        <v>77.5382</v>
      </c>
      <c r="H35" s="33">
        <v>718.691</v>
      </c>
      <c r="I35" s="33">
        <v>251.363</v>
      </c>
      <c r="J35" s="34">
        <v>5778530.0</v>
      </c>
      <c r="K35" s="34">
        <v>0.203403</v>
      </c>
      <c r="L35" s="33">
        <v>0.695044</v>
      </c>
      <c r="M35" s="33">
        <v>4.17026</v>
      </c>
      <c r="N35" s="33">
        <v>23.4216</v>
      </c>
      <c r="O35" s="33">
        <v>52.4128</v>
      </c>
      <c r="P35" s="33">
        <v>19.221</v>
      </c>
      <c r="Q35" s="33">
        <v>0.0793003</v>
      </c>
      <c r="R35" s="34">
        <v>94.8176</v>
      </c>
      <c r="S35" s="33">
        <v>2.03149</v>
      </c>
      <c r="T35" s="33">
        <v>5.32012</v>
      </c>
      <c r="U35" s="33">
        <v>11.0274</v>
      </c>
      <c r="V35" s="33">
        <v>35.5452</v>
      </c>
      <c r="W35" s="33">
        <v>34.2624</v>
      </c>
      <c r="X35" s="33">
        <v>11.8134</v>
      </c>
      <c r="Y35" s="34">
        <v>5.96468</v>
      </c>
      <c r="Z35" s="33">
        <v>0.0</v>
      </c>
      <c r="AA35" s="33">
        <v>100.0</v>
      </c>
      <c r="AB35" s="33">
        <v>0.0</v>
      </c>
      <c r="AC35" s="33">
        <v>0.0</v>
      </c>
      <c r="AD35" s="33">
        <v>0.0</v>
      </c>
      <c r="AE35" s="33">
        <v>0.0</v>
      </c>
      <c r="AF35" s="34">
        <v>0.578985</v>
      </c>
      <c r="AG35" s="33">
        <v>0.172595</v>
      </c>
      <c r="AH35" s="33">
        <v>1.84257</v>
      </c>
      <c r="AI35" s="33">
        <v>4.89796</v>
      </c>
      <c r="AJ35" s="33">
        <v>9.97085</v>
      </c>
      <c r="AK35" s="33">
        <v>25.3528</v>
      </c>
      <c r="AL35" s="33">
        <v>57.7633</v>
      </c>
      <c r="AM35" s="34">
        <v>0.154219</v>
      </c>
      <c r="AN35" s="33">
        <v>0.855977</v>
      </c>
      <c r="AO35" s="33">
        <v>13.4577</v>
      </c>
      <c r="AP35" s="33">
        <v>54.5609</v>
      </c>
      <c r="AQ35" s="33">
        <v>23.7668</v>
      </c>
      <c r="AR35" s="33">
        <v>4.41749</v>
      </c>
      <c r="AS35" s="33">
        <v>2.94111</v>
      </c>
      <c r="AT35" s="33">
        <v>318.101</v>
      </c>
      <c r="AU35" s="34">
        <v>321.353</v>
      </c>
      <c r="AV35" s="34">
        <v>12390.5</v>
      </c>
      <c r="AW35" s="34">
        <v>0.071621</v>
      </c>
      <c r="AX35" s="33">
        <v>0.00466472</v>
      </c>
      <c r="AY35" s="33">
        <v>0.265889</v>
      </c>
      <c r="AZ35" s="33">
        <v>0.377843</v>
      </c>
      <c r="BA35" s="33">
        <v>13.6653</v>
      </c>
      <c r="BB35" s="33">
        <v>78.0781</v>
      </c>
      <c r="BC35" s="33">
        <v>7.60816</v>
      </c>
      <c r="BD35" s="34">
        <v>31.3741</v>
      </c>
      <c r="BE35" s="33">
        <v>0.0</v>
      </c>
      <c r="BF35" s="33">
        <v>34.5143</v>
      </c>
      <c r="BG35" s="33">
        <v>56.8746</v>
      </c>
      <c r="BH35" s="33">
        <v>6.75918</v>
      </c>
      <c r="BI35" s="33">
        <v>1.39708</v>
      </c>
      <c r="BJ35" s="33">
        <v>0.454811</v>
      </c>
      <c r="BK35" s="33">
        <v>43.0231</v>
      </c>
      <c r="BL35" s="33">
        <v>42875.0</v>
      </c>
    </row>
    <row r="36" ht="15.75" customHeight="1">
      <c r="A36" s="33" t="s">
        <v>94</v>
      </c>
      <c r="B36" s="33" t="s">
        <v>59</v>
      </c>
      <c r="C36" s="34">
        <v>16403.2</v>
      </c>
      <c r="D36" s="33">
        <v>161.593</v>
      </c>
      <c r="E36" s="33">
        <v>28629.9</v>
      </c>
      <c r="F36" s="33">
        <v>39.6554</v>
      </c>
      <c r="G36" s="33">
        <v>68.1007</v>
      </c>
      <c r="H36" s="33">
        <v>650.099</v>
      </c>
      <c r="I36" s="33">
        <v>231.362</v>
      </c>
      <c r="J36" s="34">
        <v>5405540.0</v>
      </c>
      <c r="K36" s="34">
        <v>0.211936</v>
      </c>
      <c r="L36" s="33">
        <v>0.78303</v>
      </c>
      <c r="M36" s="33">
        <v>3.28925</v>
      </c>
      <c r="N36" s="33">
        <v>21.3592</v>
      </c>
      <c r="O36" s="33">
        <v>53.1544</v>
      </c>
      <c r="P36" s="33">
        <v>21.3408</v>
      </c>
      <c r="Q36" s="33">
        <v>0.0733272</v>
      </c>
      <c r="R36" s="34">
        <v>92.5575</v>
      </c>
      <c r="S36" s="33">
        <v>2.05054</v>
      </c>
      <c r="T36" s="33">
        <v>5.60691</v>
      </c>
      <c r="U36" s="33">
        <v>11.4233</v>
      </c>
      <c r="V36" s="33">
        <v>39.196</v>
      </c>
      <c r="W36" s="33">
        <v>33.741</v>
      </c>
      <c r="X36" s="33">
        <v>7.98219</v>
      </c>
      <c r="Y36" s="34">
        <v>6.30682</v>
      </c>
      <c r="Z36" s="33">
        <v>0.0</v>
      </c>
      <c r="AA36" s="33">
        <v>100.0</v>
      </c>
      <c r="AB36" s="33">
        <v>0.0</v>
      </c>
      <c r="AC36" s="33">
        <v>0.0</v>
      </c>
      <c r="AD36" s="33">
        <v>0.0</v>
      </c>
      <c r="AE36" s="33">
        <v>0.0</v>
      </c>
      <c r="AF36" s="34">
        <v>0.575201</v>
      </c>
      <c r="AG36" s="33">
        <v>0.248789</v>
      </c>
      <c r="AH36" s="33">
        <v>1.35393</v>
      </c>
      <c r="AI36" s="33">
        <v>4.61962</v>
      </c>
      <c r="AJ36" s="33">
        <v>9.99869</v>
      </c>
      <c r="AK36" s="33">
        <v>29.9437</v>
      </c>
      <c r="AL36" s="33">
        <v>53.8353</v>
      </c>
      <c r="AM36" s="34">
        <v>0.176412</v>
      </c>
      <c r="AN36" s="33">
        <v>0.233076</v>
      </c>
      <c r="AO36" s="33">
        <v>9.7918</v>
      </c>
      <c r="AP36" s="33">
        <v>55.0242</v>
      </c>
      <c r="AQ36" s="33">
        <v>26.6387</v>
      </c>
      <c r="AR36" s="33">
        <v>4.73222</v>
      </c>
      <c r="AS36" s="33">
        <v>3.57994</v>
      </c>
      <c r="AT36" s="33">
        <v>329.542</v>
      </c>
      <c r="AU36" s="34">
        <v>340.703</v>
      </c>
      <c r="AV36" s="34">
        <v>11353.3</v>
      </c>
      <c r="AW36" s="34">
        <v>0.0841411</v>
      </c>
      <c r="AX36" s="33">
        <v>0.0</v>
      </c>
      <c r="AY36" s="33">
        <v>0.0209506</v>
      </c>
      <c r="AZ36" s="33">
        <v>0.0864214</v>
      </c>
      <c r="BA36" s="33">
        <v>9.91751</v>
      </c>
      <c r="BB36" s="33">
        <v>81.1078</v>
      </c>
      <c r="BC36" s="33">
        <v>8.86736</v>
      </c>
      <c r="BD36" s="34">
        <v>33.077</v>
      </c>
      <c r="BE36" s="33">
        <v>0.0</v>
      </c>
      <c r="BF36" s="33">
        <v>29.2576</v>
      </c>
      <c r="BG36" s="33">
        <v>60.9218</v>
      </c>
      <c r="BH36" s="33">
        <v>7.53175</v>
      </c>
      <c r="BI36" s="33">
        <v>1.71271</v>
      </c>
      <c r="BJ36" s="33">
        <v>0.576142</v>
      </c>
      <c r="BK36" s="33">
        <v>43.809</v>
      </c>
      <c r="BL36" s="33">
        <v>38185.0</v>
      </c>
    </row>
    <row r="37" ht="15.75" customHeight="1">
      <c r="A37" s="33" t="s">
        <v>94</v>
      </c>
      <c r="B37" s="33" t="s">
        <v>59</v>
      </c>
      <c r="C37" s="34">
        <v>18759.4</v>
      </c>
      <c r="D37" s="33">
        <v>147.234</v>
      </c>
      <c r="E37" s="33">
        <v>32584.8</v>
      </c>
      <c r="F37" s="33">
        <v>39.6948</v>
      </c>
      <c r="G37" s="33">
        <v>82.9575</v>
      </c>
      <c r="H37" s="33">
        <v>708.409</v>
      </c>
      <c r="I37" s="33">
        <v>240.127</v>
      </c>
      <c r="J37" s="34">
        <v>6000310.0</v>
      </c>
      <c r="K37" s="34">
        <v>0.206252</v>
      </c>
      <c r="L37" s="33">
        <v>0.673756</v>
      </c>
      <c r="M37" s="33">
        <v>3.7492</v>
      </c>
      <c r="N37" s="33">
        <v>22.5869</v>
      </c>
      <c r="O37" s="33">
        <v>53.1579</v>
      </c>
      <c r="P37" s="33">
        <v>19.7818</v>
      </c>
      <c r="Q37" s="33">
        <v>0.0504171</v>
      </c>
      <c r="R37" s="34">
        <v>93.9518</v>
      </c>
      <c r="S37" s="33">
        <v>2.04189</v>
      </c>
      <c r="T37" s="33">
        <v>5.50463</v>
      </c>
      <c r="U37" s="33">
        <v>11.0047</v>
      </c>
      <c r="V37" s="33">
        <v>36.5753</v>
      </c>
      <c r="W37" s="33">
        <v>34.8199</v>
      </c>
      <c r="X37" s="33">
        <v>10.0536</v>
      </c>
      <c r="Y37" s="34">
        <v>6.09102</v>
      </c>
      <c r="Z37" s="33">
        <v>0.0</v>
      </c>
      <c r="AA37" s="33">
        <v>100.0</v>
      </c>
      <c r="AB37" s="33">
        <v>0.0</v>
      </c>
      <c r="AC37" s="33">
        <v>0.0</v>
      </c>
      <c r="AD37" s="33">
        <v>0.0</v>
      </c>
      <c r="AE37" s="33">
        <v>0.0</v>
      </c>
      <c r="AF37" s="34">
        <v>0.573773</v>
      </c>
      <c r="AG37" s="33">
        <v>0.14896</v>
      </c>
      <c r="AH37" s="33">
        <v>1.78751</v>
      </c>
      <c r="AI37" s="33">
        <v>4.9065</v>
      </c>
      <c r="AJ37" s="33">
        <v>10.6724</v>
      </c>
      <c r="AK37" s="33">
        <v>27.8921</v>
      </c>
      <c r="AL37" s="33">
        <v>54.5925</v>
      </c>
      <c r="AM37" s="34">
        <v>0.162149</v>
      </c>
      <c r="AN37" s="33">
        <v>0.252085</v>
      </c>
      <c r="AO37" s="33">
        <v>11.9718</v>
      </c>
      <c r="AP37" s="33">
        <v>55.9034</v>
      </c>
      <c r="AQ37" s="33">
        <v>24.5187</v>
      </c>
      <c r="AR37" s="33">
        <v>4.16858</v>
      </c>
      <c r="AS37" s="33">
        <v>3.18544</v>
      </c>
      <c r="AT37" s="33">
        <v>319.857</v>
      </c>
      <c r="AU37" s="34">
        <v>323.603</v>
      </c>
      <c r="AV37" s="34">
        <v>12934.5</v>
      </c>
      <c r="AW37" s="34">
        <v>0.0782238</v>
      </c>
      <c r="AX37" s="33">
        <v>0.00687506</v>
      </c>
      <c r="AY37" s="33">
        <v>0.0137501</v>
      </c>
      <c r="AZ37" s="33">
        <v>0.105418</v>
      </c>
      <c r="BA37" s="33">
        <v>12.0978</v>
      </c>
      <c r="BB37" s="33">
        <v>79.3519</v>
      </c>
      <c r="BC37" s="33">
        <v>8.42424</v>
      </c>
      <c r="BD37" s="34">
        <v>31.8299</v>
      </c>
      <c r="BE37" s="33">
        <v>0.0</v>
      </c>
      <c r="BF37" s="33">
        <v>32.3334</v>
      </c>
      <c r="BG37" s="33">
        <v>59.2447</v>
      </c>
      <c r="BH37" s="33">
        <v>6.46255</v>
      </c>
      <c r="BI37" s="33">
        <v>1.4896</v>
      </c>
      <c r="BJ37" s="33">
        <v>0.469796</v>
      </c>
      <c r="BK37" s="33">
        <v>43.6103</v>
      </c>
      <c r="BL37" s="33">
        <v>43636.0</v>
      </c>
    </row>
    <row r="38" ht="15.75" customHeight="1">
      <c r="A38" s="33" t="s">
        <v>111</v>
      </c>
      <c r="B38" s="33" t="s">
        <v>59</v>
      </c>
      <c r="C38" s="34">
        <v>17102.3</v>
      </c>
      <c r="D38" s="33">
        <v>129.067</v>
      </c>
      <c r="E38" s="33">
        <v>29305.4</v>
      </c>
      <c r="F38" s="33">
        <v>37.8951</v>
      </c>
      <c r="G38" s="33">
        <v>77.3181</v>
      </c>
      <c r="H38" s="33">
        <v>674.737</v>
      </c>
      <c r="I38" s="33">
        <v>238.32</v>
      </c>
      <c r="J38" s="34">
        <v>5588530.0</v>
      </c>
      <c r="K38" s="34">
        <v>0.191685</v>
      </c>
      <c r="L38" s="33">
        <v>0.949979</v>
      </c>
      <c r="M38" s="33">
        <v>4.21318</v>
      </c>
      <c r="N38" s="33">
        <v>26.5645</v>
      </c>
      <c r="O38" s="33">
        <v>51.688</v>
      </c>
      <c r="P38" s="33">
        <v>16.5414</v>
      </c>
      <c r="Q38" s="33">
        <v>0.0429369</v>
      </c>
      <c r="R38" s="34">
        <v>92.5687</v>
      </c>
      <c r="S38" s="33">
        <v>2.42057</v>
      </c>
      <c r="T38" s="33">
        <v>5.51202</v>
      </c>
      <c r="U38" s="33">
        <v>12.2853</v>
      </c>
      <c r="V38" s="33">
        <v>37.7952</v>
      </c>
      <c r="W38" s="33">
        <v>31.7277</v>
      </c>
      <c r="X38" s="33">
        <v>10.2592</v>
      </c>
      <c r="Y38" s="34">
        <v>6.15886</v>
      </c>
      <c r="Z38" s="33">
        <v>0.0</v>
      </c>
      <c r="AA38" s="33">
        <v>100.0</v>
      </c>
      <c r="AB38" s="33">
        <v>0.0</v>
      </c>
      <c r="AC38" s="33">
        <v>0.0</v>
      </c>
      <c r="AD38" s="33">
        <v>0.0</v>
      </c>
      <c r="AE38" s="33">
        <v>0.0</v>
      </c>
      <c r="AF38" s="34">
        <v>0.555662</v>
      </c>
      <c r="AG38" s="33">
        <v>0.144912</v>
      </c>
      <c r="AH38" s="33">
        <v>1.66649</v>
      </c>
      <c r="AI38" s="33">
        <v>4.97263</v>
      </c>
      <c r="AJ38" s="33">
        <v>13.034</v>
      </c>
      <c r="AK38" s="33">
        <v>33.4129</v>
      </c>
      <c r="AL38" s="33">
        <v>46.769</v>
      </c>
      <c r="AM38" s="34">
        <v>0.159519</v>
      </c>
      <c r="AN38" s="33">
        <v>0.646737</v>
      </c>
      <c r="AO38" s="33">
        <v>11.5286</v>
      </c>
      <c r="AP38" s="33">
        <v>56.6418</v>
      </c>
      <c r="AQ38" s="33">
        <v>24.3398</v>
      </c>
      <c r="AR38" s="33">
        <v>3.79723</v>
      </c>
      <c r="AS38" s="33">
        <v>3.04584</v>
      </c>
      <c r="AT38" s="33">
        <v>326.77</v>
      </c>
      <c r="AU38" s="34">
        <v>329.469</v>
      </c>
      <c r="AV38" s="34">
        <v>11105.3</v>
      </c>
      <c r="AW38" s="34">
        <v>0.0771149</v>
      </c>
      <c r="AX38" s="33">
        <v>0.00536711</v>
      </c>
      <c r="AY38" s="33">
        <v>0.262988</v>
      </c>
      <c r="AZ38" s="33">
        <v>0.268356</v>
      </c>
      <c r="BA38" s="33">
        <v>11.6386</v>
      </c>
      <c r="BB38" s="33">
        <v>80.0182</v>
      </c>
      <c r="BC38" s="33">
        <v>7.80646</v>
      </c>
      <c r="BD38" s="34">
        <v>30.6246</v>
      </c>
      <c r="BE38" s="33">
        <v>0.0</v>
      </c>
      <c r="BF38" s="33">
        <v>37.7013</v>
      </c>
      <c r="BG38" s="33">
        <v>54.2293</v>
      </c>
      <c r="BH38" s="33">
        <v>6.00043</v>
      </c>
      <c r="BI38" s="33">
        <v>1.53231</v>
      </c>
      <c r="BJ38" s="33">
        <v>0.536711</v>
      </c>
      <c r="BK38" s="33">
        <v>40.4975</v>
      </c>
      <c r="BL38" s="33">
        <v>37264.0</v>
      </c>
    </row>
    <row r="39" ht="15.75" customHeight="1">
      <c r="A39" s="33" t="s">
        <v>111</v>
      </c>
      <c r="B39" s="33" t="s">
        <v>59</v>
      </c>
      <c r="C39" s="34">
        <v>14211.5</v>
      </c>
      <c r="D39" s="33">
        <v>167.302</v>
      </c>
      <c r="E39" s="33">
        <v>35069.4</v>
      </c>
      <c r="F39" s="33">
        <v>25.6397</v>
      </c>
      <c r="G39" s="33">
        <v>76.5842</v>
      </c>
      <c r="H39" s="33">
        <v>723.957</v>
      </c>
      <c r="I39" s="33">
        <v>269.406</v>
      </c>
      <c r="J39" s="34">
        <v>4491270.0</v>
      </c>
      <c r="K39" s="34">
        <v>0.201925</v>
      </c>
      <c r="L39" s="33">
        <v>0.880415</v>
      </c>
      <c r="M39" s="33">
        <v>3.88586</v>
      </c>
      <c r="N39" s="33">
        <v>23.2455</v>
      </c>
      <c r="O39" s="33">
        <v>53.2873</v>
      </c>
      <c r="P39" s="33">
        <v>18.6724</v>
      </c>
      <c r="Q39" s="33">
        <v>0.0285027</v>
      </c>
      <c r="R39" s="34">
        <v>88.8822</v>
      </c>
      <c r="S39" s="33">
        <v>2.37205</v>
      </c>
      <c r="T39" s="33">
        <v>6.42577</v>
      </c>
      <c r="U39" s="33">
        <v>13.8111</v>
      </c>
      <c r="V39" s="33">
        <v>43.0707</v>
      </c>
      <c r="W39" s="33">
        <v>27.9041</v>
      </c>
      <c r="X39" s="33">
        <v>6.41627</v>
      </c>
      <c r="Y39" s="34">
        <v>7.21804</v>
      </c>
      <c r="Z39" s="33">
        <v>0.0</v>
      </c>
      <c r="AA39" s="33">
        <v>99.9968</v>
      </c>
      <c r="AB39" s="33">
        <v>0.00316696</v>
      </c>
      <c r="AC39" s="33">
        <v>0.0</v>
      </c>
      <c r="AD39" s="33">
        <v>0.0</v>
      </c>
      <c r="AE39" s="33">
        <v>0.0</v>
      </c>
      <c r="AF39" s="34">
        <v>0.503478</v>
      </c>
      <c r="AG39" s="33">
        <v>0.294528</v>
      </c>
      <c r="AH39" s="33">
        <v>3.32531</v>
      </c>
      <c r="AI39" s="33">
        <v>8.56347</v>
      </c>
      <c r="AJ39" s="33">
        <v>18.6059</v>
      </c>
      <c r="AK39" s="33">
        <v>37.2751</v>
      </c>
      <c r="AL39" s="33">
        <v>31.9356</v>
      </c>
      <c r="AM39" s="34">
        <v>0.197544</v>
      </c>
      <c r="AN39" s="33">
        <v>0.269192</v>
      </c>
      <c r="AO39" s="33">
        <v>7.24601</v>
      </c>
      <c r="AP39" s="33">
        <v>51.2003</v>
      </c>
      <c r="AQ39" s="33">
        <v>32.2397</v>
      </c>
      <c r="AR39" s="33">
        <v>5.01964</v>
      </c>
      <c r="AS39" s="33">
        <v>4.02521</v>
      </c>
      <c r="AT39" s="33">
        <v>316.031</v>
      </c>
      <c r="AU39" s="34">
        <v>319.542</v>
      </c>
      <c r="AV39" s="34">
        <v>8991.69</v>
      </c>
      <c r="AW39" s="34">
        <v>0.109704</v>
      </c>
      <c r="AX39" s="33">
        <v>0.0</v>
      </c>
      <c r="AY39" s="33">
        <v>0.14568</v>
      </c>
      <c r="AZ39" s="33">
        <v>0.199519</v>
      </c>
      <c r="BA39" s="33">
        <v>7.17</v>
      </c>
      <c r="BB39" s="33">
        <v>78.1226</v>
      </c>
      <c r="BC39" s="33">
        <v>14.3622</v>
      </c>
      <c r="BD39" s="34">
        <v>33.4275</v>
      </c>
      <c r="BE39" s="33">
        <v>0.0</v>
      </c>
      <c r="BF39" s="33">
        <v>28.5787</v>
      </c>
      <c r="BG39" s="33">
        <v>61.5974</v>
      </c>
      <c r="BH39" s="33">
        <v>7.19851</v>
      </c>
      <c r="BI39" s="33">
        <v>1.91601</v>
      </c>
      <c r="BJ39" s="33">
        <v>0.7094</v>
      </c>
      <c r="BK39" s="33">
        <v>39.2393</v>
      </c>
      <c r="BL39" s="33">
        <v>31576.0</v>
      </c>
    </row>
    <row r="40" ht="15.75" customHeight="1">
      <c r="A40" s="33" t="s">
        <v>111</v>
      </c>
      <c r="B40" s="33" t="s">
        <v>59</v>
      </c>
      <c r="C40" s="34">
        <v>18267.7</v>
      </c>
      <c r="D40" s="33">
        <v>195.241</v>
      </c>
      <c r="E40" s="33">
        <v>35743.8</v>
      </c>
      <c r="F40" s="33">
        <v>33.6954</v>
      </c>
      <c r="G40" s="33">
        <v>73.483</v>
      </c>
      <c r="H40" s="33">
        <v>709.191</v>
      </c>
      <c r="I40" s="33">
        <v>262.7</v>
      </c>
      <c r="J40" s="34">
        <v>6057450.0</v>
      </c>
      <c r="K40" s="34">
        <v>0.210005</v>
      </c>
      <c r="L40" s="33">
        <v>0.499156</v>
      </c>
      <c r="M40" s="33">
        <v>3.23125</v>
      </c>
      <c r="N40" s="33">
        <v>21.6325</v>
      </c>
      <c r="O40" s="33">
        <v>54.789</v>
      </c>
      <c r="P40" s="33">
        <v>19.8119</v>
      </c>
      <c r="Q40" s="33">
        <v>0.0361707</v>
      </c>
      <c r="R40" s="34">
        <v>91.8167</v>
      </c>
      <c r="S40" s="33">
        <v>1.83988</v>
      </c>
      <c r="T40" s="33">
        <v>5.32192</v>
      </c>
      <c r="U40" s="33">
        <v>12.4138</v>
      </c>
      <c r="V40" s="33">
        <v>40.9477</v>
      </c>
      <c r="W40" s="33">
        <v>32.3921</v>
      </c>
      <c r="X40" s="33">
        <v>7.08464</v>
      </c>
      <c r="Y40" s="34">
        <v>7.04258</v>
      </c>
      <c r="Z40" s="33">
        <v>0.0</v>
      </c>
      <c r="AA40" s="33">
        <v>100.0</v>
      </c>
      <c r="AB40" s="33">
        <v>0.0</v>
      </c>
      <c r="AC40" s="33">
        <v>0.0</v>
      </c>
      <c r="AD40" s="33">
        <v>0.0</v>
      </c>
      <c r="AE40" s="33">
        <v>0.0</v>
      </c>
      <c r="AF40" s="34">
        <v>0.540986</v>
      </c>
      <c r="AG40" s="33">
        <v>0.241138</v>
      </c>
      <c r="AH40" s="33">
        <v>2.19677</v>
      </c>
      <c r="AI40" s="33">
        <v>7.08464</v>
      </c>
      <c r="AJ40" s="33">
        <v>13.2505</v>
      </c>
      <c r="AK40" s="33">
        <v>33.1131</v>
      </c>
      <c r="AL40" s="33">
        <v>44.1138</v>
      </c>
      <c r="AM40" s="34">
        <v>0.176227</v>
      </c>
      <c r="AN40" s="33">
        <v>0.185676</v>
      </c>
      <c r="AO40" s="33">
        <v>8.82083</v>
      </c>
      <c r="AP40" s="33">
        <v>54.736</v>
      </c>
      <c r="AQ40" s="33">
        <v>29.1898</v>
      </c>
      <c r="AR40" s="33">
        <v>4.23921</v>
      </c>
      <c r="AS40" s="33">
        <v>2.82855</v>
      </c>
      <c r="AT40" s="33">
        <v>331.593</v>
      </c>
      <c r="AU40" s="34">
        <v>335.442</v>
      </c>
      <c r="AV40" s="34">
        <v>12044.0</v>
      </c>
      <c r="AW40" s="34">
        <v>0.0936301</v>
      </c>
      <c r="AX40" s="33">
        <v>0.0</v>
      </c>
      <c r="AY40" s="33">
        <v>0.0265252</v>
      </c>
      <c r="AZ40" s="33">
        <v>0.147094</v>
      </c>
      <c r="BA40" s="33">
        <v>8.83289</v>
      </c>
      <c r="BB40" s="33">
        <v>79.5877</v>
      </c>
      <c r="BC40" s="33">
        <v>11.4058</v>
      </c>
      <c r="BD40" s="34">
        <v>32.4583</v>
      </c>
      <c r="BE40" s="33">
        <v>0.0</v>
      </c>
      <c r="BF40" s="33">
        <v>29.1126</v>
      </c>
      <c r="BG40" s="33">
        <v>62.8792</v>
      </c>
      <c r="BH40" s="33">
        <v>6.38775</v>
      </c>
      <c r="BI40" s="33">
        <v>1.15746</v>
      </c>
      <c r="BJ40" s="33">
        <v>0.462985</v>
      </c>
      <c r="BK40" s="33">
        <v>41.2594</v>
      </c>
      <c r="BL40" s="33">
        <v>41470.0</v>
      </c>
    </row>
    <row r="41" ht="15.75" customHeight="1">
      <c r="A41" s="33" t="s">
        <v>111</v>
      </c>
      <c r="B41" s="33" t="s">
        <v>59</v>
      </c>
      <c r="C41" s="34">
        <v>21321.0</v>
      </c>
      <c r="D41" s="33">
        <v>170.856</v>
      </c>
      <c r="E41" s="33">
        <v>35118.7</v>
      </c>
      <c r="F41" s="33">
        <v>40.0063</v>
      </c>
      <c r="G41" s="33">
        <v>74.7063</v>
      </c>
      <c r="H41" s="33">
        <v>751.978</v>
      </c>
      <c r="I41" s="33">
        <v>263.326</v>
      </c>
      <c r="J41" s="34">
        <v>6939730.0</v>
      </c>
      <c r="K41" s="34">
        <v>0.193431</v>
      </c>
      <c r="L41" s="33">
        <v>0.933378</v>
      </c>
      <c r="M41" s="33">
        <v>3.85993</v>
      </c>
      <c r="N41" s="33">
        <v>25.4309</v>
      </c>
      <c r="O41" s="33">
        <v>53.8557</v>
      </c>
      <c r="P41" s="33">
        <v>15.8632</v>
      </c>
      <c r="Q41" s="33">
        <v>0.0568876</v>
      </c>
      <c r="R41" s="34">
        <v>92.1551</v>
      </c>
      <c r="S41" s="33">
        <v>2.36821</v>
      </c>
      <c r="T41" s="33">
        <v>5.85942</v>
      </c>
      <c r="U41" s="33">
        <v>12.3235</v>
      </c>
      <c r="V41" s="33">
        <v>37.8787</v>
      </c>
      <c r="W41" s="33">
        <v>31.3177</v>
      </c>
      <c r="X41" s="33">
        <v>10.2524</v>
      </c>
      <c r="Y41" s="34">
        <v>6.20767</v>
      </c>
      <c r="Z41" s="33">
        <v>0.0</v>
      </c>
      <c r="AA41" s="33">
        <v>100.0</v>
      </c>
      <c r="AB41" s="33">
        <v>0.0</v>
      </c>
      <c r="AC41" s="33">
        <v>0.0</v>
      </c>
      <c r="AD41" s="33">
        <v>0.0</v>
      </c>
      <c r="AE41" s="33">
        <v>0.0</v>
      </c>
      <c r="AF41" s="34">
        <v>0.565204</v>
      </c>
      <c r="AG41" s="33">
        <v>0.1517</v>
      </c>
      <c r="AH41" s="33">
        <v>1.58443</v>
      </c>
      <c r="AI41" s="33">
        <v>4.69217</v>
      </c>
      <c r="AJ41" s="33">
        <v>10.8044</v>
      </c>
      <c r="AK41" s="33">
        <v>32.8895</v>
      </c>
      <c r="AL41" s="33">
        <v>49.8778</v>
      </c>
      <c r="AM41" s="34">
        <v>0.165358</v>
      </c>
      <c r="AN41" s="33">
        <v>0.34554</v>
      </c>
      <c r="AO41" s="33">
        <v>11.7083</v>
      </c>
      <c r="AP41" s="33">
        <v>55.3896</v>
      </c>
      <c r="AQ41" s="33">
        <v>24.7545</v>
      </c>
      <c r="AR41" s="33">
        <v>4.52362</v>
      </c>
      <c r="AS41" s="33">
        <v>3.27841</v>
      </c>
      <c r="AT41" s="33">
        <v>325.488</v>
      </c>
      <c r="AU41" s="34">
        <v>331.39</v>
      </c>
      <c r="AV41" s="34">
        <v>14049.7</v>
      </c>
      <c r="AW41" s="34">
        <v>0.0808263</v>
      </c>
      <c r="AX41" s="33">
        <v>0.00210695</v>
      </c>
      <c r="AY41" s="33">
        <v>0.0632085</v>
      </c>
      <c r="AZ41" s="33">
        <v>0.120096</v>
      </c>
      <c r="BA41" s="33">
        <v>11.8684</v>
      </c>
      <c r="BB41" s="33">
        <v>79.3329</v>
      </c>
      <c r="BC41" s="33">
        <v>8.61321</v>
      </c>
      <c r="BD41" s="34">
        <v>31.0098</v>
      </c>
      <c r="BE41" s="33">
        <v>0.0</v>
      </c>
      <c r="BF41" s="33">
        <v>35.9698</v>
      </c>
      <c r="BG41" s="33">
        <v>56.1354</v>
      </c>
      <c r="BH41" s="33">
        <v>5.63609</v>
      </c>
      <c r="BI41" s="33">
        <v>1.58864</v>
      </c>
      <c r="BJ41" s="33">
        <v>0.67001</v>
      </c>
      <c r="BK41" s="33">
        <v>41.2437</v>
      </c>
      <c r="BL41" s="33">
        <v>47462.0</v>
      </c>
    </row>
    <row r="42" ht="15.75" customHeight="1">
      <c r="A42" s="33" t="s">
        <v>112</v>
      </c>
      <c r="B42" s="33" t="s">
        <v>59</v>
      </c>
      <c r="C42" s="34">
        <v>21375.2</v>
      </c>
      <c r="D42" s="33">
        <v>187.129</v>
      </c>
      <c r="E42" s="33">
        <v>36199.6</v>
      </c>
      <c r="F42" s="33">
        <v>36.2671</v>
      </c>
      <c r="G42" s="33">
        <v>86.8268</v>
      </c>
      <c r="H42" s="33">
        <v>731.769</v>
      </c>
      <c r="I42" s="33">
        <v>255.829</v>
      </c>
      <c r="J42" s="34">
        <v>7685400.0</v>
      </c>
      <c r="K42" s="34">
        <v>0.180588</v>
      </c>
      <c r="L42" s="33">
        <v>0.889044</v>
      </c>
      <c r="M42" s="33">
        <v>5.92696</v>
      </c>
      <c r="N42" s="33">
        <v>28.5823</v>
      </c>
      <c r="O42" s="33">
        <v>50.2702</v>
      </c>
      <c r="P42" s="33">
        <v>14.2814</v>
      </c>
      <c r="Q42" s="33">
        <v>0.0501177</v>
      </c>
      <c r="R42" s="34">
        <v>93.8522</v>
      </c>
      <c r="S42" s="33">
        <v>2.69764</v>
      </c>
      <c r="T42" s="33">
        <v>6.30829</v>
      </c>
      <c r="U42" s="33">
        <v>11.9629</v>
      </c>
      <c r="V42" s="33">
        <v>33.7684</v>
      </c>
      <c r="W42" s="33">
        <v>31.1645</v>
      </c>
      <c r="X42" s="33">
        <v>14.0983</v>
      </c>
      <c r="Y42" s="34">
        <v>6.01481</v>
      </c>
      <c r="Z42" s="33">
        <v>0.0</v>
      </c>
      <c r="AA42" s="33">
        <v>100.0</v>
      </c>
      <c r="AB42" s="33">
        <v>0.0</v>
      </c>
      <c r="AC42" s="33">
        <v>0.0</v>
      </c>
      <c r="AD42" s="33">
        <v>0.0</v>
      </c>
      <c r="AE42" s="33">
        <v>0.0</v>
      </c>
      <c r="AF42" s="34">
        <v>0.557798</v>
      </c>
      <c r="AG42" s="33">
        <v>0.1351</v>
      </c>
      <c r="AH42" s="33">
        <v>2.19428</v>
      </c>
      <c r="AI42" s="33">
        <v>5.7047</v>
      </c>
      <c r="AJ42" s="33">
        <v>12.3442</v>
      </c>
      <c r="AK42" s="33">
        <v>30.3495</v>
      </c>
      <c r="AL42" s="33">
        <v>49.2722</v>
      </c>
      <c r="AM42" s="34">
        <v>0.145477</v>
      </c>
      <c r="AN42" s="33">
        <v>1.19193</v>
      </c>
      <c r="AO42" s="33">
        <v>14.8762</v>
      </c>
      <c r="AP42" s="33">
        <v>54.8745</v>
      </c>
      <c r="AQ42" s="33">
        <v>22.0801</v>
      </c>
      <c r="AR42" s="33">
        <v>3.98109</v>
      </c>
      <c r="AS42" s="33">
        <v>2.99616</v>
      </c>
      <c r="AT42" s="33">
        <v>359.547</v>
      </c>
      <c r="AU42" s="34">
        <v>372.675</v>
      </c>
      <c r="AV42" s="34">
        <v>13128.6</v>
      </c>
      <c r="AW42" s="34">
        <v>0.0689051</v>
      </c>
      <c r="AX42" s="33">
        <v>0.00217903</v>
      </c>
      <c r="AY42" s="33">
        <v>0.566548</v>
      </c>
      <c r="AZ42" s="33">
        <v>0.679857</v>
      </c>
      <c r="BA42" s="33">
        <v>14.8196</v>
      </c>
      <c r="BB42" s="33">
        <v>75.5644</v>
      </c>
      <c r="BC42" s="33">
        <v>8.36747</v>
      </c>
      <c r="BD42" s="34">
        <v>29.4972</v>
      </c>
      <c r="BE42" s="33">
        <v>0.0</v>
      </c>
      <c r="BF42" s="33">
        <v>40.9548</v>
      </c>
      <c r="BG42" s="33">
        <v>51.7715</v>
      </c>
      <c r="BH42" s="33">
        <v>5.39528</v>
      </c>
      <c r="BI42" s="33">
        <v>1.40112</v>
      </c>
      <c r="BJ42" s="33">
        <v>0.477207</v>
      </c>
      <c r="BK42" s="33">
        <v>37.9089</v>
      </c>
      <c r="BL42" s="33">
        <v>45892.0</v>
      </c>
    </row>
    <row r="43" ht="15.75" customHeight="1">
      <c r="A43" s="33" t="s">
        <v>112</v>
      </c>
      <c r="B43" s="33" t="s">
        <v>59</v>
      </c>
      <c r="C43" s="34">
        <v>19971.5</v>
      </c>
      <c r="D43" s="33">
        <v>148.913</v>
      </c>
      <c r="E43" s="33">
        <v>36775.6</v>
      </c>
      <c r="F43" s="33">
        <v>35.2289</v>
      </c>
      <c r="G43" s="33">
        <v>67.3324</v>
      </c>
      <c r="H43" s="33">
        <v>729.468</v>
      </c>
      <c r="I43" s="33">
        <v>271.224</v>
      </c>
      <c r="J43" s="34">
        <v>6942130.0</v>
      </c>
      <c r="K43" s="34">
        <v>0.197759</v>
      </c>
      <c r="L43" s="33">
        <v>0.406057</v>
      </c>
      <c r="M43" s="33">
        <v>4.09198</v>
      </c>
      <c r="N43" s="33">
        <v>25.3864</v>
      </c>
      <c r="O43" s="33">
        <v>53.2406</v>
      </c>
      <c r="P43" s="33">
        <v>16.8368</v>
      </c>
      <c r="Q43" s="33">
        <v>0.038138</v>
      </c>
      <c r="R43" s="34">
        <v>95.9601</v>
      </c>
      <c r="S43" s="33">
        <v>1.73416</v>
      </c>
      <c r="T43" s="33">
        <v>4.82557</v>
      </c>
      <c r="U43" s="33">
        <v>10.728</v>
      </c>
      <c r="V43" s="33">
        <v>35.6568</v>
      </c>
      <c r="W43" s="33">
        <v>34.5328</v>
      </c>
      <c r="X43" s="33">
        <v>12.5227</v>
      </c>
      <c r="Y43" s="34">
        <v>6.2004</v>
      </c>
      <c r="Z43" s="33">
        <v>0.0</v>
      </c>
      <c r="AA43" s="33">
        <v>100.0</v>
      </c>
      <c r="AB43" s="33">
        <v>0.0</v>
      </c>
      <c r="AC43" s="33">
        <v>0.0</v>
      </c>
      <c r="AD43" s="33">
        <v>0.0</v>
      </c>
      <c r="AE43" s="33">
        <v>0.0</v>
      </c>
      <c r="AF43" s="34">
        <v>0.564159</v>
      </c>
      <c r="AG43" s="33">
        <v>0.177229</v>
      </c>
      <c r="AH43" s="33">
        <v>2.11554</v>
      </c>
      <c r="AI43" s="33">
        <v>5.07235</v>
      </c>
      <c r="AJ43" s="33">
        <v>11.3292</v>
      </c>
      <c r="AK43" s="33">
        <v>28.4375</v>
      </c>
      <c r="AL43" s="33">
        <v>52.8682</v>
      </c>
      <c r="AM43" s="34">
        <v>0.138158</v>
      </c>
      <c r="AN43" s="33">
        <v>0.747056</v>
      </c>
      <c r="AO43" s="33">
        <v>14.2569</v>
      </c>
      <c r="AP43" s="33">
        <v>57.2025</v>
      </c>
      <c r="AQ43" s="33">
        <v>22.5194</v>
      </c>
      <c r="AR43" s="33">
        <v>3.51318</v>
      </c>
      <c r="AS43" s="33">
        <v>1.76108</v>
      </c>
      <c r="AT43" s="33">
        <v>347.602</v>
      </c>
      <c r="AU43" s="34">
        <v>352.503</v>
      </c>
      <c r="AV43" s="34">
        <v>12955.7</v>
      </c>
      <c r="AW43" s="34">
        <v>0.0673593</v>
      </c>
      <c r="AX43" s="33">
        <v>0.00897364</v>
      </c>
      <c r="AY43" s="33">
        <v>0.280426</v>
      </c>
      <c r="AZ43" s="33">
        <v>0.475603</v>
      </c>
      <c r="BA43" s="33">
        <v>14.2389</v>
      </c>
      <c r="BB43" s="33">
        <v>78.0931</v>
      </c>
      <c r="BC43" s="33">
        <v>6.90297</v>
      </c>
      <c r="BD43" s="34">
        <v>29.5424</v>
      </c>
      <c r="BE43" s="33">
        <v>0.0</v>
      </c>
      <c r="BF43" s="33">
        <v>38.3309</v>
      </c>
      <c r="BG43" s="33">
        <v>55.4706</v>
      </c>
      <c r="BH43" s="33">
        <v>5.24958</v>
      </c>
      <c r="BI43" s="33">
        <v>0.724621</v>
      </c>
      <c r="BJ43" s="33">
        <v>0.224341</v>
      </c>
      <c r="BK43" s="33">
        <v>40.4608</v>
      </c>
      <c r="BL43" s="33">
        <v>44575.0</v>
      </c>
    </row>
    <row r="44" ht="15.75" customHeight="1">
      <c r="A44" s="33" t="s">
        <v>112</v>
      </c>
      <c r="B44" s="33" t="s">
        <v>59</v>
      </c>
      <c r="C44" s="34">
        <v>22829.9</v>
      </c>
      <c r="D44" s="33">
        <v>192.521</v>
      </c>
      <c r="E44" s="33">
        <v>35717.4</v>
      </c>
      <c r="F44" s="33">
        <v>43.9465</v>
      </c>
      <c r="G44" s="33">
        <v>76.3036</v>
      </c>
      <c r="H44" s="33">
        <v>722.312</v>
      </c>
      <c r="I44" s="33">
        <v>256.152</v>
      </c>
      <c r="J44" s="34">
        <v>7866560.0</v>
      </c>
      <c r="K44" s="34">
        <v>0.205309</v>
      </c>
      <c r="L44" s="33">
        <v>0.595215</v>
      </c>
      <c r="M44" s="33">
        <v>3.19857</v>
      </c>
      <c r="N44" s="33">
        <v>22.6486</v>
      </c>
      <c r="O44" s="33">
        <v>55.7886</v>
      </c>
      <c r="P44" s="33">
        <v>17.7157</v>
      </c>
      <c r="Q44" s="33">
        <v>0.0532461</v>
      </c>
      <c r="R44" s="34">
        <v>95.1308</v>
      </c>
      <c r="S44" s="33">
        <v>1.87883</v>
      </c>
      <c r="T44" s="33">
        <v>4.84159</v>
      </c>
      <c r="U44" s="33">
        <v>10.2004</v>
      </c>
      <c r="V44" s="33">
        <v>36.7969</v>
      </c>
      <c r="W44" s="33">
        <v>36.2872</v>
      </c>
      <c r="X44" s="33">
        <v>9.99506</v>
      </c>
      <c r="Y44" s="34">
        <v>6.22531</v>
      </c>
      <c r="Z44" s="33">
        <v>0.0</v>
      </c>
      <c r="AA44" s="33">
        <v>99.9905</v>
      </c>
      <c r="AB44" s="33">
        <v>0.00950823</v>
      </c>
      <c r="AC44" s="33">
        <v>0.0</v>
      </c>
      <c r="AD44" s="33">
        <v>0.0</v>
      </c>
      <c r="AE44" s="33">
        <v>0.0</v>
      </c>
      <c r="AF44" s="34">
        <v>0.585124</v>
      </c>
      <c r="AG44" s="33">
        <v>0.152132</v>
      </c>
      <c r="AH44" s="33">
        <v>1.28932</v>
      </c>
      <c r="AI44" s="33">
        <v>4.05241</v>
      </c>
      <c r="AJ44" s="33">
        <v>8.74187</v>
      </c>
      <c r="AK44" s="33">
        <v>27.1289</v>
      </c>
      <c r="AL44" s="33">
        <v>58.6354</v>
      </c>
      <c r="AM44" s="34">
        <v>0.151043</v>
      </c>
      <c r="AN44" s="33">
        <v>0.294755</v>
      </c>
      <c r="AO44" s="33">
        <v>12.5052</v>
      </c>
      <c r="AP44" s="33">
        <v>58.0611</v>
      </c>
      <c r="AQ44" s="33">
        <v>22.8084</v>
      </c>
      <c r="AR44" s="33">
        <v>3.83372</v>
      </c>
      <c r="AS44" s="33">
        <v>2.49686</v>
      </c>
      <c r="AT44" s="33">
        <v>344.573</v>
      </c>
      <c r="AU44" s="34">
        <v>347.874</v>
      </c>
      <c r="AV44" s="34">
        <v>15696.5</v>
      </c>
      <c r="AW44" s="34">
        <v>0.0718054</v>
      </c>
      <c r="AX44" s="33">
        <v>0.00190165</v>
      </c>
      <c r="AY44" s="33">
        <v>0.0171148</v>
      </c>
      <c r="AZ44" s="33">
        <v>0.0703609</v>
      </c>
      <c r="BA44" s="33">
        <v>12.7106</v>
      </c>
      <c r="BB44" s="33">
        <v>80.0631</v>
      </c>
      <c r="BC44" s="33">
        <v>7.13688</v>
      </c>
      <c r="BD44" s="34">
        <v>30.855</v>
      </c>
      <c r="BE44" s="33">
        <v>0.0</v>
      </c>
      <c r="BF44" s="33">
        <v>34.6784</v>
      </c>
      <c r="BG44" s="33">
        <v>58.2303</v>
      </c>
      <c r="BH44" s="33">
        <v>5.48055</v>
      </c>
      <c r="BI44" s="33">
        <v>1.14669</v>
      </c>
      <c r="BJ44" s="33">
        <v>0.464002</v>
      </c>
      <c r="BK44" s="33">
        <v>43.4679</v>
      </c>
      <c r="BL44" s="33">
        <v>52586.0</v>
      </c>
    </row>
    <row r="45" ht="15.75" customHeight="1">
      <c r="A45" s="33" t="s">
        <v>112</v>
      </c>
      <c r="B45" s="33" t="s">
        <v>59</v>
      </c>
      <c r="C45" s="34">
        <v>21814.4</v>
      </c>
      <c r="D45" s="33">
        <v>205.155</v>
      </c>
      <c r="E45" s="33">
        <v>37526.1</v>
      </c>
      <c r="F45" s="33">
        <v>39.7807</v>
      </c>
      <c r="G45" s="33">
        <v>80.4219</v>
      </c>
      <c r="H45" s="33">
        <v>753.158</v>
      </c>
      <c r="I45" s="33">
        <v>262.452</v>
      </c>
      <c r="J45" s="34">
        <v>8157140.0</v>
      </c>
      <c r="K45" s="34">
        <v>0.210403</v>
      </c>
      <c r="L45" s="33">
        <v>0.753106</v>
      </c>
      <c r="M45" s="33">
        <v>2.85132</v>
      </c>
      <c r="N45" s="33">
        <v>20.8715</v>
      </c>
      <c r="O45" s="33">
        <v>55.9491</v>
      </c>
      <c r="P45" s="33">
        <v>19.5245</v>
      </c>
      <c r="Q45" s="33">
        <v>0.0504658</v>
      </c>
      <c r="R45" s="34">
        <v>93.2863</v>
      </c>
      <c r="S45" s="33">
        <v>1.77795</v>
      </c>
      <c r="T45" s="33">
        <v>4.90101</v>
      </c>
      <c r="U45" s="33">
        <v>11.5043</v>
      </c>
      <c r="V45" s="33">
        <v>39.4798</v>
      </c>
      <c r="W45" s="33">
        <v>34.1576</v>
      </c>
      <c r="X45" s="33">
        <v>8.17935</v>
      </c>
      <c r="Y45" s="34">
        <v>6.26448</v>
      </c>
      <c r="Z45" s="33">
        <v>0.0</v>
      </c>
      <c r="AA45" s="33">
        <v>100.0</v>
      </c>
      <c r="AB45" s="33">
        <v>0.0</v>
      </c>
      <c r="AC45" s="33">
        <v>0.0</v>
      </c>
      <c r="AD45" s="33">
        <v>0.0</v>
      </c>
      <c r="AE45" s="33">
        <v>0.0</v>
      </c>
      <c r="AF45" s="34">
        <v>0.570044</v>
      </c>
      <c r="AG45" s="33">
        <v>0.112578</v>
      </c>
      <c r="AH45" s="33">
        <v>1.49262</v>
      </c>
      <c r="AI45" s="33">
        <v>4.94953</v>
      </c>
      <c r="AJ45" s="33">
        <v>10.066</v>
      </c>
      <c r="AK45" s="33">
        <v>29.6176</v>
      </c>
      <c r="AL45" s="33">
        <v>53.7616</v>
      </c>
      <c r="AM45" s="34">
        <v>0.172362</v>
      </c>
      <c r="AN45" s="33">
        <v>0.190217</v>
      </c>
      <c r="AO45" s="33">
        <v>10.2135</v>
      </c>
      <c r="AP45" s="33">
        <v>55.8502</v>
      </c>
      <c r="AQ45" s="33">
        <v>25.8676</v>
      </c>
      <c r="AR45" s="33">
        <v>4.53222</v>
      </c>
      <c r="AS45" s="33">
        <v>3.34627</v>
      </c>
      <c r="AT45" s="33">
        <v>373.933</v>
      </c>
      <c r="AU45" s="34">
        <v>387.189</v>
      </c>
      <c r="AV45" s="34">
        <v>14928.1</v>
      </c>
      <c r="AW45" s="34">
        <v>0.0833402</v>
      </c>
      <c r="AX45" s="33">
        <v>0.00194099</v>
      </c>
      <c r="AY45" s="33">
        <v>0.00388199</v>
      </c>
      <c r="AZ45" s="33">
        <v>0.0698758</v>
      </c>
      <c r="BA45" s="33">
        <v>10.328</v>
      </c>
      <c r="BB45" s="33">
        <v>80.7628</v>
      </c>
      <c r="BC45" s="33">
        <v>8.83346</v>
      </c>
      <c r="BD45" s="34">
        <v>32.5589</v>
      </c>
      <c r="BE45" s="33">
        <v>0.0</v>
      </c>
      <c r="BF45" s="33">
        <v>30.4445</v>
      </c>
      <c r="BG45" s="33">
        <v>60.625</v>
      </c>
      <c r="BH45" s="33">
        <v>6.68478</v>
      </c>
      <c r="BI45" s="33">
        <v>1.61297</v>
      </c>
      <c r="BJ45" s="33">
        <v>0.632764</v>
      </c>
      <c r="BK45" s="33">
        <v>43.2111</v>
      </c>
      <c r="BL45" s="33">
        <v>51520.0</v>
      </c>
    </row>
    <row r="46" ht="15.75" customHeight="1">
      <c r="A46" s="33" t="s">
        <v>113</v>
      </c>
      <c r="B46" s="33" t="s">
        <v>59</v>
      </c>
      <c r="C46" s="34">
        <v>22200.0</v>
      </c>
      <c r="D46" s="33">
        <v>205.554</v>
      </c>
      <c r="E46" s="33">
        <v>43836.1</v>
      </c>
      <c r="F46" s="33">
        <v>33.7389</v>
      </c>
      <c r="G46" s="33">
        <v>72.5138</v>
      </c>
      <c r="H46" s="33">
        <v>811.732</v>
      </c>
      <c r="I46" s="33">
        <v>309.409</v>
      </c>
      <c r="J46" s="34">
        <v>8116480.0</v>
      </c>
      <c r="K46" s="34">
        <v>0.206508</v>
      </c>
      <c r="L46" s="33">
        <v>0.6708</v>
      </c>
      <c r="M46" s="33">
        <v>3.88952</v>
      </c>
      <c r="N46" s="33">
        <v>22.0594</v>
      </c>
      <c r="O46" s="33">
        <v>53.4799</v>
      </c>
      <c r="P46" s="33">
        <v>19.8534</v>
      </c>
      <c r="Q46" s="33">
        <v>0.0469748</v>
      </c>
      <c r="R46" s="34">
        <v>95.3817</v>
      </c>
      <c r="S46" s="33">
        <v>1.83578</v>
      </c>
      <c r="T46" s="33">
        <v>4.90793</v>
      </c>
      <c r="U46" s="33">
        <v>10.2894</v>
      </c>
      <c r="V46" s="33">
        <v>35.9376</v>
      </c>
      <c r="W46" s="33">
        <v>36.0165</v>
      </c>
      <c r="X46" s="33">
        <v>11.0128</v>
      </c>
      <c r="Y46" s="34">
        <v>6.2783</v>
      </c>
      <c r="Z46" s="33">
        <v>0.0</v>
      </c>
      <c r="AA46" s="33">
        <v>100.0</v>
      </c>
      <c r="AB46" s="33">
        <v>0.0</v>
      </c>
      <c r="AC46" s="33">
        <v>0.0</v>
      </c>
      <c r="AD46" s="33">
        <v>0.0</v>
      </c>
      <c r="AE46" s="33">
        <v>0.0</v>
      </c>
      <c r="AF46" s="34">
        <v>0.566047</v>
      </c>
      <c r="AG46" s="33">
        <v>0.142803</v>
      </c>
      <c r="AH46" s="33">
        <v>2.06689</v>
      </c>
      <c r="AI46" s="33">
        <v>5.71402</v>
      </c>
      <c r="AJ46" s="33">
        <v>10.419</v>
      </c>
      <c r="AK46" s="33">
        <v>28.2582</v>
      </c>
      <c r="AL46" s="33">
        <v>53.3991</v>
      </c>
      <c r="AM46" s="34">
        <v>0.152299</v>
      </c>
      <c r="AN46" s="33">
        <v>0.655769</v>
      </c>
      <c r="AO46" s="33">
        <v>12.702</v>
      </c>
      <c r="AP46" s="33">
        <v>56.4976</v>
      </c>
      <c r="AQ46" s="33">
        <v>23.6321</v>
      </c>
      <c r="AR46" s="33">
        <v>3.78617</v>
      </c>
      <c r="AS46" s="33">
        <v>2.72642</v>
      </c>
      <c r="AT46" s="33">
        <v>365.607</v>
      </c>
      <c r="AU46" s="34">
        <v>372.601</v>
      </c>
      <c r="AV46" s="34">
        <v>14789.8</v>
      </c>
      <c r="AW46" s="34">
        <v>0.0733804</v>
      </c>
      <c r="AX46" s="33">
        <v>0.0187899</v>
      </c>
      <c r="AY46" s="33">
        <v>0.146561</v>
      </c>
      <c r="AZ46" s="33">
        <v>0.375799</v>
      </c>
      <c r="BA46" s="33">
        <v>12.8166</v>
      </c>
      <c r="BB46" s="33">
        <v>78.2958</v>
      </c>
      <c r="BC46" s="33">
        <v>8.34649</v>
      </c>
      <c r="BD46" s="34">
        <v>31.3892</v>
      </c>
      <c r="BE46" s="33">
        <v>0.0</v>
      </c>
      <c r="BF46" s="33">
        <v>33.1248</v>
      </c>
      <c r="BG46" s="33">
        <v>59.2578</v>
      </c>
      <c r="BH46" s="33">
        <v>5.78918</v>
      </c>
      <c r="BI46" s="33">
        <v>1.30778</v>
      </c>
      <c r="BJ46" s="33">
        <v>0.520481</v>
      </c>
      <c r="BK46" s="33">
        <v>41.8014</v>
      </c>
      <c r="BL46" s="33">
        <v>53220.0</v>
      </c>
    </row>
    <row r="47" ht="15.75" customHeight="1">
      <c r="A47" s="33" t="s">
        <v>113</v>
      </c>
      <c r="B47" s="33" t="s">
        <v>59</v>
      </c>
      <c r="C47" s="34">
        <v>24081.1</v>
      </c>
      <c r="D47" s="33">
        <v>217.169</v>
      </c>
      <c r="E47" s="33">
        <v>44123.1</v>
      </c>
      <c r="F47" s="33">
        <v>35.7353</v>
      </c>
      <c r="G47" s="33">
        <v>80.7333</v>
      </c>
      <c r="H47" s="33">
        <v>798.403</v>
      </c>
      <c r="I47" s="33">
        <v>292.852</v>
      </c>
      <c r="J47" s="34">
        <v>8888280.0</v>
      </c>
      <c r="K47" s="34">
        <v>0.198296</v>
      </c>
      <c r="L47" s="33">
        <v>0.662288</v>
      </c>
      <c r="M47" s="33">
        <v>3.99738</v>
      </c>
      <c r="N47" s="33">
        <v>25.0523</v>
      </c>
      <c r="O47" s="33">
        <v>52.7902</v>
      </c>
      <c r="P47" s="33">
        <v>17.4378</v>
      </c>
      <c r="Q47" s="33">
        <v>0.0600426</v>
      </c>
      <c r="R47" s="34">
        <v>93.9448</v>
      </c>
      <c r="S47" s="33">
        <v>2.07784</v>
      </c>
      <c r="T47" s="33">
        <v>5.94967</v>
      </c>
      <c r="U47" s="33">
        <v>11.7065</v>
      </c>
      <c r="V47" s="33">
        <v>34.9703</v>
      </c>
      <c r="W47" s="33">
        <v>34.0078</v>
      </c>
      <c r="X47" s="33">
        <v>11.288</v>
      </c>
      <c r="Y47" s="34">
        <v>6.17473</v>
      </c>
      <c r="Z47" s="33">
        <v>0.0</v>
      </c>
      <c r="AA47" s="33">
        <v>100.0</v>
      </c>
      <c r="AB47" s="33">
        <v>0.0</v>
      </c>
      <c r="AC47" s="33">
        <v>0.0</v>
      </c>
      <c r="AD47" s="33">
        <v>0.0</v>
      </c>
      <c r="AE47" s="33">
        <v>0.0</v>
      </c>
      <c r="AF47" s="34">
        <v>0.567218</v>
      </c>
      <c r="AG47" s="33">
        <v>0.174669</v>
      </c>
      <c r="AH47" s="33">
        <v>2.16153</v>
      </c>
      <c r="AI47" s="33">
        <v>6.18439</v>
      </c>
      <c r="AJ47" s="33">
        <v>10.6312</v>
      </c>
      <c r="AK47" s="33">
        <v>26.4824</v>
      </c>
      <c r="AL47" s="33">
        <v>54.3658</v>
      </c>
      <c r="AM47" s="34">
        <v>0.153835</v>
      </c>
      <c r="AN47" s="33">
        <v>0.278379</v>
      </c>
      <c r="AO47" s="33">
        <v>13.2985</v>
      </c>
      <c r="AP47" s="33">
        <v>55.7377</v>
      </c>
      <c r="AQ47" s="33">
        <v>23.8769</v>
      </c>
      <c r="AR47" s="33">
        <v>4.01921</v>
      </c>
      <c r="AS47" s="33">
        <v>2.78925</v>
      </c>
      <c r="AT47" s="33">
        <v>369.098</v>
      </c>
      <c r="AU47" s="34">
        <v>373.201</v>
      </c>
      <c r="AV47" s="34">
        <v>15767.5</v>
      </c>
      <c r="AW47" s="34">
        <v>0.0780618</v>
      </c>
      <c r="AX47" s="33">
        <v>0.0</v>
      </c>
      <c r="AY47" s="33">
        <v>0.0</v>
      </c>
      <c r="AZ47" s="33">
        <v>0.100071</v>
      </c>
      <c r="BA47" s="33">
        <v>13.4768</v>
      </c>
      <c r="BB47" s="33">
        <v>77.3203</v>
      </c>
      <c r="BC47" s="33">
        <v>9.10282</v>
      </c>
      <c r="BD47" s="34">
        <v>30.7071</v>
      </c>
      <c r="BE47" s="33">
        <v>0.0</v>
      </c>
      <c r="BF47" s="33">
        <v>35.618</v>
      </c>
      <c r="BG47" s="33">
        <v>56.8858</v>
      </c>
      <c r="BH47" s="33">
        <v>5.79138</v>
      </c>
      <c r="BI47" s="33">
        <v>1.24634</v>
      </c>
      <c r="BJ47" s="33">
        <v>0.458507</v>
      </c>
      <c r="BK47" s="33">
        <v>40.9314</v>
      </c>
      <c r="BL47" s="33">
        <v>54961.0</v>
      </c>
    </row>
    <row r="48" ht="15.75" customHeight="1">
      <c r="A48" s="33" t="s">
        <v>113</v>
      </c>
      <c r="B48" s="33" t="s">
        <v>59</v>
      </c>
      <c r="C48" s="34">
        <v>20477.9</v>
      </c>
      <c r="D48" s="33">
        <v>206.719</v>
      </c>
      <c r="E48" s="33">
        <v>37620.8</v>
      </c>
      <c r="F48" s="33">
        <v>35.688</v>
      </c>
      <c r="G48" s="33">
        <v>77.573</v>
      </c>
      <c r="H48" s="33">
        <v>724.867</v>
      </c>
      <c r="I48" s="33">
        <v>270.629</v>
      </c>
      <c r="J48" s="34">
        <v>6617480.0</v>
      </c>
      <c r="K48" s="34">
        <v>0.192614</v>
      </c>
      <c r="L48" s="33">
        <v>0.621961</v>
      </c>
      <c r="M48" s="33">
        <v>4.14787</v>
      </c>
      <c r="N48" s="33">
        <v>26.7684</v>
      </c>
      <c r="O48" s="33">
        <v>52.9215</v>
      </c>
      <c r="P48" s="33">
        <v>15.4724</v>
      </c>
      <c r="Q48" s="33">
        <v>0.0678902</v>
      </c>
      <c r="R48" s="34">
        <v>91.2366</v>
      </c>
      <c r="S48" s="33">
        <v>2.00385</v>
      </c>
      <c r="T48" s="33">
        <v>6.02908</v>
      </c>
      <c r="U48" s="33">
        <v>13.0678</v>
      </c>
      <c r="V48" s="33">
        <v>39.1354</v>
      </c>
      <c r="W48" s="33">
        <v>30.3929</v>
      </c>
      <c r="X48" s="33">
        <v>9.37103</v>
      </c>
      <c r="Y48" s="34">
        <v>6.72435</v>
      </c>
      <c r="Z48" s="33">
        <v>0.0</v>
      </c>
      <c r="AA48" s="33">
        <v>100.0</v>
      </c>
      <c r="AB48" s="33">
        <v>0.0</v>
      </c>
      <c r="AC48" s="33">
        <v>0.0</v>
      </c>
      <c r="AD48" s="33">
        <v>0.0</v>
      </c>
      <c r="AE48" s="33">
        <v>0.0</v>
      </c>
      <c r="AF48" s="34">
        <v>0.53168</v>
      </c>
      <c r="AG48" s="33">
        <v>0.16206</v>
      </c>
      <c r="AH48" s="33">
        <v>2.23818</v>
      </c>
      <c r="AI48" s="33">
        <v>6.90728</v>
      </c>
      <c r="AJ48" s="33">
        <v>14.5592</v>
      </c>
      <c r="AK48" s="33">
        <v>36.6059</v>
      </c>
      <c r="AL48" s="33">
        <v>39.5274</v>
      </c>
      <c r="AM48" s="34">
        <v>0.164097</v>
      </c>
      <c r="AN48" s="33">
        <v>0.21024</v>
      </c>
      <c r="AO48" s="33">
        <v>10.5777</v>
      </c>
      <c r="AP48" s="33">
        <v>56.9204</v>
      </c>
      <c r="AQ48" s="33">
        <v>25.5836</v>
      </c>
      <c r="AR48" s="33">
        <v>3.95515</v>
      </c>
      <c r="AS48" s="33">
        <v>2.75284</v>
      </c>
      <c r="AT48" s="33">
        <v>323.153</v>
      </c>
      <c r="AU48" s="34">
        <v>330.901</v>
      </c>
      <c r="AV48" s="34">
        <v>13426.1</v>
      </c>
      <c r="AW48" s="34">
        <v>0.0854144</v>
      </c>
      <c r="AX48" s="33">
        <v>0.0</v>
      </c>
      <c r="AY48" s="33">
        <v>0.00657001</v>
      </c>
      <c r="AZ48" s="33">
        <v>0.12921</v>
      </c>
      <c r="BA48" s="33">
        <v>10.6522</v>
      </c>
      <c r="BB48" s="33">
        <v>79.9768</v>
      </c>
      <c r="BC48" s="33">
        <v>9.23525</v>
      </c>
      <c r="BD48" s="34">
        <v>30.4075</v>
      </c>
      <c r="BE48" s="33">
        <v>0.0</v>
      </c>
      <c r="BF48" s="33">
        <v>37.2191</v>
      </c>
      <c r="BG48" s="33">
        <v>55.4444</v>
      </c>
      <c r="BH48" s="33">
        <v>5.5429</v>
      </c>
      <c r="BI48" s="33">
        <v>1.30524</v>
      </c>
      <c r="BJ48" s="33">
        <v>0.488371</v>
      </c>
      <c r="BK48" s="33">
        <v>40.9883</v>
      </c>
      <c r="BL48" s="33">
        <v>45662.0</v>
      </c>
    </row>
    <row r="49" ht="15.75" customHeight="1">
      <c r="A49" s="33" t="s">
        <v>113</v>
      </c>
      <c r="B49" s="33" t="s">
        <v>59</v>
      </c>
      <c r="C49" s="34">
        <v>22060.4</v>
      </c>
      <c r="D49" s="33">
        <v>214.212</v>
      </c>
      <c r="E49" s="33">
        <v>35636.6</v>
      </c>
      <c r="F49" s="33">
        <v>40.4061</v>
      </c>
      <c r="G49" s="33">
        <v>78.7602</v>
      </c>
      <c r="H49" s="33">
        <v>738.971</v>
      </c>
      <c r="I49" s="33">
        <v>260.931</v>
      </c>
      <c r="J49" s="34">
        <v>7920330.0</v>
      </c>
      <c r="K49" s="34">
        <v>0.206727</v>
      </c>
      <c r="L49" s="33">
        <v>0.697708</v>
      </c>
      <c r="M49" s="33">
        <v>3.83739</v>
      </c>
      <c r="N49" s="33">
        <v>22.3267</v>
      </c>
      <c r="O49" s="33">
        <v>53.1571</v>
      </c>
      <c r="P49" s="33">
        <v>19.9216</v>
      </c>
      <c r="Q49" s="33">
        <v>0.0595104</v>
      </c>
      <c r="R49" s="34">
        <v>94.0131</v>
      </c>
      <c r="S49" s="33">
        <v>2.04798</v>
      </c>
      <c r="T49" s="33">
        <v>4.98861</v>
      </c>
      <c r="U49" s="33">
        <v>11.1264</v>
      </c>
      <c r="V49" s="33">
        <v>37.1078</v>
      </c>
      <c r="W49" s="33">
        <v>34.6987</v>
      </c>
      <c r="X49" s="33">
        <v>10.0306</v>
      </c>
      <c r="Y49" s="34">
        <v>5.97901</v>
      </c>
      <c r="Z49" s="33">
        <v>0.0</v>
      </c>
      <c r="AA49" s="33">
        <v>100.0</v>
      </c>
      <c r="AB49" s="33">
        <v>0.0</v>
      </c>
      <c r="AC49" s="33">
        <v>0.0</v>
      </c>
      <c r="AD49" s="33">
        <v>0.0</v>
      </c>
      <c r="AE49" s="33">
        <v>0.0</v>
      </c>
      <c r="AF49" s="34">
        <v>0.571615</v>
      </c>
      <c r="AG49" s="33">
        <v>0.145698</v>
      </c>
      <c r="AH49" s="33">
        <v>1.74427</v>
      </c>
      <c r="AI49" s="33">
        <v>5.10353</v>
      </c>
      <c r="AJ49" s="33">
        <v>10.6996</v>
      </c>
      <c r="AK49" s="33">
        <v>27.58</v>
      </c>
      <c r="AL49" s="33">
        <v>54.727</v>
      </c>
      <c r="AM49" s="34">
        <v>0.160116</v>
      </c>
      <c r="AN49" s="33">
        <v>0.293448</v>
      </c>
      <c r="AO49" s="33">
        <v>11.8774</v>
      </c>
      <c r="AP49" s="33">
        <v>55.9931</v>
      </c>
      <c r="AQ49" s="33">
        <v>24.8425</v>
      </c>
      <c r="AR49" s="33">
        <v>4.22318</v>
      </c>
      <c r="AS49" s="33">
        <v>2.77031</v>
      </c>
      <c r="AT49" s="33">
        <v>359.03</v>
      </c>
      <c r="AU49" s="34">
        <v>367.801</v>
      </c>
      <c r="AV49" s="34">
        <v>14399.4</v>
      </c>
      <c r="AW49" s="34">
        <v>0.0760528</v>
      </c>
      <c r="AX49" s="33">
        <v>0.00205208</v>
      </c>
      <c r="AY49" s="33">
        <v>0.0184687</v>
      </c>
      <c r="AZ49" s="33">
        <v>0.110812</v>
      </c>
      <c r="BA49" s="33">
        <v>12.0396</v>
      </c>
      <c r="BB49" s="33">
        <v>79.9881</v>
      </c>
      <c r="BC49" s="33">
        <v>7.841</v>
      </c>
      <c r="BD49" s="34">
        <v>31.6288</v>
      </c>
      <c r="BE49" s="33">
        <v>0.0</v>
      </c>
      <c r="BF49" s="33">
        <v>32.862</v>
      </c>
      <c r="BG49" s="33">
        <v>58.9748</v>
      </c>
      <c r="BH49" s="33">
        <v>6.33478</v>
      </c>
      <c r="BI49" s="33">
        <v>1.32564</v>
      </c>
      <c r="BJ49" s="33">
        <v>0.50276</v>
      </c>
      <c r="BK49" s="33">
        <v>40.7709</v>
      </c>
      <c r="BL49" s="33">
        <v>48731.0</v>
      </c>
    </row>
    <row r="50" ht="15.75" customHeight="1">
      <c r="A50" s="33" t="s">
        <v>94</v>
      </c>
      <c r="B50" s="33" t="s">
        <v>61</v>
      </c>
      <c r="C50" s="34">
        <v>22697.5</v>
      </c>
      <c r="D50" s="33">
        <v>230.798</v>
      </c>
      <c r="E50" s="33">
        <v>43988.2</v>
      </c>
      <c r="F50" s="33">
        <v>33.7541</v>
      </c>
      <c r="G50" s="33">
        <v>84.6669</v>
      </c>
      <c r="H50" s="33">
        <v>819.893</v>
      </c>
      <c r="I50" s="33">
        <v>292.26</v>
      </c>
      <c r="J50" s="34">
        <v>8063060.0</v>
      </c>
      <c r="K50" s="34">
        <v>0.195505</v>
      </c>
      <c r="L50" s="33">
        <v>0.370892</v>
      </c>
      <c r="M50" s="33">
        <v>4.20873</v>
      </c>
      <c r="N50" s="33">
        <v>26.1588</v>
      </c>
      <c r="O50" s="33">
        <v>53.3906</v>
      </c>
      <c r="P50" s="33">
        <v>15.8333</v>
      </c>
      <c r="Q50" s="33">
        <v>0.0376842</v>
      </c>
      <c r="R50" s="34">
        <v>92.8669</v>
      </c>
      <c r="S50" s="33">
        <v>1.56092</v>
      </c>
      <c r="T50" s="33">
        <v>5.33926</v>
      </c>
      <c r="U50" s="33">
        <v>13.2926</v>
      </c>
      <c r="V50" s="33">
        <v>38.5866</v>
      </c>
      <c r="W50" s="33">
        <v>31.0915</v>
      </c>
      <c r="X50" s="33">
        <v>10.1291</v>
      </c>
      <c r="Y50" s="34">
        <v>7.02676</v>
      </c>
      <c r="Z50" s="33">
        <v>0.0</v>
      </c>
      <c r="AA50" s="33">
        <v>99.9802</v>
      </c>
      <c r="AB50" s="33">
        <v>0.0198338</v>
      </c>
      <c r="AC50" s="33">
        <v>0.0</v>
      </c>
      <c r="AD50" s="33">
        <v>0.0</v>
      </c>
      <c r="AE50" s="33">
        <v>0.0</v>
      </c>
      <c r="AF50" s="34">
        <v>0.533101</v>
      </c>
      <c r="AG50" s="33">
        <v>0.126936</v>
      </c>
      <c r="AH50" s="33">
        <v>2.2432</v>
      </c>
      <c r="AI50" s="33">
        <v>6.61655</v>
      </c>
      <c r="AJ50" s="33">
        <v>16.6287</v>
      </c>
      <c r="AK50" s="33">
        <v>31.9879</v>
      </c>
      <c r="AL50" s="33">
        <v>42.3967</v>
      </c>
      <c r="AM50" s="34">
        <v>0.154103</v>
      </c>
      <c r="AN50" s="33">
        <v>1.08689</v>
      </c>
      <c r="AO50" s="33">
        <v>11.0038</v>
      </c>
      <c r="AP50" s="33">
        <v>56.2685</v>
      </c>
      <c r="AQ50" s="33">
        <v>25.7938</v>
      </c>
      <c r="AR50" s="33">
        <v>3.90527</v>
      </c>
      <c r="AS50" s="33">
        <v>1.94173</v>
      </c>
      <c r="AT50" s="33">
        <v>355.24</v>
      </c>
      <c r="AU50" s="34">
        <v>361.855</v>
      </c>
      <c r="AV50" s="34">
        <v>14847.9</v>
      </c>
      <c r="AW50" s="34">
        <v>0.077673</v>
      </c>
      <c r="AX50" s="33">
        <v>0.0099169</v>
      </c>
      <c r="AY50" s="33">
        <v>0.519645</v>
      </c>
      <c r="AZ50" s="33">
        <v>0.662449</v>
      </c>
      <c r="BA50" s="33">
        <v>10.8987</v>
      </c>
      <c r="BB50" s="33">
        <v>78.7045</v>
      </c>
      <c r="BC50" s="33">
        <v>9.20486</v>
      </c>
      <c r="BD50" s="34">
        <v>30.0978</v>
      </c>
      <c r="BE50" s="33">
        <v>0.0</v>
      </c>
      <c r="BF50" s="33">
        <v>36.2106</v>
      </c>
      <c r="BG50" s="33">
        <v>57.5636</v>
      </c>
      <c r="BH50" s="33">
        <v>5.04572</v>
      </c>
      <c r="BI50" s="33">
        <v>0.803269</v>
      </c>
      <c r="BJ50" s="33">
        <v>0.376842</v>
      </c>
      <c r="BK50" s="33">
        <v>40.8817</v>
      </c>
      <c r="BL50" s="33">
        <v>50419.0</v>
      </c>
    </row>
    <row r="51" ht="15.75" customHeight="1">
      <c r="A51" s="33" t="s">
        <v>94</v>
      </c>
      <c r="B51" s="33" t="s">
        <v>61</v>
      </c>
      <c r="C51" s="34">
        <v>25669.5</v>
      </c>
      <c r="D51" s="33">
        <v>209.126</v>
      </c>
      <c r="E51" s="33">
        <v>47256.3</v>
      </c>
      <c r="F51" s="33">
        <v>35.9437</v>
      </c>
      <c r="G51" s="33">
        <v>87.0193</v>
      </c>
      <c r="H51" s="33">
        <v>865.037</v>
      </c>
      <c r="I51" s="33">
        <v>297.535</v>
      </c>
      <c r="J51" s="34">
        <v>8879790.0</v>
      </c>
      <c r="K51" s="34">
        <v>0.19947</v>
      </c>
      <c r="L51" s="33">
        <v>0.530416</v>
      </c>
      <c r="M51" s="33">
        <v>3.51814</v>
      </c>
      <c r="N51" s="33">
        <v>25.3661</v>
      </c>
      <c r="O51" s="33">
        <v>53.7355</v>
      </c>
      <c r="P51" s="33">
        <v>16.7003</v>
      </c>
      <c r="Q51" s="33">
        <v>0.14956</v>
      </c>
      <c r="R51" s="34">
        <v>94.2782</v>
      </c>
      <c r="S51" s="33">
        <v>1.55995</v>
      </c>
      <c r="T51" s="33">
        <v>4.63984</v>
      </c>
      <c r="U51" s="33">
        <v>11.9735</v>
      </c>
      <c r="V51" s="33">
        <v>38.3778</v>
      </c>
      <c r="W51" s="33">
        <v>32.9728</v>
      </c>
      <c r="X51" s="33">
        <v>10.4762</v>
      </c>
      <c r="Y51" s="34">
        <v>6.83884</v>
      </c>
      <c r="Z51" s="33">
        <v>0.0</v>
      </c>
      <c r="AA51" s="33">
        <v>100.0</v>
      </c>
      <c r="AB51" s="33">
        <v>0.0</v>
      </c>
      <c r="AC51" s="33">
        <v>0.0</v>
      </c>
      <c r="AD51" s="33">
        <v>0.0</v>
      </c>
      <c r="AE51" s="33">
        <v>0.0</v>
      </c>
      <c r="AF51" s="34">
        <v>0.54529</v>
      </c>
      <c r="AG51" s="33">
        <v>0.227818</v>
      </c>
      <c r="AH51" s="33">
        <v>2.14949</v>
      </c>
      <c r="AI51" s="33">
        <v>5.44677</v>
      </c>
      <c r="AJ51" s="33">
        <v>13.9386</v>
      </c>
      <c r="AK51" s="33">
        <v>33.0806</v>
      </c>
      <c r="AL51" s="33">
        <v>45.1567</v>
      </c>
      <c r="AM51" s="34">
        <v>0.149475</v>
      </c>
      <c r="AN51" s="33">
        <v>0.855622</v>
      </c>
      <c r="AO51" s="33">
        <v>11.6796</v>
      </c>
      <c r="AP51" s="33">
        <v>57.8032</v>
      </c>
      <c r="AQ51" s="33">
        <v>23.9087</v>
      </c>
      <c r="AR51" s="33">
        <v>3.64335</v>
      </c>
      <c r="AS51" s="33">
        <v>2.10949</v>
      </c>
      <c r="AT51" s="33">
        <v>345.927</v>
      </c>
      <c r="AU51" s="34">
        <v>351.934</v>
      </c>
      <c r="AV51" s="34">
        <v>16985.7</v>
      </c>
      <c r="AW51" s="34">
        <v>0.0745414</v>
      </c>
      <c r="AX51" s="33">
        <v>0.00695628</v>
      </c>
      <c r="AY51" s="33">
        <v>0.342597</v>
      </c>
      <c r="AZ51" s="33">
        <v>0.453897</v>
      </c>
      <c r="BA51" s="33">
        <v>11.7318</v>
      </c>
      <c r="BB51" s="33">
        <v>79.6181</v>
      </c>
      <c r="BC51" s="33">
        <v>7.84668</v>
      </c>
      <c r="BD51" s="34">
        <v>30.1688</v>
      </c>
      <c r="BE51" s="33">
        <v>0.0</v>
      </c>
      <c r="BF51" s="33">
        <v>37.1796</v>
      </c>
      <c r="BG51" s="33">
        <v>56.0711</v>
      </c>
      <c r="BH51" s="33">
        <v>5.33373</v>
      </c>
      <c r="BI51" s="33">
        <v>0.789538</v>
      </c>
      <c r="BJ51" s="33">
        <v>0.626065</v>
      </c>
      <c r="BK51" s="33">
        <v>41.4643</v>
      </c>
      <c r="BL51" s="33">
        <v>57502.0</v>
      </c>
    </row>
    <row r="52" ht="15.75" customHeight="1">
      <c r="A52" s="33" t="s">
        <v>94</v>
      </c>
      <c r="B52" s="33" t="s">
        <v>61</v>
      </c>
      <c r="C52" s="34">
        <v>25248.4</v>
      </c>
      <c r="D52" s="33">
        <v>233.094</v>
      </c>
      <c r="E52" s="33">
        <v>46472.8</v>
      </c>
      <c r="F52" s="33">
        <v>35.1159</v>
      </c>
      <c r="G52" s="33">
        <v>77.0504</v>
      </c>
      <c r="H52" s="33">
        <v>826.471</v>
      </c>
      <c r="I52" s="33">
        <v>305.353</v>
      </c>
      <c r="J52" s="34">
        <v>8954160.0</v>
      </c>
      <c r="K52" s="34">
        <v>0.209747</v>
      </c>
      <c r="L52" s="33">
        <v>0.556388</v>
      </c>
      <c r="M52" s="33">
        <v>3.20993</v>
      </c>
      <c r="N52" s="33">
        <v>22.6585</v>
      </c>
      <c r="O52" s="33">
        <v>53.6147</v>
      </c>
      <c r="P52" s="33">
        <v>19.8231</v>
      </c>
      <c r="Q52" s="33">
        <v>0.137314</v>
      </c>
      <c r="R52" s="34">
        <v>94.1154</v>
      </c>
      <c r="S52" s="33">
        <v>1.66025</v>
      </c>
      <c r="T52" s="33">
        <v>4.55097</v>
      </c>
      <c r="U52" s="33">
        <v>11.4184</v>
      </c>
      <c r="V52" s="33">
        <v>38.6297</v>
      </c>
      <c r="W52" s="33">
        <v>34.4336</v>
      </c>
      <c r="X52" s="33">
        <v>9.30701</v>
      </c>
      <c r="Y52" s="34">
        <v>6.51056</v>
      </c>
      <c r="Z52" s="33">
        <v>0.0</v>
      </c>
      <c r="AA52" s="33">
        <v>100.0</v>
      </c>
      <c r="AB52" s="33">
        <v>0.0</v>
      </c>
      <c r="AC52" s="33">
        <v>0.0</v>
      </c>
      <c r="AD52" s="33">
        <v>0.0</v>
      </c>
      <c r="AE52" s="33">
        <v>0.0</v>
      </c>
      <c r="AF52" s="34">
        <v>0.555465</v>
      </c>
      <c r="AG52" s="33">
        <v>0.240745</v>
      </c>
      <c r="AH52" s="33">
        <v>1.89742</v>
      </c>
      <c r="AI52" s="33">
        <v>4.98787</v>
      </c>
      <c r="AJ52" s="33">
        <v>12.3136</v>
      </c>
      <c r="AK52" s="33">
        <v>32.3026</v>
      </c>
      <c r="AL52" s="33">
        <v>48.2577</v>
      </c>
      <c r="AM52" s="34">
        <v>0.158649</v>
      </c>
      <c r="AN52" s="33">
        <v>0.317426</v>
      </c>
      <c r="AO52" s="33">
        <v>11.0493</v>
      </c>
      <c r="AP52" s="33">
        <v>57.019</v>
      </c>
      <c r="AQ52" s="33">
        <v>25.1373</v>
      </c>
      <c r="AR52" s="33">
        <v>4.14616</v>
      </c>
      <c r="AS52" s="33">
        <v>2.33077</v>
      </c>
      <c r="AT52" s="33">
        <v>354.643</v>
      </c>
      <c r="AU52" s="34">
        <v>369.034</v>
      </c>
      <c r="AV52" s="34">
        <v>16319.3</v>
      </c>
      <c r="AW52" s="34">
        <v>0.0785554</v>
      </c>
      <c r="AX52" s="33">
        <v>0.0124831</v>
      </c>
      <c r="AY52" s="33">
        <v>0.0178329</v>
      </c>
      <c r="AZ52" s="33">
        <v>0.149797</v>
      </c>
      <c r="BA52" s="33">
        <v>11.1866</v>
      </c>
      <c r="BB52" s="33">
        <v>80.8456</v>
      </c>
      <c r="BC52" s="33">
        <v>7.78765</v>
      </c>
      <c r="BD52" s="34">
        <v>31.3957</v>
      </c>
      <c r="BE52" s="33">
        <v>0.0</v>
      </c>
      <c r="BF52" s="33">
        <v>33.1015</v>
      </c>
      <c r="BG52" s="33">
        <v>59.2321</v>
      </c>
      <c r="BH52" s="33">
        <v>6.12383</v>
      </c>
      <c r="BI52" s="33">
        <v>0.989728</v>
      </c>
      <c r="BJ52" s="33">
        <v>0.552821</v>
      </c>
      <c r="BK52" s="33">
        <v>40.2973</v>
      </c>
      <c r="BL52" s="33">
        <v>56076.0</v>
      </c>
    </row>
    <row r="53" ht="15.75" customHeight="1">
      <c r="A53" s="33" t="s">
        <v>94</v>
      </c>
      <c r="B53" s="33" t="s">
        <v>61</v>
      </c>
      <c r="C53" s="34">
        <v>19884.8</v>
      </c>
      <c r="D53" s="33">
        <v>194.646</v>
      </c>
      <c r="E53" s="33">
        <v>37902.6</v>
      </c>
      <c r="F53" s="33">
        <v>36.1235</v>
      </c>
      <c r="G53" s="33">
        <v>82.3782</v>
      </c>
      <c r="H53" s="33">
        <v>744.554</v>
      </c>
      <c r="I53" s="33">
        <v>262.664</v>
      </c>
      <c r="J53" s="34">
        <v>6698850.0</v>
      </c>
      <c r="K53" s="34">
        <v>0.230252</v>
      </c>
      <c r="L53" s="33">
        <v>0.401808</v>
      </c>
      <c r="M53" s="33">
        <v>2.42614</v>
      </c>
      <c r="N53" s="33">
        <v>16.5113</v>
      </c>
      <c r="O53" s="33">
        <v>55.3665</v>
      </c>
      <c r="P53" s="33">
        <v>25.1327</v>
      </c>
      <c r="Q53" s="33">
        <v>0.161597</v>
      </c>
      <c r="R53" s="34">
        <v>96.9906</v>
      </c>
      <c r="S53" s="33">
        <v>1.26875</v>
      </c>
      <c r="T53" s="33">
        <v>3.15332</v>
      </c>
      <c r="U53" s="33">
        <v>8.18029</v>
      </c>
      <c r="V53" s="33">
        <v>38.899</v>
      </c>
      <c r="W53" s="33">
        <v>40.3752</v>
      </c>
      <c r="X53" s="33">
        <v>8.12351</v>
      </c>
      <c r="Y53" s="34">
        <v>6.77832</v>
      </c>
      <c r="Z53" s="33">
        <v>0.0</v>
      </c>
      <c r="AA53" s="33">
        <v>100.0</v>
      </c>
      <c r="AB53" s="33">
        <v>0.0</v>
      </c>
      <c r="AC53" s="33">
        <v>0.0</v>
      </c>
      <c r="AD53" s="33">
        <v>0.0</v>
      </c>
      <c r="AE53" s="33">
        <v>0.0</v>
      </c>
      <c r="AF53" s="34">
        <v>0.579062</v>
      </c>
      <c r="AG53" s="33">
        <v>0.10482</v>
      </c>
      <c r="AH53" s="33">
        <v>1.39759</v>
      </c>
      <c r="AI53" s="33">
        <v>3.97441</v>
      </c>
      <c r="AJ53" s="33">
        <v>8.66726</v>
      </c>
      <c r="AK53" s="33">
        <v>30.0657</v>
      </c>
      <c r="AL53" s="33">
        <v>55.7902</v>
      </c>
      <c r="AM53" s="34">
        <v>0.152621</v>
      </c>
      <c r="AN53" s="33">
        <v>0.288254</v>
      </c>
      <c r="AO53" s="33">
        <v>10.471</v>
      </c>
      <c r="AP53" s="33">
        <v>59.3672</v>
      </c>
      <c r="AQ53" s="33">
        <v>24.6326</v>
      </c>
      <c r="AR53" s="33">
        <v>3.53111</v>
      </c>
      <c r="AS53" s="33">
        <v>1.70987</v>
      </c>
      <c r="AT53" s="33">
        <v>336.882</v>
      </c>
      <c r="AU53" s="34">
        <v>341.791</v>
      </c>
      <c r="AV53" s="34">
        <v>13691.8</v>
      </c>
      <c r="AW53" s="34">
        <v>0.0706418</v>
      </c>
      <c r="AX53" s="33">
        <v>0.00218374</v>
      </c>
      <c r="AY53" s="33">
        <v>0.0524098</v>
      </c>
      <c r="AZ53" s="33">
        <v>0.144127</v>
      </c>
      <c r="BA53" s="33">
        <v>10.5606</v>
      </c>
      <c r="BB53" s="33">
        <v>83.4079</v>
      </c>
      <c r="BC53" s="33">
        <v>5.83277</v>
      </c>
      <c r="BD53" s="34">
        <v>32.5797</v>
      </c>
      <c r="BE53" s="33">
        <v>0.0</v>
      </c>
      <c r="BF53" s="33">
        <v>27.5173</v>
      </c>
      <c r="BG53" s="33">
        <v>64.9968</v>
      </c>
      <c r="BH53" s="33">
        <v>6.30664</v>
      </c>
      <c r="BI53" s="33">
        <v>0.696613</v>
      </c>
      <c r="BJ53" s="33">
        <v>0.482607</v>
      </c>
      <c r="BK53" s="33">
        <v>43.5388</v>
      </c>
      <c r="BL53" s="33">
        <v>45793.0</v>
      </c>
    </row>
    <row r="54" ht="15.75" customHeight="1">
      <c r="A54" s="33" t="s">
        <v>111</v>
      </c>
      <c r="B54" s="33" t="s">
        <v>61</v>
      </c>
      <c r="C54" s="34">
        <v>26799.5</v>
      </c>
      <c r="D54" s="33">
        <v>214.912</v>
      </c>
      <c r="E54" s="33">
        <v>47082.2</v>
      </c>
      <c r="F54" s="33">
        <v>37.3075</v>
      </c>
      <c r="G54" s="33">
        <v>91.5902</v>
      </c>
      <c r="H54" s="33">
        <v>856.852</v>
      </c>
      <c r="I54" s="33">
        <v>292.136</v>
      </c>
      <c r="J54" s="34">
        <v>8151530.0</v>
      </c>
      <c r="K54" s="34">
        <v>0.199797</v>
      </c>
      <c r="L54" s="33">
        <v>0.480216</v>
      </c>
      <c r="M54" s="33">
        <v>3.98546</v>
      </c>
      <c r="N54" s="33">
        <v>25.0575</v>
      </c>
      <c r="O54" s="33">
        <v>52.79</v>
      </c>
      <c r="P54" s="33">
        <v>17.5617</v>
      </c>
      <c r="Q54" s="33">
        <v>0.125127</v>
      </c>
      <c r="R54" s="34">
        <v>95.0412</v>
      </c>
      <c r="S54" s="33">
        <v>1.60974</v>
      </c>
      <c r="T54" s="33">
        <v>4.25938</v>
      </c>
      <c r="U54" s="33">
        <v>10.9131</v>
      </c>
      <c r="V54" s="33">
        <v>38.5374</v>
      </c>
      <c r="W54" s="33">
        <v>33.5289</v>
      </c>
      <c r="X54" s="33">
        <v>11.1515</v>
      </c>
      <c r="Y54" s="34">
        <v>6.90788</v>
      </c>
      <c r="Z54" s="33">
        <v>0.0</v>
      </c>
      <c r="AA54" s="33">
        <v>100.0</v>
      </c>
      <c r="AB54" s="33">
        <v>0.0</v>
      </c>
      <c r="AC54" s="33">
        <v>0.0</v>
      </c>
      <c r="AD54" s="33">
        <v>0.0</v>
      </c>
      <c r="AE54" s="33">
        <v>0.0</v>
      </c>
      <c r="AF54" s="34">
        <v>0.541453</v>
      </c>
      <c r="AG54" s="33">
        <v>0.153872</v>
      </c>
      <c r="AH54" s="33">
        <v>1.95468</v>
      </c>
      <c r="AI54" s="33">
        <v>5.60873</v>
      </c>
      <c r="AJ54" s="33">
        <v>13.5475</v>
      </c>
      <c r="AK54" s="33">
        <v>37.0257</v>
      </c>
      <c r="AL54" s="33">
        <v>41.7095</v>
      </c>
      <c r="AM54" s="34">
        <v>0.144298</v>
      </c>
      <c r="AN54" s="33">
        <v>0.820088</v>
      </c>
      <c r="AO54" s="33">
        <v>12.3554</v>
      </c>
      <c r="AP54" s="33">
        <v>58.184</v>
      </c>
      <c r="AQ54" s="33">
        <v>23.5949</v>
      </c>
      <c r="AR54" s="33">
        <v>3.13155</v>
      </c>
      <c r="AS54" s="33">
        <v>1.9141</v>
      </c>
      <c r="AT54" s="33">
        <v>304.167</v>
      </c>
      <c r="AU54" s="34">
        <v>307.232</v>
      </c>
      <c r="AV54" s="34">
        <v>17565.2</v>
      </c>
      <c r="AW54" s="34">
        <v>0.0708002</v>
      </c>
      <c r="AX54" s="33">
        <v>0.00507271</v>
      </c>
      <c r="AY54" s="33">
        <v>0.233345</v>
      </c>
      <c r="AZ54" s="33">
        <v>0.536016</v>
      </c>
      <c r="BA54" s="33">
        <v>12.4011</v>
      </c>
      <c r="BB54" s="33">
        <v>80.186</v>
      </c>
      <c r="BC54" s="33">
        <v>6.63848</v>
      </c>
      <c r="BD54" s="34">
        <v>29.9274</v>
      </c>
      <c r="BE54" s="33">
        <v>0.0</v>
      </c>
      <c r="BF54" s="33">
        <v>37.6327</v>
      </c>
      <c r="BG54" s="33">
        <v>55.9452</v>
      </c>
      <c r="BH54" s="33">
        <v>5.07271</v>
      </c>
      <c r="BI54" s="33">
        <v>0.813324</v>
      </c>
      <c r="BJ54" s="33">
        <v>0.536016</v>
      </c>
      <c r="BK54" s="33">
        <v>40.9871</v>
      </c>
      <c r="BL54" s="33">
        <v>59140.0</v>
      </c>
    </row>
    <row r="55" ht="15.75" customHeight="1">
      <c r="A55" s="33" t="s">
        <v>111</v>
      </c>
      <c r="B55" s="33" t="s">
        <v>61</v>
      </c>
      <c r="C55" s="34">
        <v>25962.4</v>
      </c>
      <c r="D55" s="33">
        <v>212.136</v>
      </c>
      <c r="E55" s="33">
        <v>48800.2</v>
      </c>
      <c r="F55" s="33">
        <v>35.5941</v>
      </c>
      <c r="G55" s="33">
        <v>73.9085</v>
      </c>
      <c r="H55" s="33">
        <v>865.744</v>
      </c>
      <c r="I55" s="33">
        <v>310.382</v>
      </c>
      <c r="J55" s="34">
        <v>1.01701E7</v>
      </c>
      <c r="K55" s="34">
        <v>0.211681</v>
      </c>
      <c r="L55" s="33">
        <v>0.353658</v>
      </c>
      <c r="M55" s="33">
        <v>2.40684</v>
      </c>
      <c r="N55" s="33">
        <v>21.6337</v>
      </c>
      <c r="O55" s="33">
        <v>57.1861</v>
      </c>
      <c r="P55" s="33">
        <v>18.3575</v>
      </c>
      <c r="Q55" s="33">
        <v>0.0622176</v>
      </c>
      <c r="R55" s="34">
        <v>94.2185</v>
      </c>
      <c r="S55" s="33">
        <v>1.09863</v>
      </c>
      <c r="T55" s="33">
        <v>4.73672</v>
      </c>
      <c r="U55" s="33">
        <v>11.6412</v>
      </c>
      <c r="V55" s="33">
        <v>38.4374</v>
      </c>
      <c r="W55" s="33">
        <v>36.4038</v>
      </c>
      <c r="X55" s="33">
        <v>7.68223</v>
      </c>
      <c r="Y55" s="34">
        <v>6.98917</v>
      </c>
      <c r="Z55" s="33">
        <v>0.0</v>
      </c>
      <c r="AA55" s="33">
        <v>99.9869</v>
      </c>
      <c r="AB55" s="33">
        <v>0.0130984</v>
      </c>
      <c r="AC55" s="33">
        <v>0.0</v>
      </c>
      <c r="AD55" s="33">
        <v>0.0</v>
      </c>
      <c r="AE55" s="33">
        <v>0.0</v>
      </c>
      <c r="AF55" s="34">
        <v>0.551299</v>
      </c>
      <c r="AG55" s="33">
        <v>0.425699</v>
      </c>
      <c r="AH55" s="33">
        <v>2.86037</v>
      </c>
      <c r="AI55" s="33">
        <v>5.72238</v>
      </c>
      <c r="AJ55" s="33">
        <v>10.8324</v>
      </c>
      <c r="AK55" s="33">
        <v>31.69</v>
      </c>
      <c r="AL55" s="33">
        <v>48.4691</v>
      </c>
      <c r="AM55" s="34">
        <v>0.155595</v>
      </c>
      <c r="AN55" s="33">
        <v>0.420787</v>
      </c>
      <c r="AO55" s="33">
        <v>9.66992</v>
      </c>
      <c r="AP55" s="33">
        <v>59.1149</v>
      </c>
      <c r="AQ55" s="33">
        <v>25.1506</v>
      </c>
      <c r="AR55" s="33">
        <v>3.96228</v>
      </c>
      <c r="AS55" s="33">
        <v>1.68151</v>
      </c>
      <c r="AT55" s="33">
        <v>391.723</v>
      </c>
      <c r="AU55" s="34">
        <v>402.613</v>
      </c>
      <c r="AV55" s="34">
        <v>17370.0</v>
      </c>
      <c r="AW55" s="34">
        <v>0.0829183</v>
      </c>
      <c r="AX55" s="33">
        <v>0.00654922</v>
      </c>
      <c r="AY55" s="33">
        <v>0.160456</v>
      </c>
      <c r="AZ55" s="33">
        <v>0.196477</v>
      </c>
      <c r="BA55" s="33">
        <v>9.72723</v>
      </c>
      <c r="BB55" s="33">
        <v>80.4359</v>
      </c>
      <c r="BC55" s="33">
        <v>9.47344</v>
      </c>
      <c r="BD55" s="34">
        <v>31.1448</v>
      </c>
      <c r="BE55" s="33">
        <v>0.0</v>
      </c>
      <c r="BF55" s="33">
        <v>31.171</v>
      </c>
      <c r="BG55" s="33">
        <v>62.6793</v>
      </c>
      <c r="BH55" s="33">
        <v>5.18862</v>
      </c>
      <c r="BI55" s="33">
        <v>0.597616</v>
      </c>
      <c r="BJ55" s="33">
        <v>0.363482</v>
      </c>
      <c r="BK55" s="33">
        <v>42.0289</v>
      </c>
      <c r="BL55" s="33">
        <v>61076.0</v>
      </c>
    </row>
    <row r="56" ht="15.75" customHeight="1">
      <c r="A56" s="33" t="s">
        <v>111</v>
      </c>
      <c r="B56" s="33" t="s">
        <v>61</v>
      </c>
      <c r="C56" s="34">
        <v>25228.8</v>
      </c>
      <c r="D56" s="33">
        <v>231.911</v>
      </c>
      <c r="E56" s="33">
        <v>51559.2</v>
      </c>
      <c r="F56" s="33">
        <v>35.0105</v>
      </c>
      <c r="G56" s="33">
        <v>82.9469</v>
      </c>
      <c r="H56" s="33">
        <v>874.766</v>
      </c>
      <c r="I56" s="33">
        <v>303.309</v>
      </c>
      <c r="J56" s="34">
        <v>8150240.0</v>
      </c>
      <c r="K56" s="34">
        <v>0.220438</v>
      </c>
      <c r="L56" s="33">
        <v>0.439822</v>
      </c>
      <c r="M56" s="33">
        <v>3.02578</v>
      </c>
      <c r="N56" s="33">
        <v>20.2157</v>
      </c>
      <c r="O56" s="33">
        <v>52.5619</v>
      </c>
      <c r="P56" s="33">
        <v>23.6428</v>
      </c>
      <c r="Q56" s="33">
        <v>0.113968</v>
      </c>
      <c r="R56" s="34">
        <v>93.8692</v>
      </c>
      <c r="S56" s="33">
        <v>1.40936</v>
      </c>
      <c r="T56" s="33">
        <v>4.82519</v>
      </c>
      <c r="U56" s="33">
        <v>11.8222</v>
      </c>
      <c r="V56" s="33">
        <v>38.0975</v>
      </c>
      <c r="W56" s="33">
        <v>35.1616</v>
      </c>
      <c r="X56" s="33">
        <v>8.68407</v>
      </c>
      <c r="Y56" s="34">
        <v>6.80787</v>
      </c>
      <c r="Z56" s="33">
        <v>0.0</v>
      </c>
      <c r="AA56" s="33">
        <v>99.9807</v>
      </c>
      <c r="AB56" s="33">
        <v>0.0192623</v>
      </c>
      <c r="AC56" s="33">
        <v>0.0</v>
      </c>
      <c r="AD56" s="33">
        <v>0.0</v>
      </c>
      <c r="AE56" s="33">
        <v>0.0</v>
      </c>
      <c r="AF56" s="34">
        <v>0.560476</v>
      </c>
      <c r="AG56" s="33">
        <v>0.250409</v>
      </c>
      <c r="AH56" s="33">
        <v>2.55867</v>
      </c>
      <c r="AI56" s="33">
        <v>5.66792</v>
      </c>
      <c r="AJ56" s="33">
        <v>10.3085</v>
      </c>
      <c r="AK56" s="33">
        <v>29.3493</v>
      </c>
      <c r="AL56" s="33">
        <v>51.8652</v>
      </c>
      <c r="AM56" s="34">
        <v>0.169298</v>
      </c>
      <c r="AN56" s="33">
        <v>0.276092</v>
      </c>
      <c r="AO56" s="33">
        <v>10.5702</v>
      </c>
      <c r="AP56" s="33">
        <v>53.6454</v>
      </c>
      <c r="AQ56" s="33">
        <v>27.8452</v>
      </c>
      <c r="AR56" s="33">
        <v>5.35491</v>
      </c>
      <c r="AS56" s="33">
        <v>2.30826</v>
      </c>
      <c r="AT56" s="33">
        <v>323.053</v>
      </c>
      <c r="AU56" s="34">
        <v>333.613</v>
      </c>
      <c r="AV56" s="34">
        <v>18051.1</v>
      </c>
      <c r="AW56" s="34">
        <v>0.0851725</v>
      </c>
      <c r="AX56" s="33">
        <v>0.00160519</v>
      </c>
      <c r="AY56" s="33">
        <v>0.0128415</v>
      </c>
      <c r="AZ56" s="33">
        <v>0.136441</v>
      </c>
      <c r="BA56" s="33">
        <v>10.6954</v>
      </c>
      <c r="BB56" s="33">
        <v>79.346</v>
      </c>
      <c r="BC56" s="33">
        <v>9.8077</v>
      </c>
      <c r="BD56" s="34">
        <v>32.981</v>
      </c>
      <c r="BE56" s="33">
        <v>0.0</v>
      </c>
      <c r="BF56" s="33">
        <v>27.8885</v>
      </c>
      <c r="BG56" s="33">
        <v>62.6505</v>
      </c>
      <c r="BH56" s="33">
        <v>8.08694</v>
      </c>
      <c r="BI56" s="33">
        <v>0.865196</v>
      </c>
      <c r="BJ56" s="33">
        <v>0.508845</v>
      </c>
      <c r="BK56" s="33">
        <v>45.7272</v>
      </c>
      <c r="BL56" s="33">
        <v>62298.0</v>
      </c>
    </row>
    <row r="57" ht="15.75" customHeight="1">
      <c r="A57" s="33" t="s">
        <v>111</v>
      </c>
      <c r="B57" s="33" t="s">
        <v>61</v>
      </c>
      <c r="C57" s="34">
        <v>27089.9</v>
      </c>
      <c r="D57" s="33">
        <v>212.378</v>
      </c>
      <c r="E57" s="33">
        <v>51883.6</v>
      </c>
      <c r="F57" s="33">
        <v>35.143</v>
      </c>
      <c r="G57" s="33">
        <v>85.9268</v>
      </c>
      <c r="H57" s="33">
        <v>881.566</v>
      </c>
      <c r="I57" s="33">
        <v>310.395</v>
      </c>
      <c r="J57" s="34">
        <v>9024270.0</v>
      </c>
      <c r="K57" s="34">
        <v>0.207039</v>
      </c>
      <c r="L57" s="33">
        <v>0.484502</v>
      </c>
      <c r="M57" s="33">
        <v>3.20881</v>
      </c>
      <c r="N57" s="33">
        <v>23.4111</v>
      </c>
      <c r="O57" s="33">
        <v>54.044</v>
      </c>
      <c r="P57" s="33">
        <v>18.7488</v>
      </c>
      <c r="Q57" s="33">
        <v>0.102773</v>
      </c>
      <c r="R57" s="34">
        <v>92.4196</v>
      </c>
      <c r="S57" s="33">
        <v>1.66884</v>
      </c>
      <c r="T57" s="33">
        <v>5.06852</v>
      </c>
      <c r="U57" s="33">
        <v>12.8483</v>
      </c>
      <c r="V57" s="33">
        <v>39.3736</v>
      </c>
      <c r="W57" s="33">
        <v>32.9511</v>
      </c>
      <c r="X57" s="33">
        <v>8.08972</v>
      </c>
      <c r="Y57" s="34">
        <v>6.84743</v>
      </c>
      <c r="Z57" s="33">
        <v>0.0</v>
      </c>
      <c r="AA57" s="33">
        <v>99.9886</v>
      </c>
      <c r="AB57" s="33">
        <v>0.0114192</v>
      </c>
      <c r="AC57" s="33">
        <v>0.0</v>
      </c>
      <c r="AD57" s="33">
        <v>0.0</v>
      </c>
      <c r="AE57" s="33">
        <v>0.0</v>
      </c>
      <c r="AF57" s="34">
        <v>0.545538</v>
      </c>
      <c r="AG57" s="33">
        <v>0.212072</v>
      </c>
      <c r="AH57" s="33">
        <v>1.70799</v>
      </c>
      <c r="AI57" s="33">
        <v>5.76183</v>
      </c>
      <c r="AJ57" s="33">
        <v>12.9347</v>
      </c>
      <c r="AK57" s="33">
        <v>36.7325</v>
      </c>
      <c r="AL57" s="33">
        <v>42.6509</v>
      </c>
      <c r="AM57" s="34">
        <v>0.166998</v>
      </c>
      <c r="AN57" s="33">
        <v>0.22186</v>
      </c>
      <c r="AO57" s="33">
        <v>9.71778</v>
      </c>
      <c r="AP57" s="33">
        <v>56.2626</v>
      </c>
      <c r="AQ57" s="33">
        <v>26.9625</v>
      </c>
      <c r="AR57" s="33">
        <v>4.54486</v>
      </c>
      <c r="AS57" s="33">
        <v>2.29038</v>
      </c>
      <c r="AT57" s="33">
        <v>333.123</v>
      </c>
      <c r="AU57" s="34">
        <v>351.65</v>
      </c>
      <c r="AV57" s="34">
        <v>18233.4</v>
      </c>
      <c r="AW57" s="34">
        <v>0.0851686</v>
      </c>
      <c r="AX57" s="33">
        <v>0.00489396</v>
      </c>
      <c r="AY57" s="33">
        <v>0.0130506</v>
      </c>
      <c r="AZ57" s="33">
        <v>0.107667</v>
      </c>
      <c r="BA57" s="33">
        <v>9.81403</v>
      </c>
      <c r="BB57" s="33">
        <v>80.8173</v>
      </c>
      <c r="BC57" s="33">
        <v>9.24307</v>
      </c>
      <c r="BD57" s="34">
        <v>31.4991</v>
      </c>
      <c r="BE57" s="33">
        <v>0.0</v>
      </c>
      <c r="BF57" s="33">
        <v>32.69</v>
      </c>
      <c r="BG57" s="33">
        <v>59.5481</v>
      </c>
      <c r="BH57" s="33">
        <v>6.41925</v>
      </c>
      <c r="BI57" s="33">
        <v>0.830343</v>
      </c>
      <c r="BJ57" s="33">
        <v>0.512235</v>
      </c>
      <c r="BK57" s="33">
        <v>42.3436</v>
      </c>
      <c r="BL57" s="33">
        <v>61300.0</v>
      </c>
    </row>
    <row r="58" ht="15.75" customHeight="1">
      <c r="A58" s="33" t="s">
        <v>112</v>
      </c>
      <c r="B58" s="33" t="s">
        <v>61</v>
      </c>
      <c r="C58" s="34">
        <v>22273.1</v>
      </c>
      <c r="D58" s="33">
        <v>218.628</v>
      </c>
      <c r="E58" s="33">
        <v>45580.1</v>
      </c>
      <c r="F58" s="33">
        <v>32.2972</v>
      </c>
      <c r="G58" s="33">
        <v>77.9452</v>
      </c>
      <c r="H58" s="33">
        <v>813.983</v>
      </c>
      <c r="I58" s="33">
        <v>286.348</v>
      </c>
      <c r="J58" s="34">
        <v>7266320.0</v>
      </c>
      <c r="K58" s="34">
        <v>0.199296</v>
      </c>
      <c r="L58" s="33">
        <v>0.435475</v>
      </c>
      <c r="M58" s="33">
        <v>4.0221</v>
      </c>
      <c r="N58" s="33">
        <v>25.4955</v>
      </c>
      <c r="O58" s="33">
        <v>52.6501</v>
      </c>
      <c r="P58" s="33">
        <v>17.3323</v>
      </c>
      <c r="Q58" s="33">
        <v>0.0645148</v>
      </c>
      <c r="R58" s="34">
        <v>94.8587</v>
      </c>
      <c r="S58" s="33">
        <v>1.51005</v>
      </c>
      <c r="T58" s="33">
        <v>4.62491</v>
      </c>
      <c r="U58" s="33">
        <v>11.4353</v>
      </c>
      <c r="V58" s="33">
        <v>37.4972</v>
      </c>
      <c r="W58" s="33">
        <v>33.5659</v>
      </c>
      <c r="X58" s="33">
        <v>11.3667</v>
      </c>
      <c r="Y58" s="34">
        <v>6.84833</v>
      </c>
      <c r="Z58" s="33">
        <v>0.0</v>
      </c>
      <c r="AA58" s="33">
        <v>100.0</v>
      </c>
      <c r="AB58" s="33">
        <v>0.0</v>
      </c>
      <c r="AC58" s="33">
        <v>0.0</v>
      </c>
      <c r="AD58" s="33">
        <v>0.0</v>
      </c>
      <c r="AE58" s="33">
        <v>0.0</v>
      </c>
      <c r="AF58" s="34">
        <v>0.538836</v>
      </c>
      <c r="AG58" s="33">
        <v>0.227818</v>
      </c>
      <c r="AH58" s="33">
        <v>2.15923</v>
      </c>
      <c r="AI58" s="33">
        <v>6.55632</v>
      </c>
      <c r="AJ58" s="33">
        <v>14.3949</v>
      </c>
      <c r="AK58" s="33">
        <v>32.4993</v>
      </c>
      <c r="AL58" s="33">
        <v>44.1624</v>
      </c>
      <c r="AM58" s="34">
        <v>0.143366</v>
      </c>
      <c r="AN58" s="33">
        <v>0.745953</v>
      </c>
      <c r="AO58" s="33">
        <v>12.6449</v>
      </c>
      <c r="AP58" s="33">
        <v>57.5029</v>
      </c>
      <c r="AQ58" s="33">
        <v>24.066</v>
      </c>
      <c r="AR58" s="33">
        <v>3.46162</v>
      </c>
      <c r="AS58" s="33">
        <v>1.5786</v>
      </c>
      <c r="AT58" s="33">
        <v>326.237</v>
      </c>
      <c r="AU58" s="34">
        <v>330.427</v>
      </c>
      <c r="AV58" s="34">
        <v>14721.1</v>
      </c>
      <c r="AW58" s="34">
        <v>0.0728156</v>
      </c>
      <c r="AX58" s="33">
        <v>0.0100804</v>
      </c>
      <c r="AY58" s="33">
        <v>0.310478</v>
      </c>
      <c r="AZ58" s="33">
        <v>0.413298</v>
      </c>
      <c r="BA58" s="33">
        <v>12.657</v>
      </c>
      <c r="BB58" s="33">
        <v>78.7988</v>
      </c>
      <c r="BC58" s="33">
        <v>7.81033</v>
      </c>
      <c r="BD58" s="34">
        <v>29.7228</v>
      </c>
      <c r="BE58" s="33">
        <v>0.0</v>
      </c>
      <c r="BF58" s="33">
        <v>37.9146</v>
      </c>
      <c r="BG58" s="33">
        <v>55.9182</v>
      </c>
      <c r="BH58" s="33">
        <v>5.13296</v>
      </c>
      <c r="BI58" s="33">
        <v>0.691518</v>
      </c>
      <c r="BJ58" s="33">
        <v>0.342735</v>
      </c>
      <c r="BK58" s="33">
        <v>41.397</v>
      </c>
      <c r="BL58" s="33">
        <v>49601.0</v>
      </c>
    </row>
    <row r="59" ht="15.75" customHeight="1">
      <c r="A59" s="33" t="s">
        <v>112</v>
      </c>
      <c r="B59" s="33" t="s">
        <v>61</v>
      </c>
      <c r="C59" s="34">
        <v>21591.5</v>
      </c>
      <c r="D59" s="33">
        <v>192.917</v>
      </c>
      <c r="E59" s="33">
        <v>37474.0</v>
      </c>
      <c r="F59" s="33">
        <v>38.3417</v>
      </c>
      <c r="G59" s="33">
        <v>77.0811</v>
      </c>
      <c r="H59" s="33">
        <v>767.882</v>
      </c>
      <c r="I59" s="33">
        <v>277.095</v>
      </c>
      <c r="J59" s="34">
        <v>8047060.0</v>
      </c>
      <c r="K59" s="34">
        <v>0.210357</v>
      </c>
      <c r="L59" s="33">
        <v>0.241078</v>
      </c>
      <c r="M59" s="33">
        <v>3.06808</v>
      </c>
      <c r="N59" s="33">
        <v>21.9443</v>
      </c>
      <c r="O59" s="33">
        <v>56.0208</v>
      </c>
      <c r="P59" s="33">
        <v>18.6743</v>
      </c>
      <c r="Q59" s="33">
        <v>0.0515124</v>
      </c>
      <c r="R59" s="34">
        <v>96.3141</v>
      </c>
      <c r="S59" s="33">
        <v>0.978736</v>
      </c>
      <c r="T59" s="33">
        <v>3.65738</v>
      </c>
      <c r="U59" s="33">
        <v>10.6095</v>
      </c>
      <c r="V59" s="33">
        <v>38.0388</v>
      </c>
      <c r="W59" s="33">
        <v>36.4811</v>
      </c>
      <c r="X59" s="33">
        <v>10.2345</v>
      </c>
      <c r="Y59" s="34">
        <v>6.89119</v>
      </c>
      <c r="Z59" s="33">
        <v>0.0</v>
      </c>
      <c r="AA59" s="33">
        <v>99.9567</v>
      </c>
      <c r="AB59" s="33">
        <v>0.0432704</v>
      </c>
      <c r="AC59" s="33">
        <v>0.0</v>
      </c>
      <c r="AD59" s="33">
        <v>0.0</v>
      </c>
      <c r="AE59" s="33">
        <v>0.0</v>
      </c>
      <c r="AF59" s="34">
        <v>0.55817</v>
      </c>
      <c r="AG59" s="33">
        <v>0.199868</v>
      </c>
      <c r="AH59" s="33">
        <v>2.22121</v>
      </c>
      <c r="AI59" s="33">
        <v>5.76115</v>
      </c>
      <c r="AJ59" s="33">
        <v>10.6651</v>
      </c>
      <c r="AK59" s="33">
        <v>29.7659</v>
      </c>
      <c r="AL59" s="33">
        <v>51.3867</v>
      </c>
      <c r="AM59" s="34">
        <v>0.141552</v>
      </c>
      <c r="AN59" s="33">
        <v>0.741779</v>
      </c>
      <c r="AO59" s="33">
        <v>11.9777</v>
      </c>
      <c r="AP59" s="33">
        <v>58.8849</v>
      </c>
      <c r="AQ59" s="33">
        <v>23.6936</v>
      </c>
      <c r="AR59" s="33">
        <v>3.43279</v>
      </c>
      <c r="AS59" s="33">
        <v>1.26927</v>
      </c>
      <c r="AT59" s="33">
        <v>372.695</v>
      </c>
      <c r="AU59" s="34">
        <v>385.777</v>
      </c>
      <c r="AV59" s="34">
        <v>14368.2</v>
      </c>
      <c r="AW59" s="34">
        <v>0.0704295</v>
      </c>
      <c r="AX59" s="33">
        <v>0.0020605</v>
      </c>
      <c r="AY59" s="33">
        <v>0.337921</v>
      </c>
      <c r="AZ59" s="33">
        <v>0.418281</v>
      </c>
      <c r="BA59" s="33">
        <v>11.9612</v>
      </c>
      <c r="BB59" s="33">
        <v>80.0173</v>
      </c>
      <c r="BC59" s="33">
        <v>7.26325</v>
      </c>
      <c r="BD59" s="34">
        <v>30.2893</v>
      </c>
      <c r="BE59" s="33">
        <v>0.0</v>
      </c>
      <c r="BF59" s="33">
        <v>33.959</v>
      </c>
      <c r="BG59" s="33">
        <v>60.492</v>
      </c>
      <c r="BH59" s="33">
        <v>4.84011</v>
      </c>
      <c r="BI59" s="33">
        <v>0.506882</v>
      </c>
      <c r="BJ59" s="33">
        <v>0.201929</v>
      </c>
      <c r="BK59" s="33">
        <v>41.7411</v>
      </c>
      <c r="BL59" s="33">
        <v>48532.0</v>
      </c>
    </row>
    <row r="60" ht="15.75" customHeight="1">
      <c r="A60" s="33" t="s">
        <v>112</v>
      </c>
      <c r="B60" s="33" t="s">
        <v>61</v>
      </c>
      <c r="C60" s="34">
        <v>22342.3</v>
      </c>
      <c r="D60" s="33">
        <v>179.888</v>
      </c>
      <c r="E60" s="33">
        <v>41647.0</v>
      </c>
      <c r="F60" s="33">
        <v>35.8859</v>
      </c>
      <c r="G60" s="33">
        <v>76.5723</v>
      </c>
      <c r="H60" s="33">
        <v>801.132</v>
      </c>
      <c r="I60" s="33">
        <v>278.025</v>
      </c>
      <c r="J60" s="34">
        <v>8308020.0</v>
      </c>
      <c r="K60" s="34">
        <v>0.210803</v>
      </c>
      <c r="L60" s="33">
        <v>0.380156</v>
      </c>
      <c r="M60" s="33">
        <v>3.38892</v>
      </c>
      <c r="N60" s="33">
        <v>21.7376</v>
      </c>
      <c r="O60" s="33">
        <v>54.666</v>
      </c>
      <c r="P60" s="33">
        <v>19.7299</v>
      </c>
      <c r="Q60" s="33">
        <v>0.0974268</v>
      </c>
      <c r="R60" s="34">
        <v>95.3002</v>
      </c>
      <c r="S60" s="33">
        <v>1.47859</v>
      </c>
      <c r="T60" s="33">
        <v>4.34027</v>
      </c>
      <c r="U60" s="33">
        <v>10.5699</v>
      </c>
      <c r="V60" s="33">
        <v>37.2763</v>
      </c>
      <c r="W60" s="33">
        <v>36.3173</v>
      </c>
      <c r="X60" s="33">
        <v>10.0178</v>
      </c>
      <c r="Y60" s="34">
        <v>6.38302</v>
      </c>
      <c r="Z60" s="33">
        <v>0.0</v>
      </c>
      <c r="AA60" s="33">
        <v>99.9981</v>
      </c>
      <c r="AB60" s="33">
        <v>0.00191033</v>
      </c>
      <c r="AC60" s="33">
        <v>0.0</v>
      </c>
      <c r="AD60" s="33">
        <v>0.0</v>
      </c>
      <c r="AE60" s="33">
        <v>0.0</v>
      </c>
      <c r="AF60" s="34">
        <v>0.555432</v>
      </c>
      <c r="AG60" s="33">
        <v>0.263625</v>
      </c>
      <c r="AH60" s="33">
        <v>2.38409</v>
      </c>
      <c r="AI60" s="33">
        <v>5.91629</v>
      </c>
      <c r="AJ60" s="33">
        <v>11.5613</v>
      </c>
      <c r="AK60" s="33">
        <v>28.9186</v>
      </c>
      <c r="AL60" s="33">
        <v>50.9561</v>
      </c>
      <c r="AM60" s="34">
        <v>0.150468</v>
      </c>
      <c r="AN60" s="33">
        <v>0.294191</v>
      </c>
      <c r="AO60" s="33">
        <v>12.0542</v>
      </c>
      <c r="AP60" s="33">
        <v>57.6423</v>
      </c>
      <c r="AQ60" s="33">
        <v>24.1676</v>
      </c>
      <c r="AR60" s="33">
        <v>3.99259</v>
      </c>
      <c r="AS60" s="33">
        <v>1.8492</v>
      </c>
      <c r="AT60" s="33">
        <v>371.852</v>
      </c>
      <c r="AU60" s="34">
        <v>376.777</v>
      </c>
      <c r="AV60" s="34">
        <v>14945.4</v>
      </c>
      <c r="AW60" s="34">
        <v>0.075966</v>
      </c>
      <c r="AX60" s="33">
        <v>0.00382066</v>
      </c>
      <c r="AY60" s="33">
        <v>0.022924</v>
      </c>
      <c r="AZ60" s="33">
        <v>0.154737</v>
      </c>
      <c r="BA60" s="33">
        <v>12.1669</v>
      </c>
      <c r="BB60" s="33">
        <v>79.1889</v>
      </c>
      <c r="BC60" s="33">
        <v>8.46276</v>
      </c>
      <c r="BD60" s="34">
        <v>30.9395</v>
      </c>
      <c r="BE60" s="33">
        <v>0.0</v>
      </c>
      <c r="BF60" s="33">
        <v>33.8988</v>
      </c>
      <c r="BG60" s="33">
        <v>58.9432</v>
      </c>
      <c r="BH60" s="33">
        <v>5.9927</v>
      </c>
      <c r="BI60" s="33">
        <v>0.735477</v>
      </c>
      <c r="BJ60" s="33">
        <v>0.429824</v>
      </c>
      <c r="BK60" s="33">
        <v>42.0119</v>
      </c>
      <c r="BL60" s="33">
        <v>52347.0</v>
      </c>
    </row>
    <row r="61" ht="15.75" customHeight="1">
      <c r="A61" s="33" t="s">
        <v>112</v>
      </c>
      <c r="B61" s="33" t="s">
        <v>61</v>
      </c>
      <c r="C61" s="34">
        <v>24386.9</v>
      </c>
      <c r="D61" s="33">
        <v>195.722</v>
      </c>
      <c r="E61" s="33">
        <v>45134.2</v>
      </c>
      <c r="F61" s="33">
        <v>35.7277</v>
      </c>
      <c r="G61" s="33">
        <v>81.9173</v>
      </c>
      <c r="H61" s="33">
        <v>811.807</v>
      </c>
      <c r="I61" s="33">
        <v>278.706</v>
      </c>
      <c r="J61" s="34">
        <v>8961760.0</v>
      </c>
      <c r="K61" s="34">
        <v>0.205082</v>
      </c>
      <c r="L61" s="33">
        <v>0.425303</v>
      </c>
      <c r="M61" s="33">
        <v>3.17093</v>
      </c>
      <c r="N61" s="33">
        <v>23.7685</v>
      </c>
      <c r="O61" s="33">
        <v>54.9592</v>
      </c>
      <c r="P61" s="33">
        <v>17.5971</v>
      </c>
      <c r="Q61" s="33">
        <v>0.0789592</v>
      </c>
      <c r="R61" s="34">
        <v>95.0064</v>
      </c>
      <c r="S61" s="33">
        <v>1.42665</v>
      </c>
      <c r="T61" s="33">
        <v>4.89367</v>
      </c>
      <c r="U61" s="33">
        <v>11.4204</v>
      </c>
      <c r="V61" s="33">
        <v>36.341</v>
      </c>
      <c r="W61" s="33">
        <v>35.3791</v>
      </c>
      <c r="X61" s="33">
        <v>10.5393</v>
      </c>
      <c r="Y61" s="34">
        <v>6.71378</v>
      </c>
      <c r="Z61" s="33">
        <v>0.0</v>
      </c>
      <c r="AA61" s="33">
        <v>99.9964</v>
      </c>
      <c r="AB61" s="33">
        <v>0.00358905</v>
      </c>
      <c r="AC61" s="33">
        <v>0.0</v>
      </c>
      <c r="AD61" s="33">
        <v>0.0</v>
      </c>
      <c r="AE61" s="33">
        <v>0.0</v>
      </c>
      <c r="AF61" s="34">
        <v>0.558021</v>
      </c>
      <c r="AG61" s="33">
        <v>0.231494</v>
      </c>
      <c r="AH61" s="33">
        <v>2.33827</v>
      </c>
      <c r="AI61" s="33">
        <v>5.95245</v>
      </c>
      <c r="AJ61" s="33">
        <v>11.3755</v>
      </c>
      <c r="AK61" s="33">
        <v>28.5437</v>
      </c>
      <c r="AL61" s="33">
        <v>51.5585</v>
      </c>
      <c r="AM61" s="34">
        <v>0.146613</v>
      </c>
      <c r="AN61" s="33">
        <v>0.4917</v>
      </c>
      <c r="AO61" s="33">
        <v>12.6083</v>
      </c>
      <c r="AP61" s="33">
        <v>57.8484</v>
      </c>
      <c r="AQ61" s="33">
        <v>23.5801</v>
      </c>
      <c r="AR61" s="33">
        <v>3.56931</v>
      </c>
      <c r="AS61" s="33">
        <v>1.9022</v>
      </c>
      <c r="AT61" s="33">
        <v>367.483</v>
      </c>
      <c r="AU61" s="34">
        <v>383.977</v>
      </c>
      <c r="AV61" s="34">
        <v>16125.4</v>
      </c>
      <c r="AW61" s="34">
        <v>0.0755437</v>
      </c>
      <c r="AX61" s="33">
        <v>0.00538358</v>
      </c>
      <c r="AY61" s="33">
        <v>0.0969044</v>
      </c>
      <c r="AZ61" s="33">
        <v>0.247645</v>
      </c>
      <c r="BA61" s="33">
        <v>12.7501</v>
      </c>
      <c r="BB61" s="33">
        <v>78.2109</v>
      </c>
      <c r="BC61" s="33">
        <v>8.6891</v>
      </c>
      <c r="BD61" s="34">
        <v>30.3656</v>
      </c>
      <c r="BE61" s="33">
        <v>0.0</v>
      </c>
      <c r="BF61" s="33">
        <v>35.3809</v>
      </c>
      <c r="BG61" s="33">
        <v>58.3795</v>
      </c>
      <c r="BH61" s="33">
        <v>5.05877</v>
      </c>
      <c r="BI61" s="33">
        <v>0.771646</v>
      </c>
      <c r="BJ61" s="33">
        <v>0.409152</v>
      </c>
      <c r="BK61" s="33">
        <v>41.4255</v>
      </c>
      <c r="BL61" s="33">
        <v>55725.0</v>
      </c>
    </row>
    <row r="62" ht="15.75" customHeight="1">
      <c r="A62" s="33" t="s">
        <v>113</v>
      </c>
      <c r="B62" s="33" t="s">
        <v>61</v>
      </c>
      <c r="C62" s="34">
        <v>19646.2</v>
      </c>
      <c r="D62" s="33">
        <v>189.533</v>
      </c>
      <c r="E62" s="33">
        <v>31080.2</v>
      </c>
      <c r="F62" s="33">
        <v>42.1003</v>
      </c>
      <c r="G62" s="33">
        <v>88.4581</v>
      </c>
      <c r="H62" s="33">
        <v>700.215</v>
      </c>
      <c r="I62" s="33">
        <v>240.726</v>
      </c>
      <c r="J62" s="34">
        <v>5896260.0</v>
      </c>
      <c r="K62" s="34">
        <v>0.211043</v>
      </c>
      <c r="L62" s="33">
        <v>0.657234</v>
      </c>
      <c r="M62" s="33">
        <v>3.53035</v>
      </c>
      <c r="N62" s="33">
        <v>22.225</v>
      </c>
      <c r="O62" s="33">
        <v>52.1931</v>
      </c>
      <c r="P62" s="33">
        <v>21.2278</v>
      </c>
      <c r="Q62" s="33">
        <v>0.166591</v>
      </c>
      <c r="R62" s="34">
        <v>94.04</v>
      </c>
      <c r="S62" s="33">
        <v>1.61798</v>
      </c>
      <c r="T62" s="33">
        <v>4.7079</v>
      </c>
      <c r="U62" s="33">
        <v>11.3031</v>
      </c>
      <c r="V62" s="33">
        <v>38.7586</v>
      </c>
      <c r="W62" s="33">
        <v>34.1739</v>
      </c>
      <c r="X62" s="33">
        <v>9.43861</v>
      </c>
      <c r="Y62" s="34">
        <v>6.79854</v>
      </c>
      <c r="Z62" s="33">
        <v>0.0</v>
      </c>
      <c r="AA62" s="33">
        <v>100.0</v>
      </c>
      <c r="AB62" s="33">
        <v>0.0</v>
      </c>
      <c r="AC62" s="33">
        <v>0.0</v>
      </c>
      <c r="AD62" s="33">
        <v>0.0</v>
      </c>
      <c r="AE62" s="33">
        <v>0.0</v>
      </c>
      <c r="AF62" s="34">
        <v>0.553739</v>
      </c>
      <c r="AG62" s="33">
        <v>0.118667</v>
      </c>
      <c r="AH62" s="33">
        <v>1.56778</v>
      </c>
      <c r="AI62" s="33">
        <v>5.31721</v>
      </c>
      <c r="AJ62" s="33">
        <v>13.2748</v>
      </c>
      <c r="AK62" s="33">
        <v>32.1543</v>
      </c>
      <c r="AL62" s="33">
        <v>47.5673</v>
      </c>
      <c r="AM62" s="34">
        <v>0.164004</v>
      </c>
      <c r="AN62" s="33">
        <v>0.634413</v>
      </c>
      <c r="AO62" s="33">
        <v>10.7143</v>
      </c>
      <c r="AP62" s="33">
        <v>55.9973</v>
      </c>
      <c r="AQ62" s="33">
        <v>25.5956</v>
      </c>
      <c r="AR62" s="33">
        <v>4.17389</v>
      </c>
      <c r="AS62" s="33">
        <v>2.88453</v>
      </c>
      <c r="AT62" s="33">
        <v>300.122</v>
      </c>
      <c r="AU62" s="34">
        <v>314.065</v>
      </c>
      <c r="AV62" s="34">
        <v>13084.9</v>
      </c>
      <c r="AW62" s="34">
        <v>0.0775009</v>
      </c>
      <c r="AX62" s="33">
        <v>0.0</v>
      </c>
      <c r="AY62" s="33">
        <v>0.264719</v>
      </c>
      <c r="AZ62" s="33">
        <v>0.292104</v>
      </c>
      <c r="BA62" s="33">
        <v>10.7919</v>
      </c>
      <c r="BB62" s="33">
        <v>80.7006</v>
      </c>
      <c r="BC62" s="33">
        <v>7.95071</v>
      </c>
      <c r="BD62" s="34">
        <v>32.1488</v>
      </c>
      <c r="BE62" s="33">
        <v>0.0</v>
      </c>
      <c r="BF62" s="33">
        <v>31.8827</v>
      </c>
      <c r="BG62" s="33">
        <v>59.4044</v>
      </c>
      <c r="BH62" s="33">
        <v>6.65221</v>
      </c>
      <c r="BI62" s="33">
        <v>1.22319</v>
      </c>
      <c r="BJ62" s="33">
        <v>0.837517</v>
      </c>
      <c r="BK62" s="33">
        <v>41.7793</v>
      </c>
      <c r="BL62" s="33">
        <v>43820.0</v>
      </c>
    </row>
    <row r="63" ht="15.75" customHeight="1">
      <c r="A63" s="33" t="s">
        <v>113</v>
      </c>
      <c r="B63" s="33" t="s">
        <v>61</v>
      </c>
      <c r="C63" s="34">
        <v>24579.1</v>
      </c>
      <c r="D63" s="33">
        <v>158.744</v>
      </c>
      <c r="E63" s="33">
        <v>44453.9</v>
      </c>
      <c r="F63" s="33">
        <v>36.6616</v>
      </c>
      <c r="G63" s="33">
        <v>76.7208</v>
      </c>
      <c r="H63" s="33">
        <v>811.135</v>
      </c>
      <c r="I63" s="33">
        <v>296.672</v>
      </c>
      <c r="J63" s="34">
        <v>7766150.0</v>
      </c>
      <c r="K63" s="34">
        <v>0.192465</v>
      </c>
      <c r="L63" s="33">
        <v>0.480822</v>
      </c>
      <c r="M63" s="33">
        <v>4.5761</v>
      </c>
      <c r="N63" s="33">
        <v>27.2595</v>
      </c>
      <c r="O63" s="33">
        <v>51.7538</v>
      </c>
      <c r="P63" s="33">
        <v>15.7916</v>
      </c>
      <c r="Q63" s="33">
        <v>0.138167</v>
      </c>
      <c r="R63" s="34">
        <v>93.9232</v>
      </c>
      <c r="S63" s="33">
        <v>1.9325</v>
      </c>
      <c r="T63" s="33">
        <v>5.10482</v>
      </c>
      <c r="U63" s="33">
        <v>12.4166</v>
      </c>
      <c r="V63" s="33">
        <v>36.7599</v>
      </c>
      <c r="W63" s="33">
        <v>31.8946</v>
      </c>
      <c r="X63" s="33">
        <v>11.8916</v>
      </c>
      <c r="Y63" s="34">
        <v>6.84568</v>
      </c>
      <c r="Z63" s="33">
        <v>0.0</v>
      </c>
      <c r="AA63" s="33">
        <v>100.0</v>
      </c>
      <c r="AB63" s="33">
        <v>0.0</v>
      </c>
      <c r="AC63" s="33">
        <v>0.0</v>
      </c>
      <c r="AD63" s="33">
        <v>0.0</v>
      </c>
      <c r="AE63" s="33">
        <v>0.0</v>
      </c>
      <c r="AF63" s="34">
        <v>0.52991</v>
      </c>
      <c r="AG63" s="33">
        <v>0.278177</v>
      </c>
      <c r="AH63" s="33">
        <v>2.86467</v>
      </c>
      <c r="AI63" s="33">
        <v>6.77573</v>
      </c>
      <c r="AJ63" s="33">
        <v>15.3771</v>
      </c>
      <c r="AK63" s="33">
        <v>33.3628</v>
      </c>
      <c r="AL63" s="33">
        <v>41.3415</v>
      </c>
      <c r="AM63" s="34">
        <v>0.14737</v>
      </c>
      <c r="AN63" s="33">
        <v>0.963487</v>
      </c>
      <c r="AO63" s="33">
        <v>12.7482</v>
      </c>
      <c r="AP63" s="33">
        <v>56.9213</v>
      </c>
      <c r="AQ63" s="33">
        <v>23.3134</v>
      </c>
      <c r="AR63" s="33">
        <v>3.8171</v>
      </c>
      <c r="AS63" s="33">
        <v>2.23647</v>
      </c>
      <c r="AT63" s="33">
        <v>315.965</v>
      </c>
      <c r="AU63" s="34">
        <v>330.94</v>
      </c>
      <c r="AV63" s="34">
        <v>16297.5</v>
      </c>
      <c r="AW63" s="34">
        <v>0.0761321</v>
      </c>
      <c r="AX63" s="33">
        <v>0.0184223</v>
      </c>
      <c r="AY63" s="33">
        <v>0.39608</v>
      </c>
      <c r="AZ63" s="33">
        <v>0.491876</v>
      </c>
      <c r="BA63" s="33">
        <v>12.8054</v>
      </c>
      <c r="BB63" s="33">
        <v>77.5543</v>
      </c>
      <c r="BC63" s="33">
        <v>8.73402</v>
      </c>
      <c r="BD63" s="34">
        <v>29.665</v>
      </c>
      <c r="BE63" s="33">
        <v>0.0</v>
      </c>
      <c r="BF63" s="33">
        <v>39.4293</v>
      </c>
      <c r="BG63" s="33">
        <v>53.8521</v>
      </c>
      <c r="BH63" s="33">
        <v>5.25036</v>
      </c>
      <c r="BI63" s="33">
        <v>0.812424</v>
      </c>
      <c r="BJ63" s="33">
        <v>0.655834</v>
      </c>
      <c r="BK63" s="33">
        <v>41.5659</v>
      </c>
      <c r="BL63" s="33">
        <v>54282.0</v>
      </c>
    </row>
    <row r="64" ht="15.75" customHeight="1">
      <c r="A64" s="33" t="s">
        <v>113</v>
      </c>
      <c r="B64" s="33" t="s">
        <v>61</v>
      </c>
      <c r="C64" s="34">
        <v>22749.1</v>
      </c>
      <c r="D64" s="33">
        <v>217.061</v>
      </c>
      <c r="E64" s="33">
        <v>42954.6</v>
      </c>
      <c r="F64" s="33">
        <v>34.0498</v>
      </c>
      <c r="G64" s="33">
        <v>75.0058</v>
      </c>
      <c r="H64" s="33">
        <v>801.105</v>
      </c>
      <c r="I64" s="33">
        <v>287.69</v>
      </c>
      <c r="J64" s="34">
        <v>8618120.0</v>
      </c>
      <c r="K64" s="34">
        <v>0.200729</v>
      </c>
      <c r="L64" s="33">
        <v>0.324155</v>
      </c>
      <c r="M64" s="33">
        <v>3.52275</v>
      </c>
      <c r="N64" s="33">
        <v>23.9387</v>
      </c>
      <c r="O64" s="33">
        <v>56.7682</v>
      </c>
      <c r="P64" s="33">
        <v>15.3583</v>
      </c>
      <c r="Q64" s="33">
        <v>0.0878735</v>
      </c>
      <c r="R64" s="34">
        <v>95.1923</v>
      </c>
      <c r="S64" s="33">
        <v>1.43917</v>
      </c>
      <c r="T64" s="33">
        <v>4.38977</v>
      </c>
      <c r="U64" s="33">
        <v>11.0701</v>
      </c>
      <c r="V64" s="33">
        <v>37.2974</v>
      </c>
      <c r="W64" s="33">
        <v>35.2509</v>
      </c>
      <c r="X64" s="33">
        <v>10.5526</v>
      </c>
      <c r="Y64" s="34">
        <v>6.94824</v>
      </c>
      <c r="Z64" s="33">
        <v>0.0</v>
      </c>
      <c r="AA64" s="33">
        <v>99.9844</v>
      </c>
      <c r="AB64" s="33">
        <v>0.0156219</v>
      </c>
      <c r="AC64" s="33">
        <v>0.0</v>
      </c>
      <c r="AD64" s="33">
        <v>0.0</v>
      </c>
      <c r="AE64" s="33">
        <v>0.0</v>
      </c>
      <c r="AF64" s="34">
        <v>0.545187</v>
      </c>
      <c r="AG64" s="33">
        <v>0.19918</v>
      </c>
      <c r="AH64" s="33">
        <v>2.66159</v>
      </c>
      <c r="AI64" s="33">
        <v>6.49678</v>
      </c>
      <c r="AJ64" s="33">
        <v>11.4509</v>
      </c>
      <c r="AK64" s="33">
        <v>32.3374</v>
      </c>
      <c r="AL64" s="33">
        <v>46.8541</v>
      </c>
      <c r="AM64" s="34">
        <v>0.141989</v>
      </c>
      <c r="AN64" s="33">
        <v>0.337825</v>
      </c>
      <c r="AO64" s="33">
        <v>12.4702</v>
      </c>
      <c r="AP64" s="33">
        <v>59.588</v>
      </c>
      <c r="AQ64" s="33">
        <v>22.5971</v>
      </c>
      <c r="AR64" s="33">
        <v>3.57743</v>
      </c>
      <c r="AS64" s="33">
        <v>1.42941</v>
      </c>
      <c r="AT64" s="33">
        <v>378.833</v>
      </c>
      <c r="AU64" s="34">
        <v>386.665</v>
      </c>
      <c r="AV64" s="34">
        <v>14625.9</v>
      </c>
      <c r="AW64" s="34">
        <v>0.0753816</v>
      </c>
      <c r="AX64" s="33">
        <v>0.00195274</v>
      </c>
      <c r="AY64" s="33">
        <v>0.0195274</v>
      </c>
      <c r="AZ64" s="33">
        <v>0.201133</v>
      </c>
      <c r="BA64" s="33">
        <v>12.5854</v>
      </c>
      <c r="BB64" s="33">
        <v>78.7873</v>
      </c>
      <c r="BC64" s="33">
        <v>8.40461</v>
      </c>
      <c r="BD64" s="34">
        <v>29.5011</v>
      </c>
      <c r="BE64" s="33">
        <v>0.0</v>
      </c>
      <c r="BF64" s="33">
        <v>37.522</v>
      </c>
      <c r="BG64" s="33">
        <v>56.9908</v>
      </c>
      <c r="BH64" s="33">
        <v>4.56747</v>
      </c>
      <c r="BI64" s="33">
        <v>0.572154</v>
      </c>
      <c r="BJ64" s="33">
        <v>0.347588</v>
      </c>
      <c r="BK64" s="33">
        <v>40.0343</v>
      </c>
      <c r="BL64" s="33">
        <v>51210.0</v>
      </c>
    </row>
    <row r="65" ht="15.75" customHeight="1">
      <c r="A65" s="33" t="s">
        <v>113</v>
      </c>
      <c r="B65" s="33" t="s">
        <v>61</v>
      </c>
      <c r="C65" s="34">
        <v>21295.7</v>
      </c>
      <c r="D65" s="33">
        <v>165.759</v>
      </c>
      <c r="E65" s="33">
        <v>39033.0</v>
      </c>
      <c r="F65" s="33">
        <v>36.0807</v>
      </c>
      <c r="G65" s="33">
        <v>70.957</v>
      </c>
      <c r="H65" s="33">
        <v>780.151</v>
      </c>
      <c r="I65" s="33">
        <v>286.818</v>
      </c>
      <c r="J65" s="34">
        <v>6658670.0</v>
      </c>
      <c r="K65" s="34">
        <v>0.224337</v>
      </c>
      <c r="L65" s="33">
        <v>0.588996</v>
      </c>
      <c r="M65" s="33">
        <v>3.17591</v>
      </c>
      <c r="N65" s="33">
        <v>20.492</v>
      </c>
      <c r="O65" s="33">
        <v>49.1049</v>
      </c>
      <c r="P65" s="33">
        <v>26.4582</v>
      </c>
      <c r="Q65" s="33">
        <v>0.180089</v>
      </c>
      <c r="R65" s="34">
        <v>94.6892</v>
      </c>
      <c r="S65" s="33">
        <v>1.51698</v>
      </c>
      <c r="T65" s="33">
        <v>4.46832</v>
      </c>
      <c r="U65" s="33">
        <v>10.3858</v>
      </c>
      <c r="V65" s="33">
        <v>38.2593</v>
      </c>
      <c r="W65" s="33">
        <v>36.5368</v>
      </c>
      <c r="X65" s="33">
        <v>8.83281</v>
      </c>
      <c r="Y65" s="34">
        <v>6.54582</v>
      </c>
      <c r="Z65" s="33">
        <v>0.0</v>
      </c>
      <c r="AA65" s="33">
        <v>100.0</v>
      </c>
      <c r="AB65" s="33">
        <v>0.0</v>
      </c>
      <c r="AC65" s="33">
        <v>0.0</v>
      </c>
      <c r="AD65" s="33">
        <v>0.0</v>
      </c>
      <c r="AE65" s="33">
        <v>0.0</v>
      </c>
      <c r="AF65" s="34">
        <v>0.554468</v>
      </c>
      <c r="AG65" s="33">
        <v>0.14619</v>
      </c>
      <c r="AH65" s="33">
        <v>2.07208</v>
      </c>
      <c r="AI65" s="33">
        <v>5.62088</v>
      </c>
      <c r="AJ65" s="33">
        <v>12.7333</v>
      </c>
      <c r="AK65" s="33">
        <v>30.5917</v>
      </c>
      <c r="AL65" s="33">
        <v>48.8358</v>
      </c>
      <c r="AM65" s="34">
        <v>0.168412</v>
      </c>
      <c r="AN65" s="33">
        <v>0.309329</v>
      </c>
      <c r="AO65" s="33">
        <v>10.4536</v>
      </c>
      <c r="AP65" s="33">
        <v>55.23</v>
      </c>
      <c r="AQ65" s="33">
        <v>26.0789</v>
      </c>
      <c r="AR65" s="33">
        <v>5.34545</v>
      </c>
      <c r="AS65" s="33">
        <v>2.58268</v>
      </c>
      <c r="AT65" s="33">
        <v>312.677</v>
      </c>
      <c r="AU65" s="34">
        <v>316.765</v>
      </c>
      <c r="AV65" s="34">
        <v>14083.4</v>
      </c>
      <c r="AW65" s="34">
        <v>0.0820168</v>
      </c>
      <c r="AX65" s="33">
        <v>0.00635607</v>
      </c>
      <c r="AY65" s="33">
        <v>0.0254243</v>
      </c>
      <c r="AZ65" s="33">
        <v>0.116528</v>
      </c>
      <c r="BA65" s="33">
        <v>10.6146</v>
      </c>
      <c r="BB65" s="33">
        <v>80.7623</v>
      </c>
      <c r="BC65" s="33">
        <v>8.47476</v>
      </c>
      <c r="BD65" s="34">
        <v>33.261</v>
      </c>
      <c r="BE65" s="33">
        <v>0.0</v>
      </c>
      <c r="BF65" s="33">
        <v>29.8481</v>
      </c>
      <c r="BG65" s="33">
        <v>58.8868</v>
      </c>
      <c r="BH65" s="33">
        <v>9.56164</v>
      </c>
      <c r="BI65" s="33">
        <v>1.16952</v>
      </c>
      <c r="BJ65" s="33">
        <v>0.53391</v>
      </c>
      <c r="BK65" s="33">
        <v>41.4238</v>
      </c>
      <c r="BL65" s="33">
        <v>47199.0</v>
      </c>
    </row>
    <row r="66" ht="15.75" customHeight="1">
      <c r="A66" s="33" t="s">
        <v>94</v>
      </c>
      <c r="B66" s="33" t="s">
        <v>62</v>
      </c>
      <c r="C66" s="34">
        <v>29036.2</v>
      </c>
      <c r="D66" s="33">
        <v>209.997</v>
      </c>
      <c r="E66" s="33">
        <v>48451.0</v>
      </c>
      <c r="F66" s="33">
        <v>38.1054</v>
      </c>
      <c r="G66" s="33">
        <v>73.5844</v>
      </c>
      <c r="H66" s="33">
        <v>854.456</v>
      </c>
      <c r="I66" s="33">
        <v>322.705</v>
      </c>
      <c r="J66" s="34">
        <v>1.08051E7</v>
      </c>
      <c r="K66" s="34">
        <v>0.183731</v>
      </c>
      <c r="L66" s="33">
        <v>0.728721</v>
      </c>
      <c r="M66" s="33">
        <v>4.32755</v>
      </c>
      <c r="N66" s="33">
        <v>28.1206</v>
      </c>
      <c r="O66" s="33">
        <v>54.6603</v>
      </c>
      <c r="P66" s="33">
        <v>12.1258</v>
      </c>
      <c r="Q66" s="33">
        <v>0.0370536</v>
      </c>
      <c r="R66" s="34">
        <v>93.7692</v>
      </c>
      <c r="S66" s="33">
        <v>2.02869</v>
      </c>
      <c r="T66" s="33">
        <v>5.50555</v>
      </c>
      <c r="U66" s="33">
        <v>12.0069</v>
      </c>
      <c r="V66" s="33">
        <v>36.839</v>
      </c>
      <c r="W66" s="33">
        <v>31.9989</v>
      </c>
      <c r="X66" s="33">
        <v>11.6209</v>
      </c>
      <c r="Y66" s="34">
        <v>6.60137</v>
      </c>
      <c r="Z66" s="33">
        <v>0.0</v>
      </c>
      <c r="AA66" s="33">
        <v>99.9985</v>
      </c>
      <c r="AB66" s="33">
        <v>0.0015439</v>
      </c>
      <c r="AC66" s="33">
        <v>0.0</v>
      </c>
      <c r="AD66" s="33">
        <v>0.0</v>
      </c>
      <c r="AE66" s="33">
        <v>0.0</v>
      </c>
      <c r="AF66" s="34">
        <v>0.546394</v>
      </c>
      <c r="AG66" s="33">
        <v>0.168285</v>
      </c>
      <c r="AH66" s="33">
        <v>1.86503</v>
      </c>
      <c r="AI66" s="33">
        <v>6.28522</v>
      </c>
      <c r="AJ66" s="33">
        <v>12.3419</v>
      </c>
      <c r="AK66" s="33">
        <v>34.6081</v>
      </c>
      <c r="AL66" s="33">
        <v>44.7314</v>
      </c>
      <c r="AM66" s="34">
        <v>0.144205</v>
      </c>
      <c r="AN66" s="33">
        <v>0.93406</v>
      </c>
      <c r="AO66" s="33">
        <v>12.7217</v>
      </c>
      <c r="AP66" s="33">
        <v>58.591</v>
      </c>
      <c r="AQ66" s="33">
        <v>21.9697</v>
      </c>
      <c r="AR66" s="33">
        <v>3.30858</v>
      </c>
      <c r="AS66" s="33">
        <v>2.47487</v>
      </c>
      <c r="AT66" s="33">
        <v>372.125</v>
      </c>
      <c r="AU66" s="34">
        <v>376.806</v>
      </c>
      <c r="AV66" s="34">
        <v>18462.4</v>
      </c>
      <c r="AW66" s="34">
        <v>0.0736002</v>
      </c>
      <c r="AX66" s="33">
        <v>0.0061756</v>
      </c>
      <c r="AY66" s="33">
        <v>0.416853</v>
      </c>
      <c r="AZ66" s="33">
        <v>0.436924</v>
      </c>
      <c r="BA66" s="33">
        <v>12.7958</v>
      </c>
      <c r="BB66" s="33">
        <v>77.9624</v>
      </c>
      <c r="BC66" s="33">
        <v>8.38184</v>
      </c>
      <c r="BD66" s="34">
        <v>28.9348</v>
      </c>
      <c r="BE66" s="33">
        <v>0.0</v>
      </c>
      <c r="BF66" s="33">
        <v>41.6791</v>
      </c>
      <c r="BG66" s="33">
        <v>52.5621</v>
      </c>
      <c r="BH66" s="33">
        <v>4.17934</v>
      </c>
      <c r="BI66" s="33">
        <v>1.24438</v>
      </c>
      <c r="BJ66" s="33">
        <v>0.335026</v>
      </c>
      <c r="BK66" s="33">
        <v>39.5176</v>
      </c>
      <c r="BL66" s="33">
        <v>64771.0</v>
      </c>
    </row>
    <row r="67" ht="15.75" customHeight="1">
      <c r="A67" s="33" t="s">
        <v>94</v>
      </c>
      <c r="B67" s="33" t="s">
        <v>62</v>
      </c>
      <c r="C67" s="34">
        <v>25868.6</v>
      </c>
      <c r="D67" s="33">
        <v>227.627</v>
      </c>
      <c r="E67" s="33">
        <v>46505.2</v>
      </c>
      <c r="F67" s="33">
        <v>36.5481</v>
      </c>
      <c r="G67" s="33">
        <v>68.4636</v>
      </c>
      <c r="H67" s="33">
        <v>856.344</v>
      </c>
      <c r="I67" s="33">
        <v>312.37</v>
      </c>
      <c r="J67" s="34">
        <v>1.03633E7</v>
      </c>
      <c r="K67" s="34">
        <v>0.200294</v>
      </c>
      <c r="L67" s="33">
        <v>0.644425</v>
      </c>
      <c r="M67" s="33">
        <v>3.63832</v>
      </c>
      <c r="N67" s="33">
        <v>24.0216</v>
      </c>
      <c r="O67" s="33">
        <v>54.813</v>
      </c>
      <c r="P67" s="33">
        <v>16.7769</v>
      </c>
      <c r="Q67" s="33">
        <v>0.105726</v>
      </c>
      <c r="R67" s="34">
        <v>94.671</v>
      </c>
      <c r="S67" s="33">
        <v>1.73189</v>
      </c>
      <c r="T67" s="33">
        <v>4.90367</v>
      </c>
      <c r="U67" s="33">
        <v>11.4637</v>
      </c>
      <c r="V67" s="33">
        <v>36.4436</v>
      </c>
      <c r="W67" s="33">
        <v>34.8224</v>
      </c>
      <c r="X67" s="33">
        <v>10.6347</v>
      </c>
      <c r="Y67" s="34">
        <v>6.45894</v>
      </c>
      <c r="Z67" s="33">
        <v>0.0</v>
      </c>
      <c r="AA67" s="33">
        <v>99.9883</v>
      </c>
      <c r="AB67" s="33">
        <v>0.0117473</v>
      </c>
      <c r="AC67" s="33">
        <v>0.0</v>
      </c>
      <c r="AD67" s="33">
        <v>0.0</v>
      </c>
      <c r="AE67" s="33">
        <v>0.0</v>
      </c>
      <c r="AF67" s="34">
        <v>0.561317</v>
      </c>
      <c r="AG67" s="33">
        <v>0.203061</v>
      </c>
      <c r="AH67" s="33">
        <v>2.60287</v>
      </c>
      <c r="AI67" s="33">
        <v>5.92569</v>
      </c>
      <c r="AJ67" s="33">
        <v>10.4652</v>
      </c>
      <c r="AK67" s="33">
        <v>27.7808</v>
      </c>
      <c r="AL67" s="33">
        <v>53.0224</v>
      </c>
      <c r="AM67" s="34">
        <v>0.15319</v>
      </c>
      <c r="AN67" s="33">
        <v>0.600792</v>
      </c>
      <c r="AO67" s="33">
        <v>12.4505</v>
      </c>
      <c r="AP67" s="33">
        <v>57.3287</v>
      </c>
      <c r="AQ67" s="33">
        <v>22.9224</v>
      </c>
      <c r="AR67" s="33">
        <v>3.92864</v>
      </c>
      <c r="AS67" s="33">
        <v>2.76901</v>
      </c>
      <c r="AT67" s="33">
        <v>400.614</v>
      </c>
      <c r="AU67" s="34">
        <v>406.206</v>
      </c>
      <c r="AV67" s="34">
        <v>16996.8</v>
      </c>
      <c r="AW67" s="34">
        <v>0.0758628</v>
      </c>
      <c r="AX67" s="33">
        <v>0.00335638</v>
      </c>
      <c r="AY67" s="33">
        <v>0.177888</v>
      </c>
      <c r="AZ67" s="33">
        <v>0.349064</v>
      </c>
      <c r="BA67" s="33">
        <v>12.521</v>
      </c>
      <c r="BB67" s="33">
        <v>78.0459</v>
      </c>
      <c r="BC67" s="33">
        <v>8.9028</v>
      </c>
      <c r="BD67" s="34">
        <v>30.705</v>
      </c>
      <c r="BE67" s="33">
        <v>0.0</v>
      </c>
      <c r="BF67" s="33">
        <v>35.6347</v>
      </c>
      <c r="BG67" s="33">
        <v>56.9746</v>
      </c>
      <c r="BH67" s="33">
        <v>5.52628</v>
      </c>
      <c r="BI67" s="33">
        <v>1.12103</v>
      </c>
      <c r="BJ67" s="33">
        <v>0.743438</v>
      </c>
      <c r="BK67" s="33">
        <v>41.1081</v>
      </c>
      <c r="BL67" s="33">
        <v>59588.0</v>
      </c>
    </row>
    <row r="68" ht="15.75" customHeight="1">
      <c r="A68" s="33" t="s">
        <v>94</v>
      </c>
      <c r="B68" s="33" t="s">
        <v>62</v>
      </c>
      <c r="C68" s="34">
        <v>22848.8</v>
      </c>
      <c r="D68" s="33">
        <v>193.683</v>
      </c>
      <c r="E68" s="33">
        <v>42204.9</v>
      </c>
      <c r="F68" s="33">
        <v>34.0132</v>
      </c>
      <c r="G68" s="33">
        <v>81.1158</v>
      </c>
      <c r="H68" s="33">
        <v>777.158</v>
      </c>
      <c r="I68" s="33">
        <v>285.638</v>
      </c>
      <c r="J68" s="34">
        <v>7651470.0</v>
      </c>
      <c r="K68" s="34">
        <v>0.203205</v>
      </c>
      <c r="L68" s="33">
        <v>0.876447</v>
      </c>
      <c r="M68" s="33">
        <v>4.2952</v>
      </c>
      <c r="N68" s="33">
        <v>23.2248</v>
      </c>
      <c r="O68" s="33">
        <v>51.5869</v>
      </c>
      <c r="P68" s="33">
        <v>19.9012</v>
      </c>
      <c r="Q68" s="33">
        <v>0.115375</v>
      </c>
      <c r="R68" s="34">
        <v>92.8481</v>
      </c>
      <c r="S68" s="33">
        <v>2.25083</v>
      </c>
      <c r="T68" s="33">
        <v>5.27488</v>
      </c>
      <c r="U68" s="33">
        <v>11.8007</v>
      </c>
      <c r="V68" s="33">
        <v>38.1103</v>
      </c>
      <c r="W68" s="33">
        <v>32.3273</v>
      </c>
      <c r="X68" s="33">
        <v>10.236</v>
      </c>
      <c r="Y68" s="34">
        <v>6.4276</v>
      </c>
      <c r="Z68" s="33">
        <v>0.0</v>
      </c>
      <c r="AA68" s="33">
        <v>100.0</v>
      </c>
      <c r="AB68" s="33">
        <v>0.0</v>
      </c>
      <c r="AC68" s="33">
        <v>0.0</v>
      </c>
      <c r="AD68" s="33">
        <v>0.0</v>
      </c>
      <c r="AE68" s="33">
        <v>0.0</v>
      </c>
      <c r="AF68" s="34">
        <v>0.54176</v>
      </c>
      <c r="AG68" s="33">
        <v>0.141689</v>
      </c>
      <c r="AH68" s="33">
        <v>2.29738</v>
      </c>
      <c r="AI68" s="33">
        <v>6.20193</v>
      </c>
      <c r="AJ68" s="33">
        <v>14.0393</v>
      </c>
      <c r="AK68" s="33">
        <v>33.4487</v>
      </c>
      <c r="AL68" s="33">
        <v>43.8709</v>
      </c>
      <c r="AM68" s="34">
        <v>0.168537</v>
      </c>
      <c r="AN68" s="33">
        <v>0.392681</v>
      </c>
      <c r="AO68" s="33">
        <v>11.4991</v>
      </c>
      <c r="AP68" s="33">
        <v>53.947</v>
      </c>
      <c r="AQ68" s="33">
        <v>26.2691</v>
      </c>
      <c r="AR68" s="33">
        <v>4.73646</v>
      </c>
      <c r="AS68" s="33">
        <v>3.15561</v>
      </c>
      <c r="AT68" s="33">
        <v>334.874</v>
      </c>
      <c r="AU68" s="34">
        <v>347.406</v>
      </c>
      <c r="AV68" s="34">
        <v>14355.2</v>
      </c>
      <c r="AW68" s="34">
        <v>0.0853249</v>
      </c>
      <c r="AX68" s="33">
        <v>0.00202413</v>
      </c>
      <c r="AY68" s="33">
        <v>0.0202413</v>
      </c>
      <c r="AZ68" s="33">
        <v>0.192292</v>
      </c>
      <c r="BA68" s="33">
        <v>11.6772</v>
      </c>
      <c r="BB68" s="33">
        <v>78.2568</v>
      </c>
      <c r="BC68" s="33">
        <v>9.85143</v>
      </c>
      <c r="BD68" s="34">
        <v>32.0174</v>
      </c>
      <c r="BE68" s="33">
        <v>0.0</v>
      </c>
      <c r="BF68" s="33">
        <v>33.0196</v>
      </c>
      <c r="BG68" s="33">
        <v>57.7382</v>
      </c>
      <c r="BH68" s="33">
        <v>7.16136</v>
      </c>
      <c r="BI68" s="33">
        <v>1.38046</v>
      </c>
      <c r="BJ68" s="33">
        <v>0.700348</v>
      </c>
      <c r="BK68" s="33">
        <v>38.9447</v>
      </c>
      <c r="BL68" s="33">
        <v>49404.0</v>
      </c>
    </row>
    <row r="69" ht="15.75" customHeight="1">
      <c r="A69" s="33" t="s">
        <v>94</v>
      </c>
      <c r="B69" s="33" t="s">
        <v>62</v>
      </c>
      <c r="C69" s="34">
        <v>26631.1</v>
      </c>
      <c r="D69" s="33">
        <v>182.607</v>
      </c>
      <c r="E69" s="33">
        <v>46741.1</v>
      </c>
      <c r="F69" s="33">
        <v>38.1946</v>
      </c>
      <c r="G69" s="33">
        <v>70.8448</v>
      </c>
      <c r="H69" s="33">
        <v>857.244</v>
      </c>
      <c r="I69" s="33">
        <v>309.356</v>
      </c>
      <c r="J69" s="34">
        <v>8953960.0</v>
      </c>
      <c r="K69" s="34">
        <v>0.193625</v>
      </c>
      <c r="L69" s="33">
        <v>0.790671</v>
      </c>
      <c r="M69" s="33">
        <v>3.82599</v>
      </c>
      <c r="N69" s="33">
        <v>25.8705</v>
      </c>
      <c r="O69" s="33">
        <v>54.3429</v>
      </c>
      <c r="P69" s="33">
        <v>15.0823</v>
      </c>
      <c r="Q69" s="33">
        <v>0.0876685</v>
      </c>
      <c r="R69" s="34">
        <v>94.0023</v>
      </c>
      <c r="S69" s="33">
        <v>2.07262</v>
      </c>
      <c r="T69" s="33">
        <v>4.94914</v>
      </c>
      <c r="U69" s="33">
        <v>11.5491</v>
      </c>
      <c r="V69" s="33">
        <v>36.7877</v>
      </c>
      <c r="W69" s="33">
        <v>34.0468</v>
      </c>
      <c r="X69" s="33">
        <v>10.5947</v>
      </c>
      <c r="Y69" s="34">
        <v>6.82874</v>
      </c>
      <c r="Z69" s="33">
        <v>0.0</v>
      </c>
      <c r="AA69" s="33">
        <v>100.0</v>
      </c>
      <c r="AB69" s="33">
        <v>0.0</v>
      </c>
      <c r="AC69" s="33">
        <v>0.0</v>
      </c>
      <c r="AD69" s="33">
        <v>0.0</v>
      </c>
      <c r="AE69" s="33">
        <v>0.0</v>
      </c>
      <c r="AF69" s="34">
        <v>0.540128</v>
      </c>
      <c r="AG69" s="33">
        <v>0.238194</v>
      </c>
      <c r="AH69" s="33">
        <v>2.3257</v>
      </c>
      <c r="AI69" s="33">
        <v>6.24597</v>
      </c>
      <c r="AJ69" s="33">
        <v>13.099</v>
      </c>
      <c r="AK69" s="33">
        <v>35.0906</v>
      </c>
      <c r="AL69" s="33">
        <v>43.0006</v>
      </c>
      <c r="AM69" s="34">
        <v>0.15019</v>
      </c>
      <c r="AN69" s="33">
        <v>0.281201</v>
      </c>
      <c r="AO69" s="33">
        <v>12.3629</v>
      </c>
      <c r="AP69" s="33">
        <v>59.168</v>
      </c>
      <c r="AQ69" s="33">
        <v>22.1007</v>
      </c>
      <c r="AR69" s="33">
        <v>3.3099</v>
      </c>
      <c r="AS69" s="33">
        <v>2.77727</v>
      </c>
      <c r="AT69" s="33">
        <v>336.222</v>
      </c>
      <c r="AU69" s="34">
        <v>348.006</v>
      </c>
      <c r="AV69" s="34">
        <v>17852.6</v>
      </c>
      <c r="AW69" s="34">
        <v>0.0790597</v>
      </c>
      <c r="AX69" s="33">
        <v>0.00496237</v>
      </c>
      <c r="AY69" s="33">
        <v>0.0413531</v>
      </c>
      <c r="AZ69" s="33">
        <v>0.170375</v>
      </c>
      <c r="BA69" s="33">
        <v>12.4274</v>
      </c>
      <c r="BB69" s="33">
        <v>78.7561</v>
      </c>
      <c r="BC69" s="33">
        <v>8.59978</v>
      </c>
      <c r="BD69" s="34">
        <v>29.8631</v>
      </c>
      <c r="BE69" s="33">
        <v>0.0</v>
      </c>
      <c r="BF69" s="33">
        <v>38.6949</v>
      </c>
      <c r="BG69" s="33">
        <v>54.6489</v>
      </c>
      <c r="BH69" s="33">
        <v>4.7953</v>
      </c>
      <c r="BI69" s="33">
        <v>1.28691</v>
      </c>
      <c r="BJ69" s="33">
        <v>0.573981</v>
      </c>
      <c r="BK69" s="33">
        <v>42.133</v>
      </c>
      <c r="BL69" s="33">
        <v>60455.0</v>
      </c>
    </row>
    <row r="70" ht="15.75" customHeight="1">
      <c r="A70" s="33" t="s">
        <v>111</v>
      </c>
      <c r="B70" s="33" t="s">
        <v>62</v>
      </c>
      <c r="C70" s="34">
        <v>24273.9</v>
      </c>
      <c r="D70" s="33">
        <v>190.807</v>
      </c>
      <c r="E70" s="33">
        <v>44288.6</v>
      </c>
      <c r="F70" s="33">
        <v>35.3534</v>
      </c>
      <c r="G70" s="33">
        <v>81.7486</v>
      </c>
      <c r="H70" s="33">
        <v>811.826</v>
      </c>
      <c r="I70" s="33">
        <v>271.993</v>
      </c>
      <c r="J70" s="34">
        <v>8126510.0</v>
      </c>
      <c r="K70" s="34">
        <v>0.192111</v>
      </c>
      <c r="L70" s="33">
        <v>0.55843</v>
      </c>
      <c r="M70" s="33">
        <v>4.23958</v>
      </c>
      <c r="N70" s="33">
        <v>27.1744</v>
      </c>
      <c r="O70" s="33">
        <v>52.315</v>
      </c>
      <c r="P70" s="33">
        <v>15.6304</v>
      </c>
      <c r="Q70" s="33">
        <v>0.0821769</v>
      </c>
      <c r="R70" s="34">
        <v>94.2676</v>
      </c>
      <c r="S70" s="33">
        <v>1.78361</v>
      </c>
      <c r="T70" s="33">
        <v>5.17715</v>
      </c>
      <c r="U70" s="33">
        <v>11.9997</v>
      </c>
      <c r="V70" s="33">
        <v>36.946</v>
      </c>
      <c r="W70" s="33">
        <v>32.3889</v>
      </c>
      <c r="X70" s="33">
        <v>11.7046</v>
      </c>
      <c r="Y70" s="34">
        <v>6.65143</v>
      </c>
      <c r="Z70" s="33">
        <v>0.0</v>
      </c>
      <c r="AA70" s="33">
        <v>100.0</v>
      </c>
      <c r="AB70" s="33">
        <v>0.0</v>
      </c>
      <c r="AC70" s="33">
        <v>0.0</v>
      </c>
      <c r="AD70" s="33">
        <v>0.0</v>
      </c>
      <c r="AE70" s="33">
        <v>0.0</v>
      </c>
      <c r="AF70" s="34">
        <v>0.54687</v>
      </c>
      <c r="AG70" s="33">
        <v>0.141942</v>
      </c>
      <c r="AH70" s="33">
        <v>1.86205</v>
      </c>
      <c r="AI70" s="33">
        <v>6.0344</v>
      </c>
      <c r="AJ70" s="33">
        <v>13.6376</v>
      </c>
      <c r="AK70" s="33">
        <v>34.477</v>
      </c>
      <c r="AL70" s="33">
        <v>43.847</v>
      </c>
      <c r="AM70" s="34">
        <v>0.146171</v>
      </c>
      <c r="AN70" s="33">
        <v>0.969314</v>
      </c>
      <c r="AO70" s="33">
        <v>12.9541</v>
      </c>
      <c r="AP70" s="33">
        <v>57.6434</v>
      </c>
      <c r="AQ70" s="33">
        <v>22.2625</v>
      </c>
      <c r="AR70" s="33">
        <v>3.79135</v>
      </c>
      <c r="AS70" s="33">
        <v>2.3794</v>
      </c>
      <c r="AT70" s="33">
        <v>334.783</v>
      </c>
      <c r="AU70" s="34">
        <v>350.949</v>
      </c>
      <c r="AV70" s="34">
        <v>15657.5</v>
      </c>
      <c r="AW70" s="34">
        <v>0.0716318</v>
      </c>
      <c r="AX70" s="33">
        <v>0.00560297</v>
      </c>
      <c r="AY70" s="33">
        <v>0.423958</v>
      </c>
      <c r="AZ70" s="33">
        <v>0.515474</v>
      </c>
      <c r="BA70" s="33">
        <v>12.9784</v>
      </c>
      <c r="BB70" s="33">
        <v>78.1596</v>
      </c>
      <c r="BC70" s="33">
        <v>7.917</v>
      </c>
      <c r="BD70" s="34">
        <v>29.6553</v>
      </c>
      <c r="BE70" s="33">
        <v>0.0</v>
      </c>
      <c r="BF70" s="33">
        <v>39.6672</v>
      </c>
      <c r="BG70" s="33">
        <v>53.5831</v>
      </c>
      <c r="BH70" s="33">
        <v>5.18835</v>
      </c>
      <c r="BI70" s="33">
        <v>1.02348</v>
      </c>
      <c r="BJ70" s="33">
        <v>0.537885</v>
      </c>
      <c r="BK70" s="33">
        <v>40.1961</v>
      </c>
      <c r="BL70" s="33">
        <v>53543.0</v>
      </c>
    </row>
    <row r="71" ht="15.75" customHeight="1">
      <c r="A71" s="33" t="s">
        <v>111</v>
      </c>
      <c r="B71" s="33" t="s">
        <v>62</v>
      </c>
      <c r="C71" s="34">
        <v>27260.8</v>
      </c>
      <c r="D71" s="33">
        <v>227.873</v>
      </c>
      <c r="E71" s="33">
        <v>49490.7</v>
      </c>
      <c r="F71" s="33">
        <v>35.2445</v>
      </c>
      <c r="G71" s="33">
        <v>74.6801</v>
      </c>
      <c r="H71" s="33">
        <v>877.32</v>
      </c>
      <c r="I71" s="33">
        <v>301.375</v>
      </c>
      <c r="J71" s="34">
        <v>1.01966E7</v>
      </c>
      <c r="K71" s="34">
        <v>0.187516</v>
      </c>
      <c r="L71" s="33">
        <v>0.659265</v>
      </c>
      <c r="M71" s="33">
        <v>4.87889</v>
      </c>
      <c r="N71" s="33">
        <v>27.4891</v>
      </c>
      <c r="O71" s="33">
        <v>52.3656</v>
      </c>
      <c r="P71" s="33">
        <v>14.5645</v>
      </c>
      <c r="Q71" s="33">
        <v>0.042639</v>
      </c>
      <c r="R71" s="34">
        <v>93.6125</v>
      </c>
      <c r="S71" s="33">
        <v>2.30743</v>
      </c>
      <c r="T71" s="33">
        <v>5.62343</v>
      </c>
      <c r="U71" s="33">
        <v>12.0176</v>
      </c>
      <c r="V71" s="33">
        <v>36.0743</v>
      </c>
      <c r="W71" s="33">
        <v>31.5939</v>
      </c>
      <c r="X71" s="33">
        <v>12.3834</v>
      </c>
      <c r="Y71" s="34">
        <v>6.31983</v>
      </c>
      <c r="Z71" s="33">
        <v>0.0</v>
      </c>
      <c r="AA71" s="33">
        <v>100.0</v>
      </c>
      <c r="AB71" s="33">
        <v>0.0</v>
      </c>
      <c r="AC71" s="33">
        <v>0.0</v>
      </c>
      <c r="AD71" s="33">
        <v>0.0</v>
      </c>
      <c r="AE71" s="33">
        <v>0.0</v>
      </c>
      <c r="AF71" s="34">
        <v>0.546387</v>
      </c>
      <c r="AG71" s="33">
        <v>0.221395</v>
      </c>
      <c r="AH71" s="33">
        <v>2.33859</v>
      </c>
      <c r="AI71" s="33">
        <v>6.36797</v>
      </c>
      <c r="AJ71" s="33">
        <v>13.5773</v>
      </c>
      <c r="AK71" s="33">
        <v>32.2269</v>
      </c>
      <c r="AL71" s="33">
        <v>45.2679</v>
      </c>
      <c r="AM71" s="34">
        <v>0.146409</v>
      </c>
      <c r="AN71" s="33">
        <v>0.754383</v>
      </c>
      <c r="AO71" s="33">
        <v>13.5707</v>
      </c>
      <c r="AP71" s="33">
        <v>56.8313</v>
      </c>
      <c r="AQ71" s="33">
        <v>22.4888</v>
      </c>
      <c r="AR71" s="33">
        <v>3.86047</v>
      </c>
      <c r="AS71" s="33">
        <v>2.49438</v>
      </c>
      <c r="AT71" s="33">
        <v>374.037</v>
      </c>
      <c r="AU71" s="34">
        <v>398.143</v>
      </c>
      <c r="AV71" s="34">
        <v>17442.7</v>
      </c>
      <c r="AW71" s="34">
        <v>0.0748932</v>
      </c>
      <c r="AX71" s="33">
        <v>0.00327993</v>
      </c>
      <c r="AY71" s="33">
        <v>0.259114</v>
      </c>
      <c r="AZ71" s="33">
        <v>0.42475</v>
      </c>
      <c r="BA71" s="33">
        <v>13.6379</v>
      </c>
      <c r="BB71" s="33">
        <v>77.2652</v>
      </c>
      <c r="BC71" s="33">
        <v>8.40973</v>
      </c>
      <c r="BD71" s="34">
        <v>29.4358</v>
      </c>
      <c r="BE71" s="33">
        <v>0.0</v>
      </c>
      <c r="BF71" s="33">
        <v>39.9396</v>
      </c>
      <c r="BG71" s="33">
        <v>53.3578</v>
      </c>
      <c r="BH71" s="33">
        <v>5.33808</v>
      </c>
      <c r="BI71" s="33">
        <v>1.04958</v>
      </c>
      <c r="BJ71" s="33">
        <v>0.314873</v>
      </c>
      <c r="BK71" s="33">
        <v>39.8136</v>
      </c>
      <c r="BL71" s="33">
        <v>60977.0</v>
      </c>
    </row>
    <row r="72" ht="15.75" customHeight="1">
      <c r="A72" s="33" t="s">
        <v>111</v>
      </c>
      <c r="B72" s="33" t="s">
        <v>62</v>
      </c>
      <c r="C72" s="34">
        <v>27990.9</v>
      </c>
      <c r="D72" s="33">
        <v>189.194</v>
      </c>
      <c r="E72" s="33">
        <v>50736.3</v>
      </c>
      <c r="F72" s="33">
        <v>37.804</v>
      </c>
      <c r="G72" s="33">
        <v>76.2118</v>
      </c>
      <c r="H72" s="33">
        <v>880.06</v>
      </c>
      <c r="I72" s="33">
        <v>337.737</v>
      </c>
      <c r="J72" s="34">
        <v>9706530.0</v>
      </c>
      <c r="K72" s="34">
        <v>0.209522</v>
      </c>
      <c r="L72" s="33">
        <v>0.644774</v>
      </c>
      <c r="M72" s="33">
        <v>3.0848</v>
      </c>
      <c r="N72" s="33">
        <v>21.1069</v>
      </c>
      <c r="O72" s="33">
        <v>55.9341</v>
      </c>
      <c r="P72" s="33">
        <v>19.1631</v>
      </c>
      <c r="Q72" s="33">
        <v>0.0663738</v>
      </c>
      <c r="R72" s="34">
        <v>96.7702</v>
      </c>
      <c r="S72" s="33">
        <v>1.60561</v>
      </c>
      <c r="T72" s="33">
        <v>4.04248</v>
      </c>
      <c r="U72" s="33">
        <v>9.29707</v>
      </c>
      <c r="V72" s="33">
        <v>36.1184</v>
      </c>
      <c r="W72" s="33">
        <v>37.8046</v>
      </c>
      <c r="X72" s="33">
        <v>11.1318</v>
      </c>
      <c r="Y72" s="34">
        <v>6.38696</v>
      </c>
      <c r="Z72" s="33">
        <v>0.0</v>
      </c>
      <c r="AA72" s="33">
        <v>100.0</v>
      </c>
      <c r="AB72" s="33">
        <v>0.0</v>
      </c>
      <c r="AC72" s="33">
        <v>0.0</v>
      </c>
      <c r="AD72" s="33">
        <v>0.0</v>
      </c>
      <c r="AE72" s="33">
        <v>0.0</v>
      </c>
      <c r="AF72" s="34">
        <v>0.571184</v>
      </c>
      <c r="AG72" s="33">
        <v>0.224407</v>
      </c>
      <c r="AH72" s="33">
        <v>1.9201</v>
      </c>
      <c r="AI72" s="33">
        <v>4.67145</v>
      </c>
      <c r="AJ72" s="33">
        <v>9.74904</v>
      </c>
      <c r="AK72" s="33">
        <v>28.8362</v>
      </c>
      <c r="AL72" s="33">
        <v>54.5988</v>
      </c>
      <c r="AM72" s="34">
        <v>0.145674</v>
      </c>
      <c r="AN72" s="33">
        <v>0.270236</v>
      </c>
      <c r="AO72" s="33">
        <v>13.5292</v>
      </c>
      <c r="AP72" s="33">
        <v>58.5859</v>
      </c>
      <c r="AQ72" s="33">
        <v>21.5731</v>
      </c>
      <c r="AR72" s="33">
        <v>3.53361</v>
      </c>
      <c r="AS72" s="33">
        <v>2.50798</v>
      </c>
      <c r="AT72" s="33">
        <v>346.775</v>
      </c>
      <c r="AU72" s="34">
        <v>352.262</v>
      </c>
      <c r="AV72" s="34">
        <v>19180.4</v>
      </c>
      <c r="AW72" s="34">
        <v>0.0713966</v>
      </c>
      <c r="AX72" s="33">
        <v>0.00474098</v>
      </c>
      <c r="AY72" s="33">
        <v>0.0221246</v>
      </c>
      <c r="AZ72" s="33">
        <v>0.146971</v>
      </c>
      <c r="BA72" s="33">
        <v>13.6256</v>
      </c>
      <c r="BB72" s="33">
        <v>78.7462</v>
      </c>
      <c r="BC72" s="33">
        <v>7.45441</v>
      </c>
      <c r="BD72" s="34">
        <v>30.9318</v>
      </c>
      <c r="BE72" s="33">
        <v>0.0</v>
      </c>
      <c r="BF72" s="33">
        <v>34.3058</v>
      </c>
      <c r="BG72" s="33">
        <v>58.4358</v>
      </c>
      <c r="BH72" s="33">
        <v>5.63861</v>
      </c>
      <c r="BI72" s="33">
        <v>1.11413</v>
      </c>
      <c r="BJ72" s="33">
        <v>0.505705</v>
      </c>
      <c r="BK72" s="33">
        <v>43.2963</v>
      </c>
      <c r="BL72" s="33">
        <v>63278.0</v>
      </c>
    </row>
    <row r="73" ht="15.75" customHeight="1">
      <c r="A73" s="33" t="s">
        <v>111</v>
      </c>
      <c r="B73" s="33" t="s">
        <v>62</v>
      </c>
      <c r="C73" s="34">
        <v>24192.1</v>
      </c>
      <c r="D73" s="33">
        <v>251.565</v>
      </c>
      <c r="E73" s="33">
        <v>37984.7</v>
      </c>
      <c r="F73" s="33">
        <v>41.1386</v>
      </c>
      <c r="G73" s="33">
        <v>82.4869</v>
      </c>
      <c r="H73" s="33">
        <v>733.114</v>
      </c>
      <c r="I73" s="33">
        <v>264.661</v>
      </c>
      <c r="J73" s="34">
        <v>9285420.0</v>
      </c>
      <c r="K73" s="34">
        <v>0.207311</v>
      </c>
      <c r="L73" s="33">
        <v>0.516053</v>
      </c>
      <c r="M73" s="33">
        <v>3.62527</v>
      </c>
      <c r="N73" s="33">
        <v>22.2769</v>
      </c>
      <c r="O73" s="33">
        <v>54.2003</v>
      </c>
      <c r="P73" s="33">
        <v>19.3538</v>
      </c>
      <c r="Q73" s="33">
        <v>0.0276457</v>
      </c>
      <c r="R73" s="34">
        <v>95.2866</v>
      </c>
      <c r="S73" s="33">
        <v>1.48365</v>
      </c>
      <c r="T73" s="33">
        <v>4.76796</v>
      </c>
      <c r="U73" s="33">
        <v>10.6381</v>
      </c>
      <c r="V73" s="33">
        <v>36.7983</v>
      </c>
      <c r="W73" s="33">
        <v>36.3707</v>
      </c>
      <c r="X73" s="33">
        <v>9.94139</v>
      </c>
      <c r="Y73" s="34">
        <v>6.51031</v>
      </c>
      <c r="Z73" s="33">
        <v>0.0</v>
      </c>
      <c r="AA73" s="33">
        <v>100.0</v>
      </c>
      <c r="AB73" s="33">
        <v>0.0</v>
      </c>
      <c r="AC73" s="33">
        <v>0.0</v>
      </c>
      <c r="AD73" s="33">
        <v>0.0</v>
      </c>
      <c r="AE73" s="33">
        <v>0.0</v>
      </c>
      <c r="AF73" s="34">
        <v>0.560655</v>
      </c>
      <c r="AG73" s="33">
        <v>0.171403</v>
      </c>
      <c r="AH73" s="33">
        <v>2.00708</v>
      </c>
      <c r="AI73" s="33">
        <v>5.3946</v>
      </c>
      <c r="AJ73" s="33">
        <v>11.5964</v>
      </c>
      <c r="AK73" s="33">
        <v>30.7365</v>
      </c>
      <c r="AL73" s="33">
        <v>50.094</v>
      </c>
      <c r="AM73" s="34">
        <v>0.151162</v>
      </c>
      <c r="AN73" s="33">
        <v>0.790667</v>
      </c>
      <c r="AO73" s="33">
        <v>11.4877</v>
      </c>
      <c r="AP73" s="33">
        <v>57.6984</v>
      </c>
      <c r="AQ73" s="33">
        <v>24.2526</v>
      </c>
      <c r="AR73" s="33">
        <v>3.56261</v>
      </c>
      <c r="AS73" s="33">
        <v>2.20797</v>
      </c>
      <c r="AT73" s="33">
        <v>383.82</v>
      </c>
      <c r="AU73" s="34">
        <v>390.062</v>
      </c>
      <c r="AV73" s="34">
        <v>15626.4</v>
      </c>
      <c r="AW73" s="34">
        <v>0.0731833</v>
      </c>
      <c r="AX73" s="33">
        <v>0.0</v>
      </c>
      <c r="AY73" s="33">
        <v>0.372295</v>
      </c>
      <c r="AZ73" s="33">
        <v>0.545542</v>
      </c>
      <c r="BA73" s="33">
        <v>11.3605</v>
      </c>
      <c r="BB73" s="33">
        <v>79.7375</v>
      </c>
      <c r="BC73" s="33">
        <v>7.98408</v>
      </c>
      <c r="BD73" s="34">
        <v>31.1076</v>
      </c>
      <c r="BE73" s="33">
        <v>0.0</v>
      </c>
      <c r="BF73" s="33">
        <v>33.1288</v>
      </c>
      <c r="BG73" s="33">
        <v>60.0483</v>
      </c>
      <c r="BH73" s="33">
        <v>5.38354</v>
      </c>
      <c r="BI73" s="33">
        <v>1.01552</v>
      </c>
      <c r="BJ73" s="33">
        <v>0.423901</v>
      </c>
      <c r="BK73" s="33">
        <v>40.2634</v>
      </c>
      <c r="BL73" s="33">
        <v>54258.0</v>
      </c>
    </row>
    <row r="74" ht="15.75" customHeight="1">
      <c r="A74" s="33" t="s">
        <v>112</v>
      </c>
      <c r="B74" s="33" t="s">
        <v>62</v>
      </c>
      <c r="C74" s="34">
        <v>21765.9</v>
      </c>
      <c r="D74" s="33">
        <v>205.684</v>
      </c>
      <c r="E74" s="33">
        <v>36688.7</v>
      </c>
      <c r="F74" s="33">
        <v>38.7487</v>
      </c>
      <c r="G74" s="33">
        <v>72.8666</v>
      </c>
      <c r="H74" s="33">
        <v>751.387</v>
      </c>
      <c r="I74" s="33">
        <v>272.678</v>
      </c>
      <c r="J74" s="34">
        <v>7582750.0</v>
      </c>
      <c r="K74" s="34">
        <v>0.193294</v>
      </c>
      <c r="L74" s="33">
        <v>1.08815</v>
      </c>
      <c r="M74" s="33">
        <v>4.34043</v>
      </c>
      <c r="N74" s="33">
        <v>25.4225</v>
      </c>
      <c r="O74" s="33">
        <v>52.002</v>
      </c>
      <c r="P74" s="33">
        <v>17.0679</v>
      </c>
      <c r="Q74" s="33">
        <v>0.0790274</v>
      </c>
      <c r="R74" s="34">
        <v>92.3417</v>
      </c>
      <c r="S74" s="33">
        <v>2.49645</v>
      </c>
      <c r="T74" s="33">
        <v>6.37893</v>
      </c>
      <c r="U74" s="33">
        <v>12.5532</v>
      </c>
      <c r="V74" s="33">
        <v>35.8804</v>
      </c>
      <c r="W74" s="33">
        <v>31.5927</v>
      </c>
      <c r="X74" s="33">
        <v>11.0983</v>
      </c>
      <c r="Y74" s="34">
        <v>6.50976</v>
      </c>
      <c r="Z74" s="33">
        <v>0.0</v>
      </c>
      <c r="AA74" s="33">
        <v>99.998</v>
      </c>
      <c r="AB74" s="33">
        <v>0.00202634</v>
      </c>
      <c r="AC74" s="33">
        <v>0.0</v>
      </c>
      <c r="AD74" s="33">
        <v>0.0</v>
      </c>
      <c r="AE74" s="33">
        <v>0.0</v>
      </c>
      <c r="AF74" s="34">
        <v>0.548829</v>
      </c>
      <c r="AG74" s="33">
        <v>0.212766</v>
      </c>
      <c r="AH74" s="33">
        <v>2.03445</v>
      </c>
      <c r="AI74" s="33">
        <v>6.25735</v>
      </c>
      <c r="AJ74" s="33">
        <v>13.2178</v>
      </c>
      <c r="AK74" s="33">
        <v>31.8561</v>
      </c>
      <c r="AL74" s="33">
        <v>46.4215</v>
      </c>
      <c r="AM74" s="34">
        <v>0.171366</v>
      </c>
      <c r="AN74" s="33">
        <v>0.652482</v>
      </c>
      <c r="AO74" s="33">
        <v>12.4498</v>
      </c>
      <c r="AP74" s="33">
        <v>53.1651</v>
      </c>
      <c r="AQ74" s="33">
        <v>24.2492</v>
      </c>
      <c r="AR74" s="33">
        <v>5.23404</v>
      </c>
      <c r="AS74" s="33">
        <v>4.24924</v>
      </c>
      <c r="AT74" s="33">
        <v>348.377</v>
      </c>
      <c r="AU74" s="34">
        <v>355.946</v>
      </c>
      <c r="AV74" s="34">
        <v>14216.4</v>
      </c>
      <c r="AW74" s="34">
        <v>0.0856758</v>
      </c>
      <c r="AX74" s="33">
        <v>0.00810537</v>
      </c>
      <c r="AY74" s="33">
        <v>0.198582</v>
      </c>
      <c r="AZ74" s="33">
        <v>0.303951</v>
      </c>
      <c r="BA74" s="33">
        <v>12.5917</v>
      </c>
      <c r="BB74" s="33">
        <v>75.382</v>
      </c>
      <c r="BC74" s="33">
        <v>11.5157</v>
      </c>
      <c r="BD74" s="34">
        <v>31.9443</v>
      </c>
      <c r="BE74" s="33">
        <v>0.0</v>
      </c>
      <c r="BF74" s="33">
        <v>35.0152</v>
      </c>
      <c r="BG74" s="33">
        <v>54.9808</v>
      </c>
      <c r="BH74" s="33">
        <v>7.20973</v>
      </c>
      <c r="BI74" s="33">
        <v>1.85005</v>
      </c>
      <c r="BJ74" s="33">
        <v>0.944276</v>
      </c>
      <c r="BK74" s="33">
        <v>40.8022</v>
      </c>
      <c r="BL74" s="33">
        <v>49350.0</v>
      </c>
    </row>
    <row r="75" ht="15.75" customHeight="1">
      <c r="A75" s="33" t="s">
        <v>112</v>
      </c>
      <c r="B75" s="33" t="s">
        <v>62</v>
      </c>
      <c r="C75" s="34">
        <v>18482.4</v>
      </c>
      <c r="D75" s="33">
        <v>180.328</v>
      </c>
      <c r="E75" s="33">
        <v>33207.3</v>
      </c>
      <c r="F75" s="33">
        <v>37.2387</v>
      </c>
      <c r="G75" s="33">
        <v>73.8533</v>
      </c>
      <c r="H75" s="33">
        <v>704.844</v>
      </c>
      <c r="I75" s="33">
        <v>250.496</v>
      </c>
      <c r="J75" s="34">
        <v>6646330.0</v>
      </c>
      <c r="K75" s="34">
        <v>0.193779</v>
      </c>
      <c r="L75" s="33">
        <v>0.92857</v>
      </c>
      <c r="M75" s="33">
        <v>4.40838</v>
      </c>
      <c r="N75" s="33">
        <v>23.9408</v>
      </c>
      <c r="O75" s="33">
        <v>55.0526</v>
      </c>
      <c r="P75" s="33">
        <v>15.593</v>
      </c>
      <c r="Q75" s="33">
        <v>0.076607</v>
      </c>
      <c r="R75" s="34">
        <v>94.862</v>
      </c>
      <c r="S75" s="33">
        <v>2.10553</v>
      </c>
      <c r="T75" s="33">
        <v>5.36017</v>
      </c>
      <c r="U75" s="33">
        <v>10.8434</v>
      </c>
      <c r="V75" s="33">
        <v>35.1092</v>
      </c>
      <c r="W75" s="33">
        <v>35.2067</v>
      </c>
      <c r="X75" s="33">
        <v>11.375</v>
      </c>
      <c r="Y75" s="34">
        <v>6.61302</v>
      </c>
      <c r="Z75" s="33">
        <v>0.0</v>
      </c>
      <c r="AA75" s="33">
        <v>99.9837</v>
      </c>
      <c r="AB75" s="33">
        <v>0.01625</v>
      </c>
      <c r="AC75" s="33">
        <v>0.0</v>
      </c>
      <c r="AD75" s="33">
        <v>0.0</v>
      </c>
      <c r="AE75" s="33">
        <v>0.0</v>
      </c>
      <c r="AF75" s="34">
        <v>0.55207</v>
      </c>
      <c r="AG75" s="33">
        <v>0.350535</v>
      </c>
      <c r="AH75" s="33">
        <v>2.73696</v>
      </c>
      <c r="AI75" s="33">
        <v>6.49999</v>
      </c>
      <c r="AJ75" s="33">
        <v>11.1382</v>
      </c>
      <c r="AK75" s="33">
        <v>27.9894</v>
      </c>
      <c r="AL75" s="33">
        <v>51.2849</v>
      </c>
      <c r="AM75" s="34">
        <v>0.151536</v>
      </c>
      <c r="AN75" s="33">
        <v>1.11893</v>
      </c>
      <c r="AO75" s="33">
        <v>12.5078</v>
      </c>
      <c r="AP75" s="33">
        <v>57.8963</v>
      </c>
      <c r="AQ75" s="33">
        <v>21.3687</v>
      </c>
      <c r="AR75" s="33">
        <v>3.67481</v>
      </c>
      <c r="AS75" s="33">
        <v>3.43339</v>
      </c>
      <c r="AT75" s="33">
        <v>359.603</v>
      </c>
      <c r="AU75" s="34">
        <v>365.546</v>
      </c>
      <c r="AV75" s="34">
        <v>12366.0</v>
      </c>
      <c r="AW75" s="34">
        <v>0.0750007</v>
      </c>
      <c r="AX75" s="33">
        <v>0.00696427</v>
      </c>
      <c r="AY75" s="33">
        <v>0.580356</v>
      </c>
      <c r="AZ75" s="33">
        <v>0.515356</v>
      </c>
      <c r="BA75" s="33">
        <v>12.5241</v>
      </c>
      <c r="BB75" s="33">
        <v>76.9668</v>
      </c>
      <c r="BC75" s="33">
        <v>9.40641</v>
      </c>
      <c r="BD75" s="34">
        <v>30.6798</v>
      </c>
      <c r="BE75" s="33">
        <v>0.0</v>
      </c>
      <c r="BF75" s="33">
        <v>36.3651</v>
      </c>
      <c r="BG75" s="33">
        <v>56.3294</v>
      </c>
      <c r="BH75" s="33">
        <v>4.97017</v>
      </c>
      <c r="BI75" s="33">
        <v>1.52285</v>
      </c>
      <c r="BJ75" s="33">
        <v>0.812499</v>
      </c>
      <c r="BK75" s="33">
        <v>42.01</v>
      </c>
      <c r="BL75" s="33">
        <v>43077.0</v>
      </c>
    </row>
    <row r="76" ht="15.75" customHeight="1">
      <c r="A76" s="33" t="s">
        <v>112</v>
      </c>
      <c r="B76" s="33" t="s">
        <v>62</v>
      </c>
      <c r="C76" s="34">
        <v>22048.8</v>
      </c>
      <c r="D76" s="33">
        <v>201.596</v>
      </c>
      <c r="E76" s="33">
        <v>36558.0</v>
      </c>
      <c r="F76" s="33">
        <v>41.3882</v>
      </c>
      <c r="G76" s="33">
        <v>64.213</v>
      </c>
      <c r="H76" s="33">
        <v>735.271</v>
      </c>
      <c r="I76" s="33">
        <v>276.243</v>
      </c>
      <c r="J76" s="34">
        <v>7751640.0</v>
      </c>
      <c r="K76" s="34">
        <v>0.1898</v>
      </c>
      <c r="L76" s="33">
        <v>0.9451</v>
      </c>
      <c r="M76" s="33">
        <v>3.7823</v>
      </c>
      <c r="N76" s="33">
        <v>26.149</v>
      </c>
      <c r="O76" s="33">
        <v>54.812</v>
      </c>
      <c r="P76" s="33">
        <v>14.245</v>
      </c>
      <c r="Q76" s="33">
        <v>0.0665564</v>
      </c>
      <c r="R76" s="34">
        <v>94.6731</v>
      </c>
      <c r="S76" s="33">
        <v>2.25531</v>
      </c>
      <c r="T76" s="33">
        <v>5.52608</v>
      </c>
      <c r="U76" s="33">
        <v>11.6797</v>
      </c>
      <c r="V76" s="33">
        <v>33.8601</v>
      </c>
      <c r="W76" s="33">
        <v>34.3089</v>
      </c>
      <c r="X76" s="33">
        <v>12.37</v>
      </c>
      <c r="Y76" s="34">
        <v>6.31496</v>
      </c>
      <c r="Z76" s="33">
        <v>0.0</v>
      </c>
      <c r="AA76" s="33">
        <v>100.0</v>
      </c>
      <c r="AB76" s="33">
        <v>0.0</v>
      </c>
      <c r="AC76" s="33">
        <v>0.0</v>
      </c>
      <c r="AD76" s="33">
        <v>0.0</v>
      </c>
      <c r="AE76" s="33">
        <v>0.0</v>
      </c>
      <c r="AF76" s="34">
        <v>0.568411</v>
      </c>
      <c r="AG76" s="33">
        <v>0.241505</v>
      </c>
      <c r="AH76" s="33">
        <v>2.04043</v>
      </c>
      <c r="AI76" s="33">
        <v>5.04307</v>
      </c>
      <c r="AJ76" s="33">
        <v>9.81231</v>
      </c>
      <c r="AK76" s="33">
        <v>28.2123</v>
      </c>
      <c r="AL76" s="33">
        <v>54.6504</v>
      </c>
      <c r="AM76" s="34">
        <v>0.14902</v>
      </c>
      <c r="AN76" s="33">
        <v>0.393633</v>
      </c>
      <c r="AO76" s="33">
        <v>14.4009</v>
      </c>
      <c r="AP76" s="33">
        <v>57.3222</v>
      </c>
      <c r="AQ76" s="33">
        <v>20.5564</v>
      </c>
      <c r="AR76" s="33">
        <v>4.06184</v>
      </c>
      <c r="AS76" s="33">
        <v>3.26507</v>
      </c>
      <c r="AT76" s="33">
        <v>351.566</v>
      </c>
      <c r="AU76" s="34">
        <v>354.746</v>
      </c>
      <c r="AV76" s="34">
        <v>15130.7</v>
      </c>
      <c r="AW76" s="34">
        <v>0.0756257</v>
      </c>
      <c r="AX76" s="33">
        <v>0.0</v>
      </c>
      <c r="AY76" s="33">
        <v>0.0171145</v>
      </c>
      <c r="AZ76" s="33">
        <v>0.155932</v>
      </c>
      <c r="BA76" s="33">
        <v>14.6215</v>
      </c>
      <c r="BB76" s="33">
        <v>76.1101</v>
      </c>
      <c r="BC76" s="33">
        <v>9.0954</v>
      </c>
      <c r="BD76" s="34">
        <v>30.0023</v>
      </c>
      <c r="BE76" s="33">
        <v>0.0</v>
      </c>
      <c r="BF76" s="33">
        <v>39.2759</v>
      </c>
      <c r="BG76" s="33">
        <v>53.5208</v>
      </c>
      <c r="BH76" s="33">
        <v>5.01074</v>
      </c>
      <c r="BI76" s="33">
        <v>1.48516</v>
      </c>
      <c r="BJ76" s="33">
        <v>0.707399</v>
      </c>
      <c r="BK76" s="33">
        <v>43.3624</v>
      </c>
      <c r="BL76" s="33">
        <v>52587.0</v>
      </c>
    </row>
    <row r="77" ht="15.75" customHeight="1">
      <c r="A77" s="33" t="s">
        <v>112</v>
      </c>
      <c r="B77" s="33" t="s">
        <v>62</v>
      </c>
      <c r="C77" s="34">
        <v>18341.2</v>
      </c>
      <c r="D77" s="33">
        <v>168.892</v>
      </c>
      <c r="E77" s="33">
        <v>28777.9</v>
      </c>
      <c r="F77" s="33">
        <v>40.5071</v>
      </c>
      <c r="G77" s="33">
        <v>74.9203</v>
      </c>
      <c r="H77" s="33">
        <v>638.138</v>
      </c>
      <c r="I77" s="33">
        <v>231.225</v>
      </c>
      <c r="J77" s="34">
        <v>5384610.0</v>
      </c>
      <c r="K77" s="34">
        <v>0.177891</v>
      </c>
      <c r="L77" s="33">
        <v>1.30965</v>
      </c>
      <c r="M77" s="33">
        <v>5.1976</v>
      </c>
      <c r="N77" s="33">
        <v>29.6555</v>
      </c>
      <c r="O77" s="33">
        <v>49.9308</v>
      </c>
      <c r="P77" s="33">
        <v>13.8551</v>
      </c>
      <c r="Q77" s="33">
        <v>0.0512584</v>
      </c>
      <c r="R77" s="34">
        <v>90.3643</v>
      </c>
      <c r="S77" s="33">
        <v>3.22159</v>
      </c>
      <c r="T77" s="33">
        <v>6.79943</v>
      </c>
      <c r="U77" s="33">
        <v>13.1529</v>
      </c>
      <c r="V77" s="33">
        <v>36.3781</v>
      </c>
      <c r="W77" s="33">
        <v>29.7273</v>
      </c>
      <c r="X77" s="33">
        <v>10.7207</v>
      </c>
      <c r="Y77" s="34">
        <v>6.41885</v>
      </c>
      <c r="Z77" s="33">
        <v>0.0</v>
      </c>
      <c r="AA77" s="33">
        <v>100.0</v>
      </c>
      <c r="AB77" s="33">
        <v>0.0</v>
      </c>
      <c r="AC77" s="33">
        <v>0.0</v>
      </c>
      <c r="AD77" s="33">
        <v>0.0</v>
      </c>
      <c r="AE77" s="33">
        <v>0.0</v>
      </c>
      <c r="AF77" s="34">
        <v>0.527524</v>
      </c>
      <c r="AG77" s="33">
        <v>0.133272</v>
      </c>
      <c r="AH77" s="33">
        <v>2.35789</v>
      </c>
      <c r="AI77" s="33">
        <v>7.03778</v>
      </c>
      <c r="AJ77" s="33">
        <v>15.9439</v>
      </c>
      <c r="AK77" s="33">
        <v>36.2756</v>
      </c>
      <c r="AL77" s="33">
        <v>38.2516</v>
      </c>
      <c r="AM77" s="34">
        <v>0.165866</v>
      </c>
      <c r="AN77" s="33">
        <v>0.287047</v>
      </c>
      <c r="AO77" s="33">
        <v>12.0278</v>
      </c>
      <c r="AP77" s="33">
        <v>56.8635</v>
      </c>
      <c r="AQ77" s="33">
        <v>22.4255</v>
      </c>
      <c r="AR77" s="33">
        <v>4.30827</v>
      </c>
      <c r="AS77" s="33">
        <v>4.08786</v>
      </c>
      <c r="AT77" s="33">
        <v>293.581</v>
      </c>
      <c r="AU77" s="34">
        <v>300.449</v>
      </c>
      <c r="AV77" s="34">
        <v>11657.1</v>
      </c>
      <c r="AW77" s="34">
        <v>0.089426</v>
      </c>
      <c r="AX77" s="33">
        <v>0.0</v>
      </c>
      <c r="AY77" s="33">
        <v>0.00768876</v>
      </c>
      <c r="AZ77" s="33">
        <v>0.151212</v>
      </c>
      <c r="BA77" s="33">
        <v>12.1559</v>
      </c>
      <c r="BB77" s="33">
        <v>77.3182</v>
      </c>
      <c r="BC77" s="33">
        <v>10.367</v>
      </c>
      <c r="BD77" s="34">
        <v>30.1572</v>
      </c>
      <c r="BE77" s="33">
        <v>0.0</v>
      </c>
      <c r="BF77" s="33">
        <v>41.3809</v>
      </c>
      <c r="BG77" s="33">
        <v>50.1</v>
      </c>
      <c r="BH77" s="33">
        <v>5.80245</v>
      </c>
      <c r="BI77" s="33">
        <v>2.00677</v>
      </c>
      <c r="BJ77" s="33">
        <v>0.709929</v>
      </c>
      <c r="BK77" s="33">
        <v>39.4721</v>
      </c>
      <c r="BL77" s="33">
        <v>39018.0</v>
      </c>
    </row>
    <row r="78" ht="15.75" customHeight="1">
      <c r="A78" s="33" t="s">
        <v>113</v>
      </c>
      <c r="B78" s="33" t="s">
        <v>62</v>
      </c>
      <c r="C78" s="34">
        <v>26525.8</v>
      </c>
      <c r="D78" s="33">
        <v>203.645</v>
      </c>
      <c r="E78" s="33">
        <v>46078.4</v>
      </c>
      <c r="F78" s="33">
        <v>36.1732</v>
      </c>
      <c r="G78" s="33">
        <v>89.5632</v>
      </c>
      <c r="H78" s="33">
        <v>835.887</v>
      </c>
      <c r="I78" s="33">
        <v>283.572</v>
      </c>
      <c r="J78" s="34">
        <v>9212250.0</v>
      </c>
      <c r="K78" s="34">
        <v>0.186207</v>
      </c>
      <c r="L78" s="33">
        <v>0.713649</v>
      </c>
      <c r="M78" s="33">
        <v>3.97229</v>
      </c>
      <c r="N78" s="33">
        <v>28.469</v>
      </c>
      <c r="O78" s="33">
        <v>53.2648</v>
      </c>
      <c r="P78" s="33">
        <v>13.5296</v>
      </c>
      <c r="Q78" s="33">
        <v>0.050725</v>
      </c>
      <c r="R78" s="34">
        <v>91.7502</v>
      </c>
      <c r="S78" s="33">
        <v>1.96603</v>
      </c>
      <c r="T78" s="33">
        <v>5.45032</v>
      </c>
      <c r="U78" s="33">
        <v>13.8287</v>
      </c>
      <c r="V78" s="33">
        <v>39.3976</v>
      </c>
      <c r="W78" s="33">
        <v>29.3628</v>
      </c>
      <c r="X78" s="33">
        <v>9.99458</v>
      </c>
      <c r="Y78" s="34">
        <v>7.0179</v>
      </c>
      <c r="Z78" s="33">
        <v>0.0</v>
      </c>
      <c r="AA78" s="33">
        <v>100.0</v>
      </c>
      <c r="AB78" s="33">
        <v>0.0</v>
      </c>
      <c r="AC78" s="33">
        <v>0.0</v>
      </c>
      <c r="AD78" s="33">
        <v>0.0</v>
      </c>
      <c r="AE78" s="33">
        <v>0.0</v>
      </c>
      <c r="AF78" s="34">
        <v>0.529789</v>
      </c>
      <c r="AG78" s="33">
        <v>0.337584</v>
      </c>
      <c r="AH78" s="33">
        <v>2.03775</v>
      </c>
      <c r="AI78" s="33">
        <v>6.82514</v>
      </c>
      <c r="AJ78" s="33">
        <v>15.2805</v>
      </c>
      <c r="AK78" s="33">
        <v>36.0515</v>
      </c>
      <c r="AL78" s="33">
        <v>39.4676</v>
      </c>
      <c r="AM78" s="34">
        <v>0.159832</v>
      </c>
      <c r="AN78" s="33">
        <v>0.631439</v>
      </c>
      <c r="AO78" s="33">
        <v>11.0948</v>
      </c>
      <c r="AP78" s="33">
        <v>56.0546</v>
      </c>
      <c r="AQ78" s="33">
        <v>25.6301</v>
      </c>
      <c r="AR78" s="33">
        <v>3.99503</v>
      </c>
      <c r="AS78" s="33">
        <v>2.59397</v>
      </c>
      <c r="AT78" s="33">
        <v>347.294</v>
      </c>
      <c r="AU78" s="34">
        <v>359.828</v>
      </c>
      <c r="AV78" s="34">
        <v>16668.0</v>
      </c>
      <c r="AW78" s="34">
        <v>0.0841737</v>
      </c>
      <c r="AX78" s="33">
        <v>0.00699655</v>
      </c>
      <c r="AY78" s="33">
        <v>0.244879</v>
      </c>
      <c r="AZ78" s="33">
        <v>0.355075</v>
      </c>
      <c r="BA78" s="33">
        <v>11.1193</v>
      </c>
      <c r="BB78" s="33">
        <v>78.3002</v>
      </c>
      <c r="BC78" s="33">
        <v>9.97359</v>
      </c>
      <c r="BD78" s="34">
        <v>29.7976</v>
      </c>
      <c r="BE78" s="33">
        <v>0.0</v>
      </c>
      <c r="BF78" s="33">
        <v>39.653</v>
      </c>
      <c r="BG78" s="33">
        <v>53.4327</v>
      </c>
      <c r="BH78" s="33">
        <v>5.14946</v>
      </c>
      <c r="BI78" s="33">
        <v>1.17892</v>
      </c>
      <c r="BJ78" s="33">
        <v>0.585961</v>
      </c>
      <c r="BK78" s="33">
        <v>38.9595</v>
      </c>
      <c r="BL78" s="33">
        <v>57171.0</v>
      </c>
    </row>
    <row r="79" ht="15.75" customHeight="1">
      <c r="A79" s="33" t="s">
        <v>113</v>
      </c>
      <c r="B79" s="33" t="s">
        <v>62</v>
      </c>
      <c r="C79" s="34">
        <v>23630.2</v>
      </c>
      <c r="D79" s="33">
        <v>183.333</v>
      </c>
      <c r="E79" s="33">
        <v>36187.4</v>
      </c>
      <c r="F79" s="33">
        <v>41.389</v>
      </c>
      <c r="G79" s="33">
        <v>75.1916</v>
      </c>
      <c r="H79" s="33">
        <v>752.004</v>
      </c>
      <c r="I79" s="33">
        <v>268.613</v>
      </c>
      <c r="J79" s="34">
        <v>8505150.0</v>
      </c>
      <c r="K79" s="34">
        <v>0.196088</v>
      </c>
      <c r="L79" s="33">
        <v>0.774425</v>
      </c>
      <c r="M79" s="33">
        <v>3.34836</v>
      </c>
      <c r="N79" s="33">
        <v>25.8104</v>
      </c>
      <c r="O79" s="33">
        <v>54.2378</v>
      </c>
      <c r="P79" s="33">
        <v>15.7448</v>
      </c>
      <c r="Q79" s="33">
        <v>0.0841767</v>
      </c>
      <c r="R79" s="34">
        <v>95.0241</v>
      </c>
      <c r="S79" s="33">
        <v>2.01463</v>
      </c>
      <c r="T79" s="33">
        <v>4.80555</v>
      </c>
      <c r="U79" s="33">
        <v>11.2572</v>
      </c>
      <c r="V79" s="33">
        <v>35.9247</v>
      </c>
      <c r="W79" s="33">
        <v>34.9445</v>
      </c>
      <c r="X79" s="33">
        <v>11.0533</v>
      </c>
      <c r="Y79" s="34">
        <v>6.41497</v>
      </c>
      <c r="Z79" s="33">
        <v>0.0</v>
      </c>
      <c r="AA79" s="33">
        <v>99.9981</v>
      </c>
      <c r="AB79" s="33">
        <v>0.00187059</v>
      </c>
      <c r="AC79" s="33">
        <v>0.0</v>
      </c>
      <c r="AD79" s="33">
        <v>0.0</v>
      </c>
      <c r="AE79" s="33">
        <v>0.0</v>
      </c>
      <c r="AF79" s="34">
        <v>0.554928</v>
      </c>
      <c r="AG79" s="33">
        <v>0.233824</v>
      </c>
      <c r="AH79" s="33">
        <v>1.64799</v>
      </c>
      <c r="AI79" s="33">
        <v>4.93649</v>
      </c>
      <c r="AJ79" s="33">
        <v>12.8472</v>
      </c>
      <c r="AK79" s="33">
        <v>33.8521</v>
      </c>
      <c r="AL79" s="33">
        <v>46.4823</v>
      </c>
      <c r="AM79" s="34">
        <v>0.147252</v>
      </c>
      <c r="AN79" s="33">
        <v>0.420883</v>
      </c>
      <c r="AO79" s="33">
        <v>13.2793</v>
      </c>
      <c r="AP79" s="33">
        <v>59.0284</v>
      </c>
      <c r="AQ79" s="33">
        <v>20.9057</v>
      </c>
      <c r="AR79" s="33">
        <v>3.55225</v>
      </c>
      <c r="AS79" s="33">
        <v>2.81337</v>
      </c>
      <c r="AT79" s="33">
        <v>359.927</v>
      </c>
      <c r="AU79" s="34">
        <v>366.04</v>
      </c>
      <c r="AV79" s="34">
        <v>14977.6</v>
      </c>
      <c r="AW79" s="34">
        <v>0.0745779</v>
      </c>
      <c r="AX79" s="33">
        <v>0.00187059</v>
      </c>
      <c r="AY79" s="33">
        <v>0.050506</v>
      </c>
      <c r="AZ79" s="33">
        <v>0.175836</v>
      </c>
      <c r="BA79" s="33">
        <v>13.472</v>
      </c>
      <c r="BB79" s="33">
        <v>78.3442</v>
      </c>
      <c r="BC79" s="33">
        <v>7.95563</v>
      </c>
      <c r="BD79" s="34">
        <v>30.0208</v>
      </c>
      <c r="BE79" s="33">
        <v>0.0</v>
      </c>
      <c r="BF79" s="33">
        <v>39.3068</v>
      </c>
      <c r="BG79" s="33">
        <v>53.6729</v>
      </c>
      <c r="BH79" s="33">
        <v>5.00758</v>
      </c>
      <c r="BI79" s="33">
        <v>1.16351</v>
      </c>
      <c r="BJ79" s="33">
        <v>0.849249</v>
      </c>
      <c r="BK79" s="33">
        <v>39.3583</v>
      </c>
      <c r="BL79" s="33">
        <v>53459.0</v>
      </c>
    </row>
    <row r="80" ht="15.75" customHeight="1">
      <c r="A80" s="33" t="s">
        <v>113</v>
      </c>
      <c r="B80" s="33" t="s">
        <v>62</v>
      </c>
      <c r="C80" s="34">
        <v>23692.7</v>
      </c>
      <c r="D80" s="33">
        <v>166.096</v>
      </c>
      <c r="E80" s="33">
        <v>40508.5</v>
      </c>
      <c r="F80" s="33">
        <v>37.388</v>
      </c>
      <c r="G80" s="33">
        <v>79.9037</v>
      </c>
      <c r="H80" s="33">
        <v>772.774</v>
      </c>
      <c r="I80" s="33">
        <v>260.161</v>
      </c>
      <c r="J80" s="34">
        <v>8472760.0</v>
      </c>
      <c r="K80" s="34">
        <v>0.197048</v>
      </c>
      <c r="L80" s="33">
        <v>0.427697</v>
      </c>
      <c r="M80" s="33">
        <v>3.85681</v>
      </c>
      <c r="N80" s="33">
        <v>25.4018</v>
      </c>
      <c r="O80" s="33">
        <v>54.6265</v>
      </c>
      <c r="P80" s="33">
        <v>15.6514</v>
      </c>
      <c r="Q80" s="33">
        <v>0.0357984</v>
      </c>
      <c r="R80" s="34">
        <v>95.1704</v>
      </c>
      <c r="S80" s="33">
        <v>1.62789</v>
      </c>
      <c r="T80" s="33">
        <v>4.71408</v>
      </c>
      <c r="U80" s="33">
        <v>11.4743</v>
      </c>
      <c r="V80" s="33">
        <v>36.407</v>
      </c>
      <c r="W80" s="33">
        <v>34.0462</v>
      </c>
      <c r="X80" s="33">
        <v>11.7306</v>
      </c>
      <c r="Y80" s="34">
        <v>6.76308</v>
      </c>
      <c r="Z80" s="33">
        <v>0.0</v>
      </c>
      <c r="AA80" s="33">
        <v>99.9001</v>
      </c>
      <c r="AB80" s="33">
        <v>0.0998587</v>
      </c>
      <c r="AC80" s="33">
        <v>0.0</v>
      </c>
      <c r="AD80" s="33">
        <v>0.0</v>
      </c>
      <c r="AE80" s="33">
        <v>0.0</v>
      </c>
      <c r="AF80" s="34">
        <v>0.548465</v>
      </c>
      <c r="AG80" s="33">
        <v>0.2374</v>
      </c>
      <c r="AH80" s="33">
        <v>2.51908</v>
      </c>
      <c r="AI80" s="33">
        <v>6.22515</v>
      </c>
      <c r="AJ80" s="33">
        <v>12.6764</v>
      </c>
      <c r="AK80" s="33">
        <v>30.2591</v>
      </c>
      <c r="AL80" s="33">
        <v>48.0829</v>
      </c>
      <c r="AM80" s="34">
        <v>0.141896</v>
      </c>
      <c r="AN80" s="33">
        <v>0.508714</v>
      </c>
      <c r="AO80" s="33">
        <v>13.513</v>
      </c>
      <c r="AP80" s="33">
        <v>57.7617</v>
      </c>
      <c r="AQ80" s="33">
        <v>22.8036</v>
      </c>
      <c r="AR80" s="33">
        <v>3.54216</v>
      </c>
      <c r="AS80" s="33">
        <v>1.87094</v>
      </c>
      <c r="AT80" s="33">
        <v>357.611</v>
      </c>
      <c r="AU80" s="34">
        <v>360.64</v>
      </c>
      <c r="AV80" s="34">
        <v>15145.3</v>
      </c>
      <c r="AW80" s="34">
        <v>0.0731924</v>
      </c>
      <c r="AX80" s="33">
        <v>0.0131889</v>
      </c>
      <c r="AY80" s="33">
        <v>0.103627</v>
      </c>
      <c r="AZ80" s="33">
        <v>0.371173</v>
      </c>
      <c r="BA80" s="33">
        <v>13.5337</v>
      </c>
      <c r="BB80" s="33">
        <v>78.0273</v>
      </c>
      <c r="BC80" s="33">
        <v>7.95101</v>
      </c>
      <c r="BD80" s="34">
        <v>29.481</v>
      </c>
      <c r="BE80" s="33">
        <v>0.0</v>
      </c>
      <c r="BF80" s="33">
        <v>38.4136</v>
      </c>
      <c r="BG80" s="33">
        <v>55.6175</v>
      </c>
      <c r="BH80" s="33">
        <v>4.87235</v>
      </c>
      <c r="BI80" s="33">
        <v>0.774376</v>
      </c>
      <c r="BJ80" s="33">
        <v>0.322186</v>
      </c>
      <c r="BK80" s="33">
        <v>39.7605</v>
      </c>
      <c r="BL80" s="33">
        <v>53075.0</v>
      </c>
    </row>
    <row r="81" ht="15.75" customHeight="1">
      <c r="A81" s="33" t="s">
        <v>113</v>
      </c>
      <c r="B81" s="33" t="s">
        <v>62</v>
      </c>
      <c r="C81" s="34">
        <v>23161.5</v>
      </c>
      <c r="D81" s="33">
        <v>198.662</v>
      </c>
      <c r="E81" s="33">
        <v>42051.8</v>
      </c>
      <c r="F81" s="33">
        <v>33.8057</v>
      </c>
      <c r="G81" s="33">
        <v>73.2834</v>
      </c>
      <c r="H81" s="33">
        <v>776.58</v>
      </c>
      <c r="I81" s="33">
        <v>291.934</v>
      </c>
      <c r="J81" s="34">
        <v>7935030.0</v>
      </c>
      <c r="K81" s="34">
        <v>0.198191</v>
      </c>
      <c r="L81" s="33">
        <v>0.793585</v>
      </c>
      <c r="M81" s="33">
        <v>3.86046</v>
      </c>
      <c r="N81" s="33">
        <v>24.1589</v>
      </c>
      <c r="O81" s="33">
        <v>54.1663</v>
      </c>
      <c r="P81" s="33">
        <v>16.9794</v>
      </c>
      <c r="Q81" s="33">
        <v>0.0413326</v>
      </c>
      <c r="R81" s="34">
        <v>91.603</v>
      </c>
      <c r="S81" s="33">
        <v>2.19063</v>
      </c>
      <c r="T81" s="33">
        <v>5.86922</v>
      </c>
      <c r="U81" s="33">
        <v>12.6664</v>
      </c>
      <c r="V81" s="33">
        <v>38.8691</v>
      </c>
      <c r="W81" s="33">
        <v>31.762</v>
      </c>
      <c r="X81" s="33">
        <v>8.64264</v>
      </c>
      <c r="Y81" s="34">
        <v>6.7488</v>
      </c>
      <c r="Z81" s="33">
        <v>0.0</v>
      </c>
      <c r="AA81" s="33">
        <v>99.9959</v>
      </c>
      <c r="AB81" s="33">
        <v>0.00413326</v>
      </c>
      <c r="AC81" s="33">
        <v>0.0</v>
      </c>
      <c r="AD81" s="33">
        <v>0.0</v>
      </c>
      <c r="AE81" s="33">
        <v>0.0</v>
      </c>
      <c r="AF81" s="34">
        <v>0.529925</v>
      </c>
      <c r="AG81" s="33">
        <v>0.258328</v>
      </c>
      <c r="AH81" s="33">
        <v>2.69075</v>
      </c>
      <c r="AI81" s="33">
        <v>6.68968</v>
      </c>
      <c r="AJ81" s="33">
        <v>15.0595</v>
      </c>
      <c r="AK81" s="33">
        <v>36.0523</v>
      </c>
      <c r="AL81" s="33">
        <v>39.2494</v>
      </c>
      <c r="AM81" s="34">
        <v>0.172371</v>
      </c>
      <c r="AN81" s="33">
        <v>0.293461</v>
      </c>
      <c r="AO81" s="33">
        <v>10.0128</v>
      </c>
      <c r="AP81" s="33">
        <v>55.3732</v>
      </c>
      <c r="AQ81" s="33">
        <v>26.4921</v>
      </c>
      <c r="AR81" s="33">
        <v>4.65405</v>
      </c>
      <c r="AS81" s="33">
        <v>3.17434</v>
      </c>
      <c r="AT81" s="33">
        <v>342.596</v>
      </c>
      <c r="AU81" s="34">
        <v>347.44</v>
      </c>
      <c r="AV81" s="34">
        <v>14215.9</v>
      </c>
      <c r="AW81" s="34">
        <v>0.093166</v>
      </c>
      <c r="AX81" s="33">
        <v>0.00413326</v>
      </c>
      <c r="AY81" s="33">
        <v>0.0950649</v>
      </c>
      <c r="AZ81" s="33">
        <v>0.19013</v>
      </c>
      <c r="BA81" s="33">
        <v>10.0169</v>
      </c>
      <c r="BB81" s="33">
        <v>78.2983</v>
      </c>
      <c r="BC81" s="33">
        <v>11.3954</v>
      </c>
      <c r="BD81" s="34">
        <v>31.6475</v>
      </c>
      <c r="BE81" s="33">
        <v>0.0</v>
      </c>
      <c r="BF81" s="33">
        <v>33.3016</v>
      </c>
      <c r="BG81" s="33">
        <v>58.343</v>
      </c>
      <c r="BH81" s="33">
        <v>6.24742</v>
      </c>
      <c r="BI81" s="33">
        <v>1.43424</v>
      </c>
      <c r="BJ81" s="33">
        <v>0.673721</v>
      </c>
      <c r="BK81" s="33">
        <v>37.8837</v>
      </c>
      <c r="BL81" s="33">
        <v>48388.0</v>
      </c>
    </row>
    <row r="82" ht="15.75" customHeight="1">
      <c r="A82" s="33" t="s">
        <v>94</v>
      </c>
      <c r="B82" s="33" t="s">
        <v>64</v>
      </c>
      <c r="C82" s="34">
        <v>25939.9</v>
      </c>
      <c r="D82" s="33">
        <v>195.033</v>
      </c>
      <c r="E82" s="33">
        <v>46922.4</v>
      </c>
      <c r="F82" s="33">
        <v>35.9465</v>
      </c>
      <c r="G82" s="33">
        <v>70.0553</v>
      </c>
      <c r="H82" s="33">
        <v>835.816</v>
      </c>
      <c r="I82" s="33">
        <v>301.304</v>
      </c>
      <c r="J82" s="34">
        <v>9454470.0</v>
      </c>
      <c r="K82" s="34">
        <v>0.213846</v>
      </c>
      <c r="L82" s="33">
        <v>0.566444</v>
      </c>
      <c r="M82" s="33">
        <v>3.12413</v>
      </c>
      <c r="N82" s="33">
        <v>19.9124</v>
      </c>
      <c r="O82" s="33">
        <v>56.0345</v>
      </c>
      <c r="P82" s="33">
        <v>20.2652</v>
      </c>
      <c r="Q82" s="33">
        <v>0.0973033</v>
      </c>
      <c r="R82" s="34">
        <v>95.714</v>
      </c>
      <c r="S82" s="33">
        <v>1.49951</v>
      </c>
      <c r="T82" s="33">
        <v>3.87823</v>
      </c>
      <c r="U82" s="33">
        <v>9.81721</v>
      </c>
      <c r="V82" s="33">
        <v>38.9613</v>
      </c>
      <c r="W82" s="33">
        <v>36.6868</v>
      </c>
      <c r="X82" s="33">
        <v>9.15694</v>
      </c>
      <c r="Y82" s="34">
        <v>6.7544</v>
      </c>
      <c r="Z82" s="33">
        <v>0.0</v>
      </c>
      <c r="AA82" s="33">
        <v>99.9965</v>
      </c>
      <c r="AB82" s="33">
        <v>0.00347512</v>
      </c>
      <c r="AC82" s="33">
        <v>0.0</v>
      </c>
      <c r="AD82" s="33">
        <v>0.0</v>
      </c>
      <c r="AE82" s="33">
        <v>0.0</v>
      </c>
      <c r="AF82" s="34">
        <v>0.55786</v>
      </c>
      <c r="AG82" s="33">
        <v>0.161593</v>
      </c>
      <c r="AH82" s="33">
        <v>1.85224</v>
      </c>
      <c r="AI82" s="33">
        <v>4.99548</v>
      </c>
      <c r="AJ82" s="33">
        <v>11.2142</v>
      </c>
      <c r="AK82" s="33">
        <v>33.3559</v>
      </c>
      <c r="AL82" s="33">
        <v>48.4206</v>
      </c>
      <c r="AM82" s="34">
        <v>0.154564</v>
      </c>
      <c r="AN82" s="33">
        <v>0.613358</v>
      </c>
      <c r="AO82" s="33">
        <v>10.9605</v>
      </c>
      <c r="AP82" s="33">
        <v>58.3907</v>
      </c>
      <c r="AQ82" s="33">
        <v>24.1121</v>
      </c>
      <c r="AR82" s="33">
        <v>3.53072</v>
      </c>
      <c r="AS82" s="33">
        <v>2.39262</v>
      </c>
      <c r="AT82" s="33">
        <v>364.476</v>
      </c>
      <c r="AU82" s="34">
        <v>369.012</v>
      </c>
      <c r="AV82" s="34">
        <v>16867.0</v>
      </c>
      <c r="AW82" s="34">
        <v>0.0737973</v>
      </c>
      <c r="AX82" s="33">
        <v>0.00695024</v>
      </c>
      <c r="AY82" s="33">
        <v>0.257159</v>
      </c>
      <c r="AZ82" s="33">
        <v>0.3562</v>
      </c>
      <c r="BA82" s="33">
        <v>10.9536</v>
      </c>
      <c r="BB82" s="33">
        <v>81.0867</v>
      </c>
      <c r="BC82" s="33">
        <v>7.33945</v>
      </c>
      <c r="BD82" s="34">
        <v>31.7288</v>
      </c>
      <c r="BE82" s="33">
        <v>0.0</v>
      </c>
      <c r="BF82" s="33">
        <v>31.0484</v>
      </c>
      <c r="BG82" s="33">
        <v>61.8449</v>
      </c>
      <c r="BH82" s="33">
        <v>5.43856</v>
      </c>
      <c r="BI82" s="33">
        <v>1.02516</v>
      </c>
      <c r="BJ82" s="33">
        <v>0.642897</v>
      </c>
      <c r="BK82" s="33">
        <v>40.5911</v>
      </c>
      <c r="BL82" s="33">
        <v>57552.0</v>
      </c>
    </row>
    <row r="83" ht="15.75" customHeight="1">
      <c r="A83" s="33" t="s">
        <v>94</v>
      </c>
      <c r="B83" s="33" t="s">
        <v>64</v>
      </c>
      <c r="C83" s="34">
        <v>24394.5</v>
      </c>
      <c r="D83" s="33">
        <v>223.848</v>
      </c>
      <c r="E83" s="33">
        <v>52966.8</v>
      </c>
      <c r="F83" s="33">
        <v>30.3808</v>
      </c>
      <c r="G83" s="33">
        <v>83.1014</v>
      </c>
      <c r="H83" s="33">
        <v>911.032</v>
      </c>
      <c r="I83" s="33">
        <v>321.283</v>
      </c>
      <c r="J83" s="34">
        <v>9735230.0</v>
      </c>
      <c r="K83" s="34">
        <v>0.198221</v>
      </c>
      <c r="L83" s="33">
        <v>0.453127</v>
      </c>
      <c r="M83" s="33">
        <v>3.64265</v>
      </c>
      <c r="N83" s="33">
        <v>23.8429</v>
      </c>
      <c r="O83" s="33">
        <v>57.1416</v>
      </c>
      <c r="P83" s="33">
        <v>14.8897</v>
      </c>
      <c r="Q83" s="33">
        <v>0.0299734</v>
      </c>
      <c r="R83" s="34">
        <v>96.6735</v>
      </c>
      <c r="S83" s="33">
        <v>1.58859</v>
      </c>
      <c r="T83" s="33">
        <v>4.35672</v>
      </c>
      <c r="U83" s="33">
        <v>10.3232</v>
      </c>
      <c r="V83" s="33">
        <v>35.5326</v>
      </c>
      <c r="W83" s="33">
        <v>35.7406</v>
      </c>
      <c r="X83" s="33">
        <v>12.4583</v>
      </c>
      <c r="Y83" s="34">
        <v>6.49317</v>
      </c>
      <c r="Z83" s="33">
        <v>0.0</v>
      </c>
      <c r="AA83" s="33">
        <v>100.0</v>
      </c>
      <c r="AB83" s="33">
        <v>0.0</v>
      </c>
      <c r="AC83" s="33">
        <v>0.0</v>
      </c>
      <c r="AD83" s="33">
        <v>0.0</v>
      </c>
      <c r="AE83" s="33">
        <v>0.0</v>
      </c>
      <c r="AF83" s="34">
        <v>0.553576</v>
      </c>
      <c r="AG83" s="33">
        <v>0.195709</v>
      </c>
      <c r="AH83" s="33">
        <v>2.35379</v>
      </c>
      <c r="AI83" s="33">
        <v>5.5486</v>
      </c>
      <c r="AJ83" s="33">
        <v>10.9703</v>
      </c>
      <c r="AK83" s="33">
        <v>33.3604</v>
      </c>
      <c r="AL83" s="33">
        <v>47.5713</v>
      </c>
      <c r="AM83" s="34">
        <v>0.137794</v>
      </c>
      <c r="AN83" s="33">
        <v>0.424917</v>
      </c>
      <c r="AO83" s="33">
        <v>14.9162</v>
      </c>
      <c r="AP83" s="33">
        <v>57.8892</v>
      </c>
      <c r="AQ83" s="33">
        <v>21.1207</v>
      </c>
      <c r="AR83" s="33">
        <v>3.54038</v>
      </c>
      <c r="AS83" s="33">
        <v>2.10872</v>
      </c>
      <c r="AT83" s="33">
        <v>399.074</v>
      </c>
      <c r="AU83" s="34">
        <v>433.812</v>
      </c>
      <c r="AV83" s="34">
        <v>16091.7</v>
      </c>
      <c r="AW83" s="34">
        <v>0.0720736</v>
      </c>
      <c r="AX83" s="33">
        <v>0.00176314</v>
      </c>
      <c r="AY83" s="33">
        <v>0.111078</v>
      </c>
      <c r="AZ83" s="33">
        <v>0.267997</v>
      </c>
      <c r="BA83" s="33">
        <v>14.9602</v>
      </c>
      <c r="BB83" s="33">
        <v>76.3034</v>
      </c>
      <c r="BC83" s="33">
        <v>8.35552</v>
      </c>
      <c r="BD83" s="34">
        <v>29.461</v>
      </c>
      <c r="BE83" s="33">
        <v>0.0</v>
      </c>
      <c r="BF83" s="33">
        <v>38.6815</v>
      </c>
      <c r="BG83" s="33">
        <v>55.4878</v>
      </c>
      <c r="BH83" s="33">
        <v>4.63</v>
      </c>
      <c r="BI83" s="33">
        <v>0.952096</v>
      </c>
      <c r="BJ83" s="33">
        <v>0.248603</v>
      </c>
      <c r="BK83" s="33">
        <v>41.3039</v>
      </c>
      <c r="BL83" s="33">
        <v>56717.0</v>
      </c>
    </row>
    <row r="84" ht="15.75" customHeight="1">
      <c r="A84" s="33" t="s">
        <v>94</v>
      </c>
      <c r="B84" s="33" t="s">
        <v>64</v>
      </c>
      <c r="C84" s="34">
        <v>22040.5</v>
      </c>
      <c r="D84" s="33">
        <v>223.168</v>
      </c>
      <c r="E84" s="33">
        <v>41112.0</v>
      </c>
      <c r="F84" s="33">
        <v>34.9399</v>
      </c>
      <c r="G84" s="33">
        <v>71.2297</v>
      </c>
      <c r="H84" s="33">
        <v>772.559</v>
      </c>
      <c r="I84" s="33">
        <v>281.888</v>
      </c>
      <c r="J84" s="34">
        <v>7474340.0</v>
      </c>
      <c r="K84" s="34">
        <v>0.210775</v>
      </c>
      <c r="L84" s="33">
        <v>0.830558</v>
      </c>
      <c r="M84" s="33">
        <v>2.99535</v>
      </c>
      <c r="N84" s="33">
        <v>20.0526</v>
      </c>
      <c r="O84" s="33">
        <v>56.297</v>
      </c>
      <c r="P84" s="33">
        <v>19.7998</v>
      </c>
      <c r="Q84" s="33">
        <v>0.02467</v>
      </c>
      <c r="R84" s="34">
        <v>92.3362</v>
      </c>
      <c r="S84" s="33">
        <v>1.89754</v>
      </c>
      <c r="T84" s="33">
        <v>4.86</v>
      </c>
      <c r="U84" s="33">
        <v>11.7964</v>
      </c>
      <c r="V84" s="33">
        <v>40.8289</v>
      </c>
      <c r="W84" s="33">
        <v>34.0755</v>
      </c>
      <c r="X84" s="33">
        <v>6.54167</v>
      </c>
      <c r="Y84" s="34">
        <v>7.13775</v>
      </c>
      <c r="Z84" s="33">
        <v>0.0</v>
      </c>
      <c r="AA84" s="33">
        <v>99.9959</v>
      </c>
      <c r="AB84" s="33">
        <v>0.00411167</v>
      </c>
      <c r="AC84" s="33">
        <v>0.0</v>
      </c>
      <c r="AD84" s="33">
        <v>0.0</v>
      </c>
      <c r="AE84" s="33">
        <v>0.0</v>
      </c>
      <c r="AF84" s="34">
        <v>0.539344</v>
      </c>
      <c r="AG84" s="33">
        <v>0.310431</v>
      </c>
      <c r="AH84" s="33">
        <v>2.25525</v>
      </c>
      <c r="AI84" s="33">
        <v>5.29378</v>
      </c>
      <c r="AJ84" s="33">
        <v>13.6302</v>
      </c>
      <c r="AK84" s="33">
        <v>36.6268</v>
      </c>
      <c r="AL84" s="33">
        <v>41.8836</v>
      </c>
      <c r="AM84" s="34">
        <v>0.178803</v>
      </c>
      <c r="AN84" s="33">
        <v>0.213807</v>
      </c>
      <c r="AO84" s="33">
        <v>8.07944</v>
      </c>
      <c r="AP84" s="33">
        <v>56.8192</v>
      </c>
      <c r="AQ84" s="33">
        <v>26.9561</v>
      </c>
      <c r="AR84" s="33">
        <v>4.55985</v>
      </c>
      <c r="AS84" s="33">
        <v>3.37157</v>
      </c>
      <c r="AT84" s="33">
        <v>339.119</v>
      </c>
      <c r="AU84" s="34">
        <v>341.619</v>
      </c>
      <c r="AV84" s="34">
        <v>14364.5</v>
      </c>
      <c r="AW84" s="34">
        <v>0.0933603</v>
      </c>
      <c r="AX84" s="33">
        <v>0.0</v>
      </c>
      <c r="AY84" s="33">
        <v>0.0513959</v>
      </c>
      <c r="AZ84" s="33">
        <v>0.160355</v>
      </c>
      <c r="BA84" s="33">
        <v>8.08149</v>
      </c>
      <c r="BB84" s="33">
        <v>81.2631</v>
      </c>
      <c r="BC84" s="33">
        <v>10.4436</v>
      </c>
      <c r="BD84" s="34">
        <v>32.8969</v>
      </c>
      <c r="BE84" s="33">
        <v>0.0</v>
      </c>
      <c r="BF84" s="33">
        <v>28.4384</v>
      </c>
      <c r="BG84" s="33">
        <v>62.6578</v>
      </c>
      <c r="BH84" s="33">
        <v>6.81099</v>
      </c>
      <c r="BI84" s="33">
        <v>1.63233</v>
      </c>
      <c r="BJ84" s="33">
        <v>0.460507</v>
      </c>
      <c r="BK84" s="33">
        <v>40.6967</v>
      </c>
      <c r="BL84" s="33">
        <v>48642.0</v>
      </c>
    </row>
    <row r="85" ht="15.75" customHeight="1">
      <c r="A85" s="33" t="s">
        <v>94</v>
      </c>
      <c r="B85" s="33" t="s">
        <v>64</v>
      </c>
      <c r="C85" s="34">
        <v>24060.3</v>
      </c>
      <c r="D85" s="33">
        <v>225.981</v>
      </c>
      <c r="E85" s="33">
        <v>48057.8</v>
      </c>
      <c r="F85" s="33">
        <v>31.5595</v>
      </c>
      <c r="G85" s="33">
        <v>77.6013</v>
      </c>
      <c r="H85" s="33">
        <v>845.116</v>
      </c>
      <c r="I85" s="33">
        <v>299.016</v>
      </c>
      <c r="J85" s="34">
        <v>9080470.0</v>
      </c>
      <c r="K85" s="34">
        <v>0.214218</v>
      </c>
      <c r="L85" s="33">
        <v>0.543983</v>
      </c>
      <c r="M85" s="33">
        <v>2.90372</v>
      </c>
      <c r="N85" s="33">
        <v>20.5544</v>
      </c>
      <c r="O85" s="33">
        <v>55.4435</v>
      </c>
      <c r="P85" s="33">
        <v>20.4634</v>
      </c>
      <c r="Q85" s="33">
        <v>0.0909732</v>
      </c>
      <c r="R85" s="34">
        <v>93.3657</v>
      </c>
      <c r="S85" s="33">
        <v>1.48713</v>
      </c>
      <c r="T85" s="33">
        <v>4.24975</v>
      </c>
      <c r="U85" s="33">
        <v>11.1006</v>
      </c>
      <c r="V85" s="33">
        <v>41.7289</v>
      </c>
      <c r="W85" s="33">
        <v>34.1985</v>
      </c>
      <c r="X85" s="33">
        <v>7.23516</v>
      </c>
      <c r="Y85" s="34">
        <v>6.88634</v>
      </c>
      <c r="Z85" s="33">
        <v>0.0</v>
      </c>
      <c r="AA85" s="33">
        <v>100.0</v>
      </c>
      <c r="AB85" s="33">
        <v>0.0</v>
      </c>
      <c r="AC85" s="33">
        <v>0.0</v>
      </c>
      <c r="AD85" s="33">
        <v>0.0</v>
      </c>
      <c r="AE85" s="33">
        <v>0.0</v>
      </c>
      <c r="AF85" s="34">
        <v>0.539733</v>
      </c>
      <c r="AG85" s="33">
        <v>0.209795</v>
      </c>
      <c r="AH85" s="33">
        <v>2.06825</v>
      </c>
      <c r="AI85" s="33">
        <v>5.69232</v>
      </c>
      <c r="AJ85" s="33">
        <v>14.2438</v>
      </c>
      <c r="AK85" s="33">
        <v>35.4758</v>
      </c>
      <c r="AL85" s="33">
        <v>42.31</v>
      </c>
      <c r="AM85" s="34">
        <v>0.172134</v>
      </c>
      <c r="AN85" s="33">
        <v>0.159667</v>
      </c>
      <c r="AO85" s="33">
        <v>9.07133</v>
      </c>
      <c r="AP85" s="33">
        <v>56.3421</v>
      </c>
      <c r="AQ85" s="33">
        <v>27.4424</v>
      </c>
      <c r="AR85" s="33">
        <v>4.24232</v>
      </c>
      <c r="AS85" s="33">
        <v>2.74219</v>
      </c>
      <c r="AT85" s="33">
        <v>377.405</v>
      </c>
      <c r="AU85" s="34">
        <v>393.162</v>
      </c>
      <c r="AV85" s="34">
        <v>15166.8</v>
      </c>
      <c r="AW85" s="34">
        <v>0.0873121</v>
      </c>
      <c r="AX85" s="33">
        <v>0.0</v>
      </c>
      <c r="AY85" s="33">
        <v>0.0222792</v>
      </c>
      <c r="AZ85" s="33">
        <v>0.118822</v>
      </c>
      <c r="BA85" s="33">
        <v>9.0899</v>
      </c>
      <c r="BB85" s="33">
        <v>81.7218</v>
      </c>
      <c r="BC85" s="33">
        <v>9.04719</v>
      </c>
      <c r="BD85" s="34">
        <v>32.425</v>
      </c>
      <c r="BE85" s="33">
        <v>0.0</v>
      </c>
      <c r="BF85" s="33">
        <v>29.9859</v>
      </c>
      <c r="BG85" s="33">
        <v>61.5536</v>
      </c>
      <c r="BH85" s="33">
        <v>6.62248</v>
      </c>
      <c r="BI85" s="33">
        <v>1.16409</v>
      </c>
      <c r="BJ85" s="33">
        <v>0.673945</v>
      </c>
      <c r="BK85" s="33">
        <v>39.1023</v>
      </c>
      <c r="BL85" s="33">
        <v>53862.0</v>
      </c>
    </row>
    <row r="86" ht="15.75" customHeight="1">
      <c r="A86" s="33" t="s">
        <v>111</v>
      </c>
      <c r="B86" s="33" t="s">
        <v>64</v>
      </c>
      <c r="C86" s="34">
        <v>24162.3</v>
      </c>
      <c r="D86" s="33">
        <v>192.536</v>
      </c>
      <c r="E86" s="33">
        <v>43179.3</v>
      </c>
      <c r="F86" s="33">
        <v>37.0302</v>
      </c>
      <c r="G86" s="33">
        <v>72.7526</v>
      </c>
      <c r="H86" s="33">
        <v>797.532</v>
      </c>
      <c r="I86" s="33">
        <v>308.615</v>
      </c>
      <c r="J86" s="34">
        <v>9028120.0</v>
      </c>
      <c r="K86" s="34">
        <v>0.211355</v>
      </c>
      <c r="L86" s="33">
        <v>0.533276</v>
      </c>
      <c r="M86" s="33">
        <v>3.21388</v>
      </c>
      <c r="N86" s="33">
        <v>19.8717</v>
      </c>
      <c r="O86" s="33">
        <v>57.3539</v>
      </c>
      <c r="P86" s="33">
        <v>18.9793</v>
      </c>
      <c r="Q86" s="33">
        <v>0.0479949</v>
      </c>
      <c r="R86" s="34">
        <v>96.285</v>
      </c>
      <c r="S86" s="33">
        <v>1.45229</v>
      </c>
      <c r="T86" s="33">
        <v>3.93558</v>
      </c>
      <c r="U86" s="33">
        <v>9.16702</v>
      </c>
      <c r="V86" s="33">
        <v>38.819</v>
      </c>
      <c r="W86" s="33">
        <v>37.3311</v>
      </c>
      <c r="X86" s="33">
        <v>9.29501</v>
      </c>
      <c r="Y86" s="34">
        <v>6.75894</v>
      </c>
      <c r="Z86" s="33">
        <v>0.0</v>
      </c>
      <c r="AA86" s="33">
        <v>100.0</v>
      </c>
      <c r="AB86" s="33">
        <v>0.0</v>
      </c>
      <c r="AC86" s="33">
        <v>0.0</v>
      </c>
      <c r="AD86" s="33">
        <v>0.0</v>
      </c>
      <c r="AE86" s="33">
        <v>0.0</v>
      </c>
      <c r="AF86" s="34">
        <v>0.562084</v>
      </c>
      <c r="AG86" s="33">
        <v>0.126209</v>
      </c>
      <c r="AH86" s="33">
        <v>1.60872</v>
      </c>
      <c r="AI86" s="33">
        <v>4.63062</v>
      </c>
      <c r="AJ86" s="33">
        <v>10.7082</v>
      </c>
      <c r="AK86" s="33">
        <v>33.1609</v>
      </c>
      <c r="AL86" s="33">
        <v>49.7654</v>
      </c>
      <c r="AM86" s="34">
        <v>0.150494</v>
      </c>
      <c r="AN86" s="33">
        <v>0.901237</v>
      </c>
      <c r="AO86" s="33">
        <v>11.0353</v>
      </c>
      <c r="AP86" s="33">
        <v>58.6284</v>
      </c>
      <c r="AQ86" s="33">
        <v>23.4748</v>
      </c>
      <c r="AR86" s="33">
        <v>3.72582</v>
      </c>
      <c r="AS86" s="33">
        <v>2.23443</v>
      </c>
      <c r="AT86" s="33">
        <v>373.644</v>
      </c>
      <c r="AU86" s="34">
        <v>377.314</v>
      </c>
      <c r="AV86" s="34">
        <v>15989.4</v>
      </c>
      <c r="AW86" s="34">
        <v>0.0704742</v>
      </c>
      <c r="AX86" s="33">
        <v>0.00888794</v>
      </c>
      <c r="AY86" s="33">
        <v>0.44973</v>
      </c>
      <c r="AZ86" s="33">
        <v>0.495947</v>
      </c>
      <c r="BA86" s="33">
        <v>10.9819</v>
      </c>
      <c r="BB86" s="33">
        <v>80.9389</v>
      </c>
      <c r="BC86" s="33">
        <v>7.12457</v>
      </c>
      <c r="BD86" s="34">
        <v>31.3455</v>
      </c>
      <c r="BE86" s="33">
        <v>0.0</v>
      </c>
      <c r="BF86" s="33">
        <v>32.3059</v>
      </c>
      <c r="BG86" s="33">
        <v>60.662</v>
      </c>
      <c r="BH86" s="33">
        <v>5.59585</v>
      </c>
      <c r="BI86" s="33">
        <v>0.986561</v>
      </c>
      <c r="BJ86" s="33">
        <v>0.44973</v>
      </c>
      <c r="BK86" s="33">
        <v>41.4631</v>
      </c>
      <c r="BL86" s="33">
        <v>56256.0</v>
      </c>
    </row>
    <row r="87" ht="15.75" customHeight="1">
      <c r="A87" s="33" t="s">
        <v>111</v>
      </c>
      <c r="B87" s="33" t="s">
        <v>64</v>
      </c>
      <c r="C87" s="34">
        <v>29676.3</v>
      </c>
      <c r="D87" s="33">
        <v>238.787</v>
      </c>
      <c r="E87" s="33">
        <v>48618.7</v>
      </c>
      <c r="F87" s="33">
        <v>38.3441</v>
      </c>
      <c r="G87" s="33">
        <v>73.1303</v>
      </c>
      <c r="H87" s="33">
        <v>884.049</v>
      </c>
      <c r="I87" s="33">
        <v>316.72</v>
      </c>
      <c r="J87" s="34">
        <v>1.19703E7</v>
      </c>
      <c r="K87" s="34">
        <v>0.196159</v>
      </c>
      <c r="L87" s="33">
        <v>0.401515</v>
      </c>
      <c r="M87" s="33">
        <v>3.32162</v>
      </c>
      <c r="N87" s="33">
        <v>26.0133</v>
      </c>
      <c r="O87" s="33">
        <v>55.663</v>
      </c>
      <c r="P87" s="33">
        <v>14.5595</v>
      </c>
      <c r="Q87" s="33">
        <v>0.041064</v>
      </c>
      <c r="R87" s="34">
        <v>94.043</v>
      </c>
      <c r="S87" s="33">
        <v>1.56804</v>
      </c>
      <c r="T87" s="33">
        <v>4.441</v>
      </c>
      <c r="U87" s="33">
        <v>11.9496</v>
      </c>
      <c r="V87" s="33">
        <v>39.242</v>
      </c>
      <c r="W87" s="33">
        <v>33.1158</v>
      </c>
      <c r="X87" s="33">
        <v>9.6835</v>
      </c>
      <c r="Y87" s="34">
        <v>6.79701</v>
      </c>
      <c r="Z87" s="33">
        <v>0.0</v>
      </c>
      <c r="AA87" s="33">
        <v>100.0</v>
      </c>
      <c r="AB87" s="33">
        <v>0.0</v>
      </c>
      <c r="AC87" s="33">
        <v>0.0</v>
      </c>
      <c r="AD87" s="33">
        <v>0.0</v>
      </c>
      <c r="AE87" s="33">
        <v>0.0</v>
      </c>
      <c r="AF87" s="34">
        <v>0.538034</v>
      </c>
      <c r="AG87" s="33">
        <v>0.212925</v>
      </c>
      <c r="AH87" s="33">
        <v>1.91936</v>
      </c>
      <c r="AI87" s="33">
        <v>5.48737</v>
      </c>
      <c r="AJ87" s="33">
        <v>15.1222</v>
      </c>
      <c r="AK87" s="33">
        <v>36.9135</v>
      </c>
      <c r="AL87" s="33">
        <v>40.3446</v>
      </c>
      <c r="AM87" s="34">
        <v>0.147891</v>
      </c>
      <c r="AN87" s="33">
        <v>0.596189</v>
      </c>
      <c r="AO87" s="33">
        <v>11.1968</v>
      </c>
      <c r="AP87" s="33">
        <v>59.0561</v>
      </c>
      <c r="AQ87" s="33">
        <v>23.7776</v>
      </c>
      <c r="AR87" s="33">
        <v>3.61668</v>
      </c>
      <c r="AS87" s="33">
        <v>1.75663</v>
      </c>
      <c r="AT87" s="33">
        <v>403.363</v>
      </c>
      <c r="AU87" s="34">
        <v>435.163</v>
      </c>
      <c r="AV87" s="34">
        <v>18642.4</v>
      </c>
      <c r="AW87" s="34">
        <v>0.0771814</v>
      </c>
      <c r="AX87" s="33">
        <v>0.00304178</v>
      </c>
      <c r="AY87" s="33">
        <v>0.25703</v>
      </c>
      <c r="AZ87" s="33">
        <v>0.314824</v>
      </c>
      <c r="BA87" s="33">
        <v>11.2181</v>
      </c>
      <c r="BB87" s="33">
        <v>80.0794</v>
      </c>
      <c r="BC87" s="33">
        <v>8.12763</v>
      </c>
      <c r="BD87" s="34">
        <v>29.4892</v>
      </c>
      <c r="BE87" s="33">
        <v>0.0</v>
      </c>
      <c r="BF87" s="33">
        <v>38.5272</v>
      </c>
      <c r="BG87" s="33">
        <v>55.7406</v>
      </c>
      <c r="BH87" s="33">
        <v>4.59765</v>
      </c>
      <c r="BI87" s="33">
        <v>0.739152</v>
      </c>
      <c r="BJ87" s="33">
        <v>0.395431</v>
      </c>
      <c r="BK87" s="33">
        <v>38.9513</v>
      </c>
      <c r="BL87" s="33">
        <v>65751.0</v>
      </c>
    </row>
    <row r="88" ht="15.75" customHeight="1">
      <c r="A88" s="33" t="s">
        <v>111</v>
      </c>
      <c r="B88" s="33" t="s">
        <v>64</v>
      </c>
      <c r="C88" s="34">
        <v>28711.4</v>
      </c>
      <c r="D88" s="33">
        <v>236.277</v>
      </c>
      <c r="E88" s="33">
        <v>60403.9</v>
      </c>
      <c r="F88" s="33">
        <v>30.775</v>
      </c>
      <c r="G88" s="33">
        <v>70.4432</v>
      </c>
      <c r="H88" s="33">
        <v>969.766</v>
      </c>
      <c r="I88" s="33">
        <v>332.019</v>
      </c>
      <c r="J88" s="34">
        <v>1.14231E7</v>
      </c>
      <c r="K88" s="34">
        <v>0.204402</v>
      </c>
      <c r="L88" s="33">
        <v>0.484378</v>
      </c>
      <c r="M88" s="33">
        <v>2.99953</v>
      </c>
      <c r="N88" s="33">
        <v>22.2919</v>
      </c>
      <c r="O88" s="33">
        <v>58.1073</v>
      </c>
      <c r="P88" s="33">
        <v>16.0807</v>
      </c>
      <c r="Q88" s="33">
        <v>0.0361027</v>
      </c>
      <c r="R88" s="34">
        <v>94.2787</v>
      </c>
      <c r="S88" s="33">
        <v>1.49375</v>
      </c>
      <c r="T88" s="33">
        <v>4.3233</v>
      </c>
      <c r="U88" s="33">
        <v>10.5631</v>
      </c>
      <c r="V88" s="33">
        <v>39.9477</v>
      </c>
      <c r="W88" s="33">
        <v>35.7221</v>
      </c>
      <c r="X88" s="33">
        <v>7.95012</v>
      </c>
      <c r="Y88" s="34">
        <v>7.07753</v>
      </c>
      <c r="Z88" s="33">
        <v>0.0</v>
      </c>
      <c r="AA88" s="33">
        <v>100.0</v>
      </c>
      <c r="AB88" s="33">
        <v>0.0</v>
      </c>
      <c r="AC88" s="33">
        <v>0.0</v>
      </c>
      <c r="AD88" s="33">
        <v>0.0</v>
      </c>
      <c r="AE88" s="33">
        <v>0.0</v>
      </c>
      <c r="AF88" s="34">
        <v>0.54179</v>
      </c>
      <c r="AG88" s="33">
        <v>0.23918</v>
      </c>
      <c r="AH88" s="33">
        <v>2.22784</v>
      </c>
      <c r="AI88" s="33">
        <v>5.91483</v>
      </c>
      <c r="AJ88" s="33">
        <v>12.3577</v>
      </c>
      <c r="AK88" s="33">
        <v>36.0922</v>
      </c>
      <c r="AL88" s="33">
        <v>43.1683</v>
      </c>
      <c r="AM88" s="34">
        <v>0.154076</v>
      </c>
      <c r="AN88" s="33">
        <v>0.215112</v>
      </c>
      <c r="AO88" s="33">
        <v>9.88312</v>
      </c>
      <c r="AP88" s="33">
        <v>60.3367</v>
      </c>
      <c r="AQ88" s="33">
        <v>24.1542</v>
      </c>
      <c r="AR88" s="33">
        <v>3.38764</v>
      </c>
      <c r="AS88" s="33">
        <v>2.02326</v>
      </c>
      <c r="AT88" s="33">
        <v>397.858</v>
      </c>
      <c r="AU88" s="34">
        <v>409.963</v>
      </c>
      <c r="AV88" s="34">
        <v>18589.3</v>
      </c>
      <c r="AW88" s="34">
        <v>0.0809957</v>
      </c>
      <c r="AX88" s="33">
        <v>0.00150428</v>
      </c>
      <c r="AY88" s="33">
        <v>0.0451284</v>
      </c>
      <c r="AZ88" s="33">
        <v>0.198565</v>
      </c>
      <c r="BA88" s="33">
        <v>9.85303</v>
      </c>
      <c r="BB88" s="33">
        <v>81.1709</v>
      </c>
      <c r="BC88" s="33">
        <v>8.73084</v>
      </c>
      <c r="BD88" s="34">
        <v>30.4403</v>
      </c>
      <c r="BE88" s="33">
        <v>0.0</v>
      </c>
      <c r="BF88" s="33">
        <v>33.9877</v>
      </c>
      <c r="BG88" s="33">
        <v>60.2645</v>
      </c>
      <c r="BH88" s="33">
        <v>4.48426</v>
      </c>
      <c r="BI88" s="33">
        <v>0.97026</v>
      </c>
      <c r="BJ88" s="33">
        <v>0.293335</v>
      </c>
      <c r="BK88" s="33">
        <v>40.3864</v>
      </c>
      <c r="BL88" s="33">
        <v>66477.0</v>
      </c>
    </row>
    <row r="89" ht="15.75" customHeight="1">
      <c r="A89" s="33" t="s">
        <v>111</v>
      </c>
      <c r="B89" s="33" t="s">
        <v>64</v>
      </c>
      <c r="C89" s="34">
        <v>26215.0</v>
      </c>
      <c r="D89" s="33">
        <v>201.115</v>
      </c>
      <c r="E89" s="33">
        <v>52362.7</v>
      </c>
      <c r="F89" s="33">
        <v>32.1388</v>
      </c>
      <c r="G89" s="33">
        <v>79.8215</v>
      </c>
      <c r="H89" s="33">
        <v>864.114</v>
      </c>
      <c r="I89" s="33">
        <v>309.114</v>
      </c>
      <c r="J89" s="34">
        <v>9142790.0</v>
      </c>
      <c r="K89" s="34">
        <v>0.207813</v>
      </c>
      <c r="L89" s="33">
        <v>0.581445</v>
      </c>
      <c r="M89" s="33">
        <v>3.17903</v>
      </c>
      <c r="N89" s="33">
        <v>22.0485</v>
      </c>
      <c r="O89" s="33">
        <v>55.5298</v>
      </c>
      <c r="P89" s="33">
        <v>18.6355</v>
      </c>
      <c r="Q89" s="33">
        <v>0.0258038</v>
      </c>
      <c r="R89" s="34">
        <v>93.6092</v>
      </c>
      <c r="S89" s="33">
        <v>1.68757</v>
      </c>
      <c r="T89" s="33">
        <v>5.09195</v>
      </c>
      <c r="U89" s="33">
        <v>11.5412</v>
      </c>
      <c r="V89" s="33">
        <v>38.8381</v>
      </c>
      <c r="W89" s="33">
        <v>34.0541</v>
      </c>
      <c r="X89" s="33">
        <v>8.78705</v>
      </c>
      <c r="Y89" s="34">
        <v>6.8423</v>
      </c>
      <c r="Z89" s="33">
        <v>0.0</v>
      </c>
      <c r="AA89" s="33">
        <v>100.0</v>
      </c>
      <c r="AB89" s="33">
        <v>0.0</v>
      </c>
      <c r="AC89" s="33">
        <v>0.0</v>
      </c>
      <c r="AD89" s="33">
        <v>0.0</v>
      </c>
      <c r="AE89" s="33">
        <v>0.0</v>
      </c>
      <c r="AF89" s="34">
        <v>0.544496</v>
      </c>
      <c r="AG89" s="33">
        <v>0.302764</v>
      </c>
      <c r="AH89" s="33">
        <v>2.1916</v>
      </c>
      <c r="AI89" s="33">
        <v>5.60458</v>
      </c>
      <c r="AJ89" s="33">
        <v>13.1255</v>
      </c>
      <c r="AK89" s="33">
        <v>34.4498</v>
      </c>
      <c r="AL89" s="33">
        <v>44.3257</v>
      </c>
      <c r="AM89" s="34">
        <v>0.166278</v>
      </c>
      <c r="AN89" s="33">
        <v>0.302764</v>
      </c>
      <c r="AO89" s="33">
        <v>10.8187</v>
      </c>
      <c r="AP89" s="33">
        <v>55.8188</v>
      </c>
      <c r="AQ89" s="33">
        <v>25.5698</v>
      </c>
      <c r="AR89" s="33">
        <v>4.61544</v>
      </c>
      <c r="AS89" s="33">
        <v>2.87454</v>
      </c>
      <c r="AT89" s="33">
        <v>348.762</v>
      </c>
      <c r="AU89" s="34">
        <v>357.763</v>
      </c>
      <c r="AV89" s="34">
        <v>16828.7</v>
      </c>
      <c r="AW89" s="34">
        <v>0.0860778</v>
      </c>
      <c r="AX89" s="33">
        <v>0.00344051</v>
      </c>
      <c r="AY89" s="33">
        <v>0.106656</v>
      </c>
      <c r="AZ89" s="33">
        <v>0.221913</v>
      </c>
      <c r="BA89" s="33">
        <v>10.7894</v>
      </c>
      <c r="BB89" s="33">
        <v>79.037</v>
      </c>
      <c r="BC89" s="33">
        <v>9.84157</v>
      </c>
      <c r="BD89" s="34">
        <v>31.8494</v>
      </c>
      <c r="BE89" s="33">
        <v>0.0</v>
      </c>
      <c r="BF89" s="33">
        <v>31.4187</v>
      </c>
      <c r="BG89" s="33">
        <v>60.5632</v>
      </c>
      <c r="BH89" s="33">
        <v>6.2686</v>
      </c>
      <c r="BI89" s="33">
        <v>1.48974</v>
      </c>
      <c r="BJ89" s="33">
        <v>0.259758</v>
      </c>
      <c r="BK89" s="33">
        <v>39.9689</v>
      </c>
      <c r="BL89" s="33">
        <v>58131.0</v>
      </c>
    </row>
    <row r="90" ht="15.75" customHeight="1">
      <c r="A90" s="33" t="s">
        <v>112</v>
      </c>
      <c r="B90" s="33" t="s">
        <v>64</v>
      </c>
      <c r="C90" s="34">
        <v>26930.7</v>
      </c>
      <c r="D90" s="33">
        <v>186.3</v>
      </c>
      <c r="E90" s="33">
        <v>50582.5</v>
      </c>
      <c r="F90" s="33">
        <v>33.3639</v>
      </c>
      <c r="G90" s="33">
        <v>74.6225</v>
      </c>
      <c r="H90" s="33">
        <v>854.757</v>
      </c>
      <c r="I90" s="33">
        <v>303.913</v>
      </c>
      <c r="J90" s="34">
        <v>1.03508E7</v>
      </c>
      <c r="K90" s="34">
        <v>0.18986</v>
      </c>
      <c r="L90" s="33">
        <v>0.474344</v>
      </c>
      <c r="M90" s="33">
        <v>4.35065</v>
      </c>
      <c r="N90" s="33">
        <v>26.6448</v>
      </c>
      <c r="O90" s="33">
        <v>54.9007</v>
      </c>
      <c r="P90" s="33">
        <v>13.6145</v>
      </c>
      <c r="Q90" s="33">
        <v>0.0149793</v>
      </c>
      <c r="R90" s="34">
        <v>97.1591</v>
      </c>
      <c r="S90" s="33">
        <v>1.57782</v>
      </c>
      <c r="T90" s="33">
        <v>4.18754</v>
      </c>
      <c r="U90" s="33">
        <v>10.3124</v>
      </c>
      <c r="V90" s="33">
        <v>36.2399</v>
      </c>
      <c r="W90" s="33">
        <v>34.0429</v>
      </c>
      <c r="X90" s="33">
        <v>13.6395</v>
      </c>
      <c r="Y90" s="34">
        <v>6.85526</v>
      </c>
      <c r="Z90" s="33">
        <v>0.0</v>
      </c>
      <c r="AA90" s="33">
        <v>100.0</v>
      </c>
      <c r="AB90" s="33">
        <v>0.0</v>
      </c>
      <c r="AC90" s="33">
        <v>0.0</v>
      </c>
      <c r="AD90" s="33">
        <v>0.0</v>
      </c>
      <c r="AE90" s="33">
        <v>0.0</v>
      </c>
      <c r="AF90" s="34">
        <v>0.54212</v>
      </c>
      <c r="AG90" s="33">
        <v>0.184744</v>
      </c>
      <c r="AH90" s="33">
        <v>2.13205</v>
      </c>
      <c r="AI90" s="33">
        <v>6.06827</v>
      </c>
      <c r="AJ90" s="33">
        <v>14.6031</v>
      </c>
      <c r="AK90" s="33">
        <v>31.3067</v>
      </c>
      <c r="AL90" s="33">
        <v>45.7051</v>
      </c>
      <c r="AM90" s="34">
        <v>0.126725</v>
      </c>
      <c r="AN90" s="33">
        <v>1.3032</v>
      </c>
      <c r="AO90" s="33">
        <v>14.9643</v>
      </c>
      <c r="AP90" s="33">
        <v>58.6123</v>
      </c>
      <c r="AQ90" s="33">
        <v>20.9543</v>
      </c>
      <c r="AR90" s="33">
        <v>2.64135</v>
      </c>
      <c r="AS90" s="33">
        <v>1.52456</v>
      </c>
      <c r="AT90" s="33">
        <v>384.351</v>
      </c>
      <c r="AU90" s="34">
        <v>393.684</v>
      </c>
      <c r="AV90" s="34">
        <v>16876.3</v>
      </c>
      <c r="AW90" s="34">
        <v>0.0641431</v>
      </c>
      <c r="AX90" s="33">
        <v>0.0</v>
      </c>
      <c r="AY90" s="33">
        <v>0.517617</v>
      </c>
      <c r="AZ90" s="33">
        <v>0.898757</v>
      </c>
      <c r="BA90" s="33">
        <v>14.8511</v>
      </c>
      <c r="BB90" s="33">
        <v>76.9552</v>
      </c>
      <c r="BC90" s="33">
        <v>6.77729</v>
      </c>
      <c r="BD90" s="34">
        <v>28.4017</v>
      </c>
      <c r="BE90" s="33">
        <v>0.0</v>
      </c>
      <c r="BF90" s="33">
        <v>41.431</v>
      </c>
      <c r="BG90" s="33">
        <v>53.9054</v>
      </c>
      <c r="BH90" s="33">
        <v>3.78476</v>
      </c>
      <c r="BI90" s="33">
        <v>0.674068</v>
      </c>
      <c r="BJ90" s="33">
        <v>0.204717</v>
      </c>
      <c r="BK90" s="33">
        <v>38.8335</v>
      </c>
      <c r="BL90" s="33">
        <v>60083.0</v>
      </c>
    </row>
    <row r="91" ht="15.75" customHeight="1">
      <c r="A91" s="33" t="s">
        <v>112</v>
      </c>
      <c r="B91" s="33" t="s">
        <v>64</v>
      </c>
      <c r="C91" s="34">
        <v>23887.0</v>
      </c>
      <c r="D91" s="33">
        <v>193.462</v>
      </c>
      <c r="E91" s="33">
        <v>45674.4</v>
      </c>
      <c r="F91" s="33">
        <v>32.0272</v>
      </c>
      <c r="G91" s="33">
        <v>84.2459</v>
      </c>
      <c r="H91" s="33">
        <v>829.91</v>
      </c>
      <c r="I91" s="33">
        <v>292.734</v>
      </c>
      <c r="J91" s="34">
        <v>8880430.0</v>
      </c>
      <c r="K91" s="34">
        <v>0.182149</v>
      </c>
      <c r="L91" s="33">
        <v>0.75943</v>
      </c>
      <c r="M91" s="33">
        <v>4.47177</v>
      </c>
      <c r="N91" s="33">
        <v>28.8583</v>
      </c>
      <c r="O91" s="33">
        <v>53.5765</v>
      </c>
      <c r="P91" s="33">
        <v>12.3166</v>
      </c>
      <c r="Q91" s="33">
        <v>0.0173474</v>
      </c>
      <c r="R91" s="34">
        <v>95.4312</v>
      </c>
      <c r="S91" s="33">
        <v>1.97953</v>
      </c>
      <c r="T91" s="33">
        <v>4.85341</v>
      </c>
      <c r="U91" s="33">
        <v>10.607</v>
      </c>
      <c r="V91" s="33">
        <v>35.9091</v>
      </c>
      <c r="W91" s="33">
        <v>34.0491</v>
      </c>
      <c r="X91" s="33">
        <v>12.6019</v>
      </c>
      <c r="Y91" s="34">
        <v>6.89762</v>
      </c>
      <c r="Z91" s="33">
        <v>0.0</v>
      </c>
      <c r="AA91" s="33">
        <v>100.0</v>
      </c>
      <c r="AB91" s="33">
        <v>0.0</v>
      </c>
      <c r="AC91" s="33">
        <v>0.0</v>
      </c>
      <c r="AD91" s="33">
        <v>0.0</v>
      </c>
      <c r="AE91" s="33">
        <v>0.0</v>
      </c>
      <c r="AF91" s="34">
        <v>0.527199</v>
      </c>
      <c r="AG91" s="33">
        <v>0.292978</v>
      </c>
      <c r="AH91" s="33">
        <v>2.85654</v>
      </c>
      <c r="AI91" s="33">
        <v>7.03726</v>
      </c>
      <c r="AJ91" s="33">
        <v>14.4889</v>
      </c>
      <c r="AK91" s="33">
        <v>35.4388</v>
      </c>
      <c r="AL91" s="33">
        <v>39.8855</v>
      </c>
      <c r="AM91" s="34">
        <v>0.131947</v>
      </c>
      <c r="AN91" s="33">
        <v>0.846167</v>
      </c>
      <c r="AO91" s="33">
        <v>13.9743</v>
      </c>
      <c r="AP91" s="33">
        <v>60.9722</v>
      </c>
      <c r="AQ91" s="33">
        <v>19.3635</v>
      </c>
      <c r="AR91" s="33">
        <v>2.71005</v>
      </c>
      <c r="AS91" s="33">
        <v>2.13373</v>
      </c>
      <c r="AT91" s="33">
        <v>371.768</v>
      </c>
      <c r="AU91" s="34">
        <v>380.484</v>
      </c>
      <c r="AV91" s="34">
        <v>14628.2</v>
      </c>
      <c r="AW91" s="34">
        <v>0.0695571</v>
      </c>
      <c r="AX91" s="33">
        <v>0.00963744</v>
      </c>
      <c r="AY91" s="33">
        <v>0.439467</v>
      </c>
      <c r="AZ91" s="33">
        <v>0.451032</v>
      </c>
      <c r="BA91" s="33">
        <v>13.9203</v>
      </c>
      <c r="BB91" s="33">
        <v>77.4253</v>
      </c>
      <c r="BC91" s="33">
        <v>7.75428</v>
      </c>
      <c r="BD91" s="34">
        <v>28.0409</v>
      </c>
      <c r="BE91" s="33">
        <v>0.0</v>
      </c>
      <c r="BF91" s="33">
        <v>44.4903</v>
      </c>
      <c r="BG91" s="33">
        <v>50.5368</v>
      </c>
      <c r="BH91" s="33">
        <v>3.51381</v>
      </c>
      <c r="BI91" s="33">
        <v>0.915557</v>
      </c>
      <c r="BJ91" s="33">
        <v>0.543552</v>
      </c>
      <c r="BK91" s="33">
        <v>37.785</v>
      </c>
      <c r="BL91" s="33">
        <v>51881.0</v>
      </c>
    </row>
    <row r="92" ht="15.75" customHeight="1">
      <c r="A92" s="33" t="s">
        <v>112</v>
      </c>
      <c r="B92" s="33" t="s">
        <v>64</v>
      </c>
      <c r="C92" s="34">
        <v>30453.4</v>
      </c>
      <c r="D92" s="33">
        <v>213.729</v>
      </c>
      <c r="E92" s="33">
        <v>53373.1</v>
      </c>
      <c r="F92" s="33">
        <v>36.5465</v>
      </c>
      <c r="G92" s="33">
        <v>69.4533</v>
      </c>
      <c r="H92" s="33">
        <v>906.921</v>
      </c>
      <c r="I92" s="33">
        <v>336.009</v>
      </c>
      <c r="J92" s="34">
        <v>1.19492E7</v>
      </c>
      <c r="K92" s="34">
        <v>0.187978</v>
      </c>
      <c r="L92" s="33">
        <v>0.932054</v>
      </c>
      <c r="M92" s="33">
        <v>3.86839</v>
      </c>
      <c r="N92" s="33">
        <v>26.2955</v>
      </c>
      <c r="O92" s="33">
        <v>55.4984</v>
      </c>
      <c r="P92" s="33">
        <v>13.3522</v>
      </c>
      <c r="Q92" s="33">
        <v>0.0534667</v>
      </c>
      <c r="R92" s="34">
        <v>95.757</v>
      </c>
      <c r="S92" s="33">
        <v>2.16179</v>
      </c>
      <c r="T92" s="33">
        <v>4.9276</v>
      </c>
      <c r="U92" s="33">
        <v>10.5329</v>
      </c>
      <c r="V92" s="33">
        <v>34.3025</v>
      </c>
      <c r="W92" s="33">
        <v>35.4195</v>
      </c>
      <c r="X92" s="33">
        <v>12.6557</v>
      </c>
      <c r="Y92" s="34">
        <v>6.3952</v>
      </c>
      <c r="Z92" s="33">
        <v>0.0</v>
      </c>
      <c r="AA92" s="33">
        <v>100.0</v>
      </c>
      <c r="AB92" s="33">
        <v>0.0</v>
      </c>
      <c r="AC92" s="33">
        <v>0.0</v>
      </c>
      <c r="AD92" s="33">
        <v>0.0</v>
      </c>
      <c r="AE92" s="33">
        <v>0.0</v>
      </c>
      <c r="AF92" s="34">
        <v>0.558436</v>
      </c>
      <c r="AG92" s="33">
        <v>0.274559</v>
      </c>
      <c r="AH92" s="33">
        <v>2.47681</v>
      </c>
      <c r="AI92" s="33">
        <v>5.61111</v>
      </c>
      <c r="AJ92" s="33">
        <v>10.5965</v>
      </c>
      <c r="AK92" s="33">
        <v>30.3142</v>
      </c>
      <c r="AL92" s="33">
        <v>50.7269</v>
      </c>
      <c r="AM92" s="34">
        <v>0.138321</v>
      </c>
      <c r="AN92" s="33">
        <v>0.375712</v>
      </c>
      <c r="AO92" s="33">
        <v>14.8897</v>
      </c>
      <c r="AP92" s="33">
        <v>59.296</v>
      </c>
      <c r="AQ92" s="33">
        <v>19.4344</v>
      </c>
      <c r="AR92" s="33">
        <v>3.33227</v>
      </c>
      <c r="AS92" s="33">
        <v>2.67189</v>
      </c>
      <c r="AT92" s="33">
        <v>392.375</v>
      </c>
      <c r="AU92" s="34">
        <v>400.584</v>
      </c>
      <c r="AV92" s="34">
        <v>19506.0</v>
      </c>
      <c r="AW92" s="34">
        <v>0.0719811</v>
      </c>
      <c r="AX92" s="33">
        <v>0.00433513</v>
      </c>
      <c r="AY92" s="33">
        <v>0.0823676</v>
      </c>
      <c r="AZ92" s="33">
        <v>0.222537</v>
      </c>
      <c r="BA92" s="33">
        <v>14.9562</v>
      </c>
      <c r="BB92" s="33">
        <v>76.5093</v>
      </c>
      <c r="BC92" s="33">
        <v>8.2252</v>
      </c>
      <c r="BD92" s="34">
        <v>29.0529</v>
      </c>
      <c r="BE92" s="33">
        <v>0.0</v>
      </c>
      <c r="BF92" s="33">
        <v>41.269</v>
      </c>
      <c r="BG92" s="33">
        <v>52.7846</v>
      </c>
      <c r="BH92" s="33">
        <v>4.26722</v>
      </c>
      <c r="BI92" s="33">
        <v>1.07945</v>
      </c>
      <c r="BJ92" s="33">
        <v>0.599694</v>
      </c>
      <c r="BK92" s="33">
        <v>39.8685</v>
      </c>
      <c r="BL92" s="33">
        <v>69202.0</v>
      </c>
    </row>
    <row r="93" ht="15.75" customHeight="1">
      <c r="A93" s="33" t="s">
        <v>112</v>
      </c>
      <c r="B93" s="33" t="s">
        <v>64</v>
      </c>
      <c r="C93" s="34">
        <v>23797.2</v>
      </c>
      <c r="D93" s="33">
        <v>191.696</v>
      </c>
      <c r="E93" s="33">
        <v>38237.6</v>
      </c>
      <c r="F93" s="33">
        <v>40.6815</v>
      </c>
      <c r="G93" s="33">
        <v>67.8871</v>
      </c>
      <c r="H93" s="33">
        <v>791.089</v>
      </c>
      <c r="I93" s="33">
        <v>293.677</v>
      </c>
      <c r="J93" s="34">
        <v>9382950.0</v>
      </c>
      <c r="K93" s="34">
        <v>0.189835</v>
      </c>
      <c r="L93" s="33">
        <v>0.810826</v>
      </c>
      <c r="M93" s="33">
        <v>3.76011</v>
      </c>
      <c r="N93" s="33">
        <v>25.8204</v>
      </c>
      <c r="O93" s="33">
        <v>56.3012</v>
      </c>
      <c r="P93" s="33">
        <v>13.2453</v>
      </c>
      <c r="Q93" s="33">
        <v>0.0620903</v>
      </c>
      <c r="R93" s="34">
        <v>95.2544</v>
      </c>
      <c r="S93" s="33">
        <v>1.96315</v>
      </c>
      <c r="T93" s="33">
        <v>4.80652</v>
      </c>
      <c r="U93" s="33">
        <v>10.2759</v>
      </c>
      <c r="V93" s="33">
        <v>36.8396</v>
      </c>
      <c r="W93" s="33">
        <v>34.9459</v>
      </c>
      <c r="X93" s="33">
        <v>11.1689</v>
      </c>
      <c r="Y93" s="34">
        <v>6.42982</v>
      </c>
      <c r="Z93" s="33">
        <v>0.0</v>
      </c>
      <c r="AA93" s="33">
        <v>100.0</v>
      </c>
      <c r="AB93" s="33">
        <v>0.0</v>
      </c>
      <c r="AC93" s="33">
        <v>0.0</v>
      </c>
      <c r="AD93" s="33">
        <v>0.0</v>
      </c>
      <c r="AE93" s="33">
        <v>0.0</v>
      </c>
      <c r="AF93" s="34">
        <v>0.552841</v>
      </c>
      <c r="AG93" s="33">
        <v>0.268449</v>
      </c>
      <c r="AH93" s="33">
        <v>1.80244</v>
      </c>
      <c r="AI93" s="33">
        <v>5.1608</v>
      </c>
      <c r="AJ93" s="33">
        <v>12.0163</v>
      </c>
      <c r="AK93" s="33">
        <v>34.7925</v>
      </c>
      <c r="AL93" s="33">
        <v>45.9596</v>
      </c>
      <c r="AM93" s="34">
        <v>0.144089</v>
      </c>
      <c r="AN93" s="33">
        <v>0.600814</v>
      </c>
      <c r="AO93" s="33">
        <v>13.0883</v>
      </c>
      <c r="AP93" s="33">
        <v>60.5416</v>
      </c>
      <c r="AQ93" s="33">
        <v>19.5803</v>
      </c>
      <c r="AR93" s="33">
        <v>3.30174</v>
      </c>
      <c r="AS93" s="33">
        <v>2.8872</v>
      </c>
      <c r="AT93" s="33">
        <v>394.288</v>
      </c>
      <c r="AU93" s="34">
        <v>397.584</v>
      </c>
      <c r="AV93" s="34">
        <v>15555.6</v>
      </c>
      <c r="AW93" s="34">
        <v>0.0722127</v>
      </c>
      <c r="AX93" s="33">
        <v>0.00182618</v>
      </c>
      <c r="AY93" s="33">
        <v>0.244709</v>
      </c>
      <c r="AZ93" s="33">
        <v>0.290363</v>
      </c>
      <c r="BA93" s="33">
        <v>13.1522</v>
      </c>
      <c r="BB93" s="33">
        <v>78.8656</v>
      </c>
      <c r="BC93" s="33">
        <v>7.44535</v>
      </c>
      <c r="BD93" s="34">
        <v>29.4582</v>
      </c>
      <c r="BE93" s="33">
        <v>0.0</v>
      </c>
      <c r="BF93" s="33">
        <v>40.6746</v>
      </c>
      <c r="BG93" s="33">
        <v>52.8972</v>
      </c>
      <c r="BH93" s="33">
        <v>4.34084</v>
      </c>
      <c r="BI93" s="33">
        <v>1.14502</v>
      </c>
      <c r="BJ93" s="33">
        <v>0.942311</v>
      </c>
      <c r="BK93" s="33">
        <v>40.8476</v>
      </c>
      <c r="BL93" s="33">
        <v>54759.0</v>
      </c>
    </row>
    <row r="94" ht="15.75" customHeight="1">
      <c r="A94" s="33" t="s">
        <v>113</v>
      </c>
      <c r="B94" s="33" t="s">
        <v>64</v>
      </c>
      <c r="C94" s="34">
        <v>24948.3</v>
      </c>
      <c r="D94" s="33">
        <v>205.875</v>
      </c>
      <c r="E94" s="33">
        <v>41548.9</v>
      </c>
      <c r="F94" s="33">
        <v>37.4835</v>
      </c>
      <c r="G94" s="33">
        <v>80.9787</v>
      </c>
      <c r="H94" s="33">
        <v>770.64</v>
      </c>
      <c r="I94" s="33">
        <v>268.119</v>
      </c>
      <c r="J94" s="34">
        <v>9191630.0</v>
      </c>
      <c r="K94" s="34">
        <v>0.188768</v>
      </c>
      <c r="L94" s="33">
        <v>0.89812</v>
      </c>
      <c r="M94" s="33">
        <v>4.11313</v>
      </c>
      <c r="N94" s="33">
        <v>26.8395</v>
      </c>
      <c r="O94" s="33">
        <v>53.731</v>
      </c>
      <c r="P94" s="33">
        <v>14.3755</v>
      </c>
      <c r="Q94" s="33">
        <v>0.0427676</v>
      </c>
      <c r="R94" s="34">
        <v>95.3074</v>
      </c>
      <c r="S94" s="33">
        <v>1.88549</v>
      </c>
      <c r="T94" s="33">
        <v>4.79183</v>
      </c>
      <c r="U94" s="33">
        <v>11.2349</v>
      </c>
      <c r="V94" s="33">
        <v>35.869</v>
      </c>
      <c r="W94" s="33">
        <v>33.9594</v>
      </c>
      <c r="X94" s="33">
        <v>12.2594</v>
      </c>
      <c r="Y94" s="34">
        <v>6.75407</v>
      </c>
      <c r="Z94" s="33">
        <v>0.0</v>
      </c>
      <c r="AA94" s="33">
        <v>99.9963</v>
      </c>
      <c r="AB94" s="33">
        <v>0.00371892</v>
      </c>
      <c r="AC94" s="33">
        <v>0.0</v>
      </c>
      <c r="AD94" s="33">
        <v>0.0</v>
      </c>
      <c r="AE94" s="33">
        <v>0.0</v>
      </c>
      <c r="AF94" s="34">
        <v>0.549548</v>
      </c>
      <c r="AG94" s="33">
        <v>0.334703</v>
      </c>
      <c r="AH94" s="33">
        <v>1.82413</v>
      </c>
      <c r="AI94" s="33">
        <v>5.49471</v>
      </c>
      <c r="AJ94" s="33">
        <v>13.4885</v>
      </c>
      <c r="AK94" s="33">
        <v>32.1966</v>
      </c>
      <c r="AL94" s="33">
        <v>46.6613</v>
      </c>
      <c r="AM94" s="34">
        <v>0.13901</v>
      </c>
      <c r="AN94" s="33">
        <v>1.30348</v>
      </c>
      <c r="AO94" s="33">
        <v>13.1222</v>
      </c>
      <c r="AP94" s="33">
        <v>58.5768</v>
      </c>
      <c r="AQ94" s="33">
        <v>21.5679</v>
      </c>
      <c r="AR94" s="33">
        <v>3.23546</v>
      </c>
      <c r="AS94" s="33">
        <v>2.19416</v>
      </c>
      <c r="AT94" s="33">
        <v>368.428</v>
      </c>
      <c r="AU94" s="34">
        <v>374.927</v>
      </c>
      <c r="AV94" s="34">
        <v>15574.0</v>
      </c>
      <c r="AW94" s="34">
        <v>0.0702022</v>
      </c>
      <c r="AX94" s="33">
        <v>0.00743785</v>
      </c>
      <c r="AY94" s="33">
        <v>0.48532</v>
      </c>
      <c r="AZ94" s="33">
        <v>0.684282</v>
      </c>
      <c r="BA94" s="33">
        <v>13.2487</v>
      </c>
      <c r="BB94" s="33">
        <v>77.7311</v>
      </c>
      <c r="BC94" s="33">
        <v>7.84321</v>
      </c>
      <c r="BD94" s="34">
        <v>29.3163</v>
      </c>
      <c r="BE94" s="33">
        <v>0.0</v>
      </c>
      <c r="BF94" s="33">
        <v>40.2332</v>
      </c>
      <c r="BG94" s="33">
        <v>53.692</v>
      </c>
      <c r="BH94" s="33">
        <v>4.60403</v>
      </c>
      <c r="BI94" s="33">
        <v>0.972499</v>
      </c>
      <c r="BJ94" s="33">
        <v>0.498336</v>
      </c>
      <c r="BK94" s="33">
        <v>38.6527</v>
      </c>
      <c r="BL94" s="33">
        <v>53779.0</v>
      </c>
    </row>
    <row r="95" ht="15.75" customHeight="1">
      <c r="A95" s="33" t="s">
        <v>113</v>
      </c>
      <c r="B95" s="33" t="s">
        <v>64</v>
      </c>
      <c r="C95" s="34">
        <v>27023.3</v>
      </c>
      <c r="D95" s="33">
        <v>232.941</v>
      </c>
      <c r="E95" s="33">
        <v>50774.2</v>
      </c>
      <c r="F95" s="33">
        <v>33.9351</v>
      </c>
      <c r="G95" s="33">
        <v>81.6704</v>
      </c>
      <c r="H95" s="33">
        <v>878.349</v>
      </c>
      <c r="I95" s="33">
        <v>303.752</v>
      </c>
      <c r="J95" s="34">
        <v>1.06838E7</v>
      </c>
      <c r="K95" s="34">
        <v>0.194102</v>
      </c>
      <c r="L95" s="33">
        <v>0.389762</v>
      </c>
      <c r="M95" s="33">
        <v>3.12297</v>
      </c>
      <c r="N95" s="33">
        <v>25.6675</v>
      </c>
      <c r="O95" s="33">
        <v>57.9885</v>
      </c>
      <c r="P95" s="33">
        <v>12.7972</v>
      </c>
      <c r="Q95" s="33">
        <v>0.0341042</v>
      </c>
      <c r="R95" s="34">
        <v>95.0439</v>
      </c>
      <c r="S95" s="33">
        <v>1.25049</v>
      </c>
      <c r="T95" s="33">
        <v>4.39782</v>
      </c>
      <c r="U95" s="33">
        <v>11.7351</v>
      </c>
      <c r="V95" s="33">
        <v>38.0164</v>
      </c>
      <c r="W95" s="33">
        <v>34.3933</v>
      </c>
      <c r="X95" s="33">
        <v>10.2069</v>
      </c>
      <c r="Y95" s="34">
        <v>6.9789</v>
      </c>
      <c r="Z95" s="33">
        <v>0.0</v>
      </c>
      <c r="AA95" s="33">
        <v>99.9935</v>
      </c>
      <c r="AB95" s="33">
        <v>0.00649604</v>
      </c>
      <c r="AC95" s="33">
        <v>0.0</v>
      </c>
      <c r="AD95" s="33">
        <v>0.0</v>
      </c>
      <c r="AE95" s="33">
        <v>0.0</v>
      </c>
      <c r="AF95" s="34">
        <v>0.543608</v>
      </c>
      <c r="AG95" s="33">
        <v>0.31993</v>
      </c>
      <c r="AH95" s="33">
        <v>2.22164</v>
      </c>
      <c r="AI95" s="33">
        <v>5.92601</v>
      </c>
      <c r="AJ95" s="33">
        <v>13.2048</v>
      </c>
      <c r="AK95" s="33">
        <v>33.4578</v>
      </c>
      <c r="AL95" s="33">
        <v>44.8698</v>
      </c>
      <c r="AM95" s="34">
        <v>0.138825</v>
      </c>
      <c r="AN95" s="33">
        <v>0.933805</v>
      </c>
      <c r="AO95" s="33">
        <v>11.8082</v>
      </c>
      <c r="AP95" s="33">
        <v>60.824</v>
      </c>
      <c r="AQ95" s="33">
        <v>21.687</v>
      </c>
      <c r="AR95" s="33">
        <v>3.16357</v>
      </c>
      <c r="AS95" s="33">
        <v>1.58341</v>
      </c>
      <c r="AT95" s="33">
        <v>395.355</v>
      </c>
      <c r="AU95" s="34">
        <v>416.083</v>
      </c>
      <c r="AV95" s="34">
        <v>17230.3</v>
      </c>
      <c r="AW95" s="34">
        <v>0.0729113</v>
      </c>
      <c r="AX95" s="33">
        <v>0.00649604</v>
      </c>
      <c r="AY95" s="33">
        <v>0.462843</v>
      </c>
      <c r="AZ95" s="33">
        <v>0.43361</v>
      </c>
      <c r="BA95" s="33">
        <v>11.839</v>
      </c>
      <c r="BB95" s="33">
        <v>79.4027</v>
      </c>
      <c r="BC95" s="33">
        <v>7.85533</v>
      </c>
      <c r="BD95" s="34">
        <v>28.8872</v>
      </c>
      <c r="BE95" s="33">
        <v>0.0</v>
      </c>
      <c r="BF95" s="33">
        <v>39.1825</v>
      </c>
      <c r="BG95" s="33">
        <v>56.2508</v>
      </c>
      <c r="BH95" s="33">
        <v>3.65565</v>
      </c>
      <c r="BI95" s="33">
        <v>0.578147</v>
      </c>
      <c r="BJ95" s="33">
        <v>0.332922</v>
      </c>
      <c r="BK95" s="33">
        <v>39.6463</v>
      </c>
      <c r="BL95" s="33">
        <v>61576.0</v>
      </c>
    </row>
    <row r="96" ht="15.75" customHeight="1">
      <c r="A96" s="33" t="s">
        <v>113</v>
      </c>
      <c r="B96" s="33" t="s">
        <v>64</v>
      </c>
      <c r="C96" s="34">
        <v>19075.4</v>
      </c>
      <c r="D96" s="33">
        <v>176.039</v>
      </c>
      <c r="E96" s="33">
        <v>29982.6</v>
      </c>
      <c r="F96" s="33">
        <v>39.1885</v>
      </c>
      <c r="G96" s="33">
        <v>75.407</v>
      </c>
      <c r="H96" s="33">
        <v>683.112</v>
      </c>
      <c r="I96" s="33">
        <v>243.704</v>
      </c>
      <c r="J96" s="34">
        <v>6326000.0</v>
      </c>
      <c r="K96" s="34">
        <v>0.217378</v>
      </c>
      <c r="L96" s="33">
        <v>0.525141</v>
      </c>
      <c r="M96" s="33">
        <v>2.39231</v>
      </c>
      <c r="N96" s="33">
        <v>20.483</v>
      </c>
      <c r="O96" s="33">
        <v>54.8277</v>
      </c>
      <c r="P96" s="33">
        <v>21.7236</v>
      </c>
      <c r="Q96" s="33">
        <v>0.0482013</v>
      </c>
      <c r="R96" s="34">
        <v>92.5662</v>
      </c>
      <c r="S96" s="33">
        <v>1.35471</v>
      </c>
      <c r="T96" s="33">
        <v>4.54615</v>
      </c>
      <c r="U96" s="33">
        <v>11.8753</v>
      </c>
      <c r="V96" s="33">
        <v>42.4197</v>
      </c>
      <c r="W96" s="33">
        <v>34.1062</v>
      </c>
      <c r="X96" s="33">
        <v>5.6979</v>
      </c>
      <c r="Y96" s="34">
        <v>7.37824</v>
      </c>
      <c r="Z96" s="33">
        <v>0.0</v>
      </c>
      <c r="AA96" s="33">
        <v>100.0</v>
      </c>
      <c r="AB96" s="33">
        <v>0.0</v>
      </c>
      <c r="AC96" s="33">
        <v>0.0</v>
      </c>
      <c r="AD96" s="33">
        <v>0.0</v>
      </c>
      <c r="AE96" s="33">
        <v>0.0</v>
      </c>
      <c r="AF96" s="34">
        <v>0.530008</v>
      </c>
      <c r="AG96" s="33">
        <v>0.202953</v>
      </c>
      <c r="AH96" s="33">
        <v>2.05744</v>
      </c>
      <c r="AI96" s="33">
        <v>5.84505</v>
      </c>
      <c r="AJ96" s="33">
        <v>16.3834</v>
      </c>
      <c r="AK96" s="33">
        <v>36.3945</v>
      </c>
      <c r="AL96" s="33">
        <v>39.1166</v>
      </c>
      <c r="AM96" s="34">
        <v>0.180713</v>
      </c>
      <c r="AN96" s="33">
        <v>0.136993</v>
      </c>
      <c r="AO96" s="33">
        <v>7.45598</v>
      </c>
      <c r="AP96" s="33">
        <v>56.804</v>
      </c>
      <c r="AQ96" s="33">
        <v>28.1978</v>
      </c>
      <c r="AR96" s="33">
        <v>4.27723</v>
      </c>
      <c r="AS96" s="33">
        <v>3.12801</v>
      </c>
      <c r="AT96" s="33">
        <v>331.631</v>
      </c>
      <c r="AU96" s="34">
        <v>335.72</v>
      </c>
      <c r="AV96" s="34">
        <v>11749.7</v>
      </c>
      <c r="AW96" s="34">
        <v>0.0942474</v>
      </c>
      <c r="AX96" s="33">
        <v>0.0</v>
      </c>
      <c r="AY96" s="33">
        <v>0.0710335</v>
      </c>
      <c r="AZ96" s="33">
        <v>0.164899</v>
      </c>
      <c r="BA96" s="33">
        <v>7.35705</v>
      </c>
      <c r="BB96" s="33">
        <v>81.922</v>
      </c>
      <c r="BC96" s="33">
        <v>10.4851</v>
      </c>
      <c r="BD96" s="34">
        <v>33.1001</v>
      </c>
      <c r="BE96" s="33">
        <v>0.0</v>
      </c>
      <c r="BF96" s="33">
        <v>28.0836</v>
      </c>
      <c r="BG96" s="33">
        <v>62.9763</v>
      </c>
      <c r="BH96" s="33">
        <v>6.86742</v>
      </c>
      <c r="BI96" s="33">
        <v>1.43336</v>
      </c>
      <c r="BJ96" s="33">
        <v>0.639302</v>
      </c>
      <c r="BK96" s="33">
        <v>38.031</v>
      </c>
      <c r="BL96" s="33">
        <v>39418.0</v>
      </c>
    </row>
    <row r="97" ht="15.75" customHeight="1">
      <c r="A97" s="33" t="s">
        <v>113</v>
      </c>
      <c r="B97" s="33" t="s">
        <v>64</v>
      </c>
      <c r="C97" s="34">
        <v>23902.2</v>
      </c>
      <c r="D97" s="33">
        <v>166.616</v>
      </c>
      <c r="E97" s="33">
        <v>44893.7</v>
      </c>
      <c r="F97" s="33">
        <v>34.1117</v>
      </c>
      <c r="G97" s="33">
        <v>81.0677</v>
      </c>
      <c r="H97" s="33">
        <v>820.808</v>
      </c>
      <c r="I97" s="33">
        <v>277.927</v>
      </c>
      <c r="J97" s="34">
        <v>8758860.0</v>
      </c>
      <c r="K97" s="34">
        <v>0.193693</v>
      </c>
      <c r="L97" s="33">
        <v>0.50205</v>
      </c>
      <c r="M97" s="33">
        <v>3.27554</v>
      </c>
      <c r="N97" s="33">
        <v>26.6838</v>
      </c>
      <c r="O97" s="33">
        <v>55.3477</v>
      </c>
      <c r="P97" s="33">
        <v>14.174</v>
      </c>
      <c r="Q97" s="33">
        <v>0.016923</v>
      </c>
      <c r="R97" s="34">
        <v>93.7248</v>
      </c>
      <c r="S97" s="33">
        <v>1.59076</v>
      </c>
      <c r="T97" s="33">
        <v>4.94152</v>
      </c>
      <c r="U97" s="33">
        <v>11.942</v>
      </c>
      <c r="V97" s="33">
        <v>38.8026</v>
      </c>
      <c r="W97" s="33">
        <v>33.4117</v>
      </c>
      <c r="X97" s="33">
        <v>9.31142</v>
      </c>
      <c r="Y97" s="34">
        <v>7.15943</v>
      </c>
      <c r="Z97" s="33">
        <v>0.0</v>
      </c>
      <c r="AA97" s="33">
        <v>100.0</v>
      </c>
      <c r="AB97" s="33">
        <v>0.0</v>
      </c>
      <c r="AC97" s="33">
        <v>0.0</v>
      </c>
      <c r="AD97" s="33">
        <v>0.0</v>
      </c>
      <c r="AE97" s="33">
        <v>0.0</v>
      </c>
      <c r="AF97" s="34">
        <v>0.531753</v>
      </c>
      <c r="AG97" s="33">
        <v>0.295213</v>
      </c>
      <c r="AH97" s="33">
        <v>2.47452</v>
      </c>
      <c r="AI97" s="33">
        <v>6.18066</v>
      </c>
      <c r="AJ97" s="33">
        <v>15.0953</v>
      </c>
      <c r="AK97" s="33">
        <v>35.7132</v>
      </c>
      <c r="AL97" s="33">
        <v>40.2411</v>
      </c>
      <c r="AM97" s="34">
        <v>0.151817</v>
      </c>
      <c r="AN97" s="33">
        <v>0.283931</v>
      </c>
      <c r="AO97" s="33">
        <v>11.2331</v>
      </c>
      <c r="AP97" s="33">
        <v>59.6837</v>
      </c>
      <c r="AQ97" s="33">
        <v>23.0623</v>
      </c>
      <c r="AR97" s="33">
        <v>3.43725</v>
      </c>
      <c r="AS97" s="33">
        <v>2.29965</v>
      </c>
      <c r="AT97" s="33">
        <v>366.446</v>
      </c>
      <c r="AU97" s="34">
        <v>379.007</v>
      </c>
      <c r="AV97" s="34">
        <v>15314.0</v>
      </c>
      <c r="AW97" s="34">
        <v>0.081408</v>
      </c>
      <c r="AX97" s="33">
        <v>0.0</v>
      </c>
      <c r="AY97" s="33">
        <v>0.0921364</v>
      </c>
      <c r="AZ97" s="33">
        <v>0.233162</v>
      </c>
      <c r="BA97" s="33">
        <v>11.1918</v>
      </c>
      <c r="BB97" s="33">
        <v>79.6078</v>
      </c>
      <c r="BC97" s="33">
        <v>8.87518</v>
      </c>
      <c r="BD97" s="34">
        <v>29.5648</v>
      </c>
      <c r="BE97" s="33">
        <v>0.0</v>
      </c>
      <c r="BF97" s="33">
        <v>38.7688</v>
      </c>
      <c r="BG97" s="33">
        <v>55.2781</v>
      </c>
      <c r="BH97" s="33">
        <v>4.43195</v>
      </c>
      <c r="BI97" s="33">
        <v>1.01162</v>
      </c>
      <c r="BJ97" s="33">
        <v>0.509571</v>
      </c>
      <c r="BK97" s="33">
        <v>39.8708</v>
      </c>
      <c r="BL97" s="33">
        <v>53182.0</v>
      </c>
    </row>
    <row r="98" ht="15.75" customHeight="1">
      <c r="A98" s="33" t="s">
        <v>94</v>
      </c>
      <c r="B98" s="33" t="s">
        <v>66</v>
      </c>
      <c r="C98" s="34">
        <v>33920.8</v>
      </c>
      <c r="D98" s="33">
        <v>215.084</v>
      </c>
      <c r="E98" s="33">
        <v>57983.9</v>
      </c>
      <c r="F98" s="33">
        <v>37.17</v>
      </c>
      <c r="G98" s="33">
        <v>75.1675</v>
      </c>
      <c r="H98" s="33">
        <v>944.938</v>
      </c>
      <c r="I98" s="33">
        <v>341.03</v>
      </c>
      <c r="J98" s="34">
        <v>1.32198E7</v>
      </c>
      <c r="K98" s="34">
        <v>0.199981</v>
      </c>
      <c r="L98" s="33">
        <v>0.423042</v>
      </c>
      <c r="M98" s="33">
        <v>3.08781</v>
      </c>
      <c r="N98" s="33">
        <v>24.5457</v>
      </c>
      <c r="O98" s="33">
        <v>56.7034</v>
      </c>
      <c r="P98" s="33">
        <v>15.1465</v>
      </c>
      <c r="Q98" s="33">
        <v>0.09357</v>
      </c>
      <c r="R98" s="34">
        <v>96.6058</v>
      </c>
      <c r="S98" s="33">
        <v>1.2744</v>
      </c>
      <c r="T98" s="33">
        <v>3.5807</v>
      </c>
      <c r="U98" s="33">
        <v>9.9171</v>
      </c>
      <c r="V98" s="33">
        <v>38.0698</v>
      </c>
      <c r="W98" s="33">
        <v>36.8969</v>
      </c>
      <c r="X98" s="33">
        <v>10.2611</v>
      </c>
      <c r="Y98" s="34">
        <v>7.22642</v>
      </c>
      <c r="Z98" s="33">
        <v>0.0</v>
      </c>
      <c r="AA98" s="33">
        <v>99.996</v>
      </c>
      <c r="AB98" s="33">
        <v>0.00395366</v>
      </c>
      <c r="AC98" s="33">
        <v>0.0</v>
      </c>
      <c r="AD98" s="33">
        <v>0.0</v>
      </c>
      <c r="AE98" s="33">
        <v>0.0</v>
      </c>
      <c r="AF98" s="34">
        <v>0.542034</v>
      </c>
      <c r="AG98" s="33">
        <v>0.127835</v>
      </c>
      <c r="AH98" s="33">
        <v>1.92939</v>
      </c>
      <c r="AI98" s="33">
        <v>5.99771</v>
      </c>
      <c r="AJ98" s="33">
        <v>12.9917</v>
      </c>
      <c r="AK98" s="33">
        <v>35.8426</v>
      </c>
      <c r="AL98" s="33">
        <v>43.1107</v>
      </c>
      <c r="AM98" s="34">
        <v>0.133544</v>
      </c>
      <c r="AN98" s="33">
        <v>0.751196</v>
      </c>
      <c r="AO98" s="33">
        <v>12.1193</v>
      </c>
      <c r="AP98" s="33">
        <v>62.6208</v>
      </c>
      <c r="AQ98" s="33">
        <v>20.4378</v>
      </c>
      <c r="AR98" s="33">
        <v>2.55802</v>
      </c>
      <c r="AS98" s="33">
        <v>1.51294</v>
      </c>
      <c r="AT98" s="33">
        <v>389.727</v>
      </c>
      <c r="AU98" s="34">
        <v>402.905</v>
      </c>
      <c r="AV98" s="34">
        <v>21552.6</v>
      </c>
      <c r="AW98" s="34">
        <v>0.0667561</v>
      </c>
      <c r="AX98" s="33">
        <v>0.011861</v>
      </c>
      <c r="AY98" s="33">
        <v>0.37428</v>
      </c>
      <c r="AZ98" s="33">
        <v>0.462579</v>
      </c>
      <c r="BA98" s="33">
        <v>12.0218</v>
      </c>
      <c r="BB98" s="33">
        <v>80.9895</v>
      </c>
      <c r="BC98" s="33">
        <v>6.14004</v>
      </c>
      <c r="BD98" s="34">
        <v>29.0053</v>
      </c>
      <c r="BE98" s="33">
        <v>0.0</v>
      </c>
      <c r="BF98" s="33">
        <v>39.2243</v>
      </c>
      <c r="BG98" s="33">
        <v>55.9878</v>
      </c>
      <c r="BH98" s="33">
        <v>3.78893</v>
      </c>
      <c r="BI98" s="33">
        <v>0.540334</v>
      </c>
      <c r="BJ98" s="33">
        <v>0.458625</v>
      </c>
      <c r="BK98" s="33">
        <v>39.4899</v>
      </c>
      <c r="BL98" s="33">
        <v>75879.0</v>
      </c>
    </row>
    <row r="99" ht="15.75" customHeight="1">
      <c r="A99" s="33" t="s">
        <v>94</v>
      </c>
      <c r="B99" s="33" t="s">
        <v>66</v>
      </c>
      <c r="C99" s="34">
        <v>31291.2</v>
      </c>
      <c r="D99" s="33">
        <v>209.538</v>
      </c>
      <c r="E99" s="33">
        <v>52791.2</v>
      </c>
      <c r="F99" s="33">
        <v>37.7961</v>
      </c>
      <c r="G99" s="33">
        <v>63.9212</v>
      </c>
      <c r="H99" s="33">
        <v>926.728</v>
      </c>
      <c r="I99" s="33">
        <v>344.068</v>
      </c>
      <c r="J99" s="34">
        <v>1.13411E7</v>
      </c>
      <c r="K99" s="34">
        <v>0.203977</v>
      </c>
      <c r="L99" s="33">
        <v>0.410302</v>
      </c>
      <c r="M99" s="33">
        <v>3.28094</v>
      </c>
      <c r="N99" s="33">
        <v>23.3488</v>
      </c>
      <c r="O99" s="33">
        <v>56.0018</v>
      </c>
      <c r="P99" s="33">
        <v>16.8593</v>
      </c>
      <c r="Q99" s="33">
        <v>0.0988857</v>
      </c>
      <c r="R99" s="34">
        <v>96.8575</v>
      </c>
      <c r="S99" s="33">
        <v>1.31946</v>
      </c>
      <c r="T99" s="33">
        <v>3.5894</v>
      </c>
      <c r="U99" s="33">
        <v>10.1882</v>
      </c>
      <c r="V99" s="33">
        <v>36.8622</v>
      </c>
      <c r="W99" s="33">
        <v>36.539</v>
      </c>
      <c r="X99" s="33">
        <v>11.5017</v>
      </c>
      <c r="Y99" s="34">
        <v>6.9808</v>
      </c>
      <c r="Z99" s="33">
        <v>0.0</v>
      </c>
      <c r="AA99" s="33">
        <v>99.9911</v>
      </c>
      <c r="AB99" s="33">
        <v>0.00885544</v>
      </c>
      <c r="AC99" s="33">
        <v>0.0</v>
      </c>
      <c r="AD99" s="33">
        <v>0.0</v>
      </c>
      <c r="AE99" s="33">
        <v>0.0</v>
      </c>
      <c r="AF99" s="34">
        <v>0.547924</v>
      </c>
      <c r="AG99" s="33">
        <v>0.202199</v>
      </c>
      <c r="AH99" s="33">
        <v>1.98805</v>
      </c>
      <c r="AI99" s="33">
        <v>5.38706</v>
      </c>
      <c r="AJ99" s="33">
        <v>13.0396</v>
      </c>
      <c r="AK99" s="33">
        <v>34.0049</v>
      </c>
      <c r="AL99" s="33">
        <v>45.3782</v>
      </c>
      <c r="AM99" s="34">
        <v>0.135676</v>
      </c>
      <c r="AN99" s="33">
        <v>0.63464</v>
      </c>
      <c r="AO99" s="33">
        <v>13.4485</v>
      </c>
      <c r="AP99" s="33">
        <v>59.5026</v>
      </c>
      <c r="AQ99" s="33">
        <v>21.8641</v>
      </c>
      <c r="AR99" s="33">
        <v>3.03446</v>
      </c>
      <c r="AS99" s="33">
        <v>1.51576</v>
      </c>
      <c r="AT99" s="33">
        <v>362.438</v>
      </c>
      <c r="AU99" s="34">
        <v>376.092</v>
      </c>
      <c r="AV99" s="34">
        <v>19953.0</v>
      </c>
      <c r="AW99" s="34">
        <v>0.0677169</v>
      </c>
      <c r="AX99" s="33">
        <v>0.0103313</v>
      </c>
      <c r="AY99" s="33">
        <v>0.262711</v>
      </c>
      <c r="AZ99" s="33">
        <v>0.413254</v>
      </c>
      <c r="BA99" s="33">
        <v>13.3968</v>
      </c>
      <c r="BB99" s="33">
        <v>79.1868</v>
      </c>
      <c r="BC99" s="33">
        <v>6.73013</v>
      </c>
      <c r="BD99" s="34">
        <v>29.6239</v>
      </c>
      <c r="BE99" s="33">
        <v>0.0</v>
      </c>
      <c r="BF99" s="33">
        <v>37.2814</v>
      </c>
      <c r="BG99" s="33">
        <v>57.2976</v>
      </c>
      <c r="BH99" s="33">
        <v>4.35097</v>
      </c>
      <c r="BI99" s="33">
        <v>0.63464</v>
      </c>
      <c r="BJ99" s="33">
        <v>0.435392</v>
      </c>
      <c r="BK99" s="33">
        <v>39.6566</v>
      </c>
      <c r="BL99" s="33">
        <v>67755.0</v>
      </c>
    </row>
    <row r="100" ht="15.75" customHeight="1">
      <c r="A100" s="33" t="s">
        <v>94</v>
      </c>
      <c r="B100" s="33" t="s">
        <v>66</v>
      </c>
      <c r="C100" s="34">
        <v>29620.3</v>
      </c>
      <c r="D100" s="33">
        <v>179.064</v>
      </c>
      <c r="E100" s="33">
        <v>52087.1</v>
      </c>
      <c r="F100" s="33">
        <v>37.8151</v>
      </c>
      <c r="G100" s="33">
        <v>82.3861</v>
      </c>
      <c r="H100" s="33">
        <v>924.816</v>
      </c>
      <c r="I100" s="33">
        <v>326.648</v>
      </c>
      <c r="J100" s="34">
        <v>1.13459E7</v>
      </c>
      <c r="K100" s="34">
        <v>0.219488</v>
      </c>
      <c r="L100" s="33">
        <v>0.331965</v>
      </c>
      <c r="M100" s="33">
        <v>2.62514</v>
      </c>
      <c r="N100" s="33">
        <v>19.7796</v>
      </c>
      <c r="O100" s="33">
        <v>55.5167</v>
      </c>
      <c r="P100" s="33">
        <v>21.6389</v>
      </c>
      <c r="Q100" s="33">
        <v>0.107743</v>
      </c>
      <c r="R100" s="34">
        <v>98.0497</v>
      </c>
      <c r="S100" s="33">
        <v>1.0949</v>
      </c>
      <c r="T100" s="33">
        <v>3.13474</v>
      </c>
      <c r="U100" s="33">
        <v>8.49568</v>
      </c>
      <c r="V100" s="33">
        <v>36.6996</v>
      </c>
      <c r="W100" s="33">
        <v>40.6861</v>
      </c>
      <c r="X100" s="33">
        <v>9.88905</v>
      </c>
      <c r="Y100" s="34">
        <v>6.73894</v>
      </c>
      <c r="Z100" s="33">
        <v>0.0</v>
      </c>
      <c r="AA100" s="33">
        <v>99.9825</v>
      </c>
      <c r="AB100" s="33">
        <v>0.0174718</v>
      </c>
      <c r="AC100" s="33">
        <v>0.0</v>
      </c>
      <c r="AD100" s="33">
        <v>0.0</v>
      </c>
      <c r="AE100" s="33">
        <v>0.0</v>
      </c>
      <c r="AF100" s="34">
        <v>0.569029</v>
      </c>
      <c r="AG100" s="33">
        <v>0.198014</v>
      </c>
      <c r="AH100" s="33">
        <v>1.60158</v>
      </c>
      <c r="AI100" s="33">
        <v>3.77828</v>
      </c>
      <c r="AJ100" s="33">
        <v>10.9505</v>
      </c>
      <c r="AK100" s="33">
        <v>30.6121</v>
      </c>
      <c r="AL100" s="33">
        <v>52.8596</v>
      </c>
      <c r="AM100" s="34">
        <v>0.139421</v>
      </c>
      <c r="AN100" s="33">
        <v>0.451356</v>
      </c>
      <c r="AO100" s="33">
        <v>12.4152</v>
      </c>
      <c r="AP100" s="33">
        <v>60.5879</v>
      </c>
      <c r="AQ100" s="33">
        <v>21.5675</v>
      </c>
      <c r="AR100" s="33">
        <v>3.43758</v>
      </c>
      <c r="AS100" s="33">
        <v>1.54043</v>
      </c>
      <c r="AT100" s="33">
        <v>383.044</v>
      </c>
      <c r="AU100" s="34">
        <v>388.301</v>
      </c>
      <c r="AV100" s="34">
        <v>19696.8</v>
      </c>
      <c r="AW100" s="34">
        <v>0.0659884</v>
      </c>
      <c r="AX100" s="33">
        <v>0.00727993</v>
      </c>
      <c r="AY100" s="33">
        <v>0.135407</v>
      </c>
      <c r="AZ100" s="33">
        <v>0.230046</v>
      </c>
      <c r="BA100" s="33">
        <v>12.4938</v>
      </c>
      <c r="BB100" s="33">
        <v>81.3081</v>
      </c>
      <c r="BC100" s="33">
        <v>5.8254</v>
      </c>
      <c r="BD100" s="34">
        <v>30.9662</v>
      </c>
      <c r="BE100" s="33">
        <v>0.0</v>
      </c>
      <c r="BF100" s="33">
        <v>32.7276</v>
      </c>
      <c r="BG100" s="33">
        <v>60.5952</v>
      </c>
      <c r="BH100" s="33">
        <v>5.6667</v>
      </c>
      <c r="BI100" s="33">
        <v>0.543083</v>
      </c>
      <c r="BJ100" s="33">
        <v>0.467371</v>
      </c>
      <c r="BK100" s="33">
        <v>41.7223</v>
      </c>
      <c r="BL100" s="33">
        <v>68682.0</v>
      </c>
    </row>
    <row r="101" ht="15.75" customHeight="1">
      <c r="A101" s="33" t="s">
        <v>94</v>
      </c>
      <c r="B101" s="33" t="s">
        <v>66</v>
      </c>
      <c r="C101" s="34">
        <v>38656.4</v>
      </c>
      <c r="D101" s="33">
        <v>225.454</v>
      </c>
      <c r="E101" s="33">
        <v>68251.3</v>
      </c>
      <c r="F101" s="33">
        <v>36.6165</v>
      </c>
      <c r="G101" s="33">
        <v>79.5319</v>
      </c>
      <c r="H101" s="33">
        <v>1043.98</v>
      </c>
      <c r="I101" s="33">
        <v>372.156</v>
      </c>
      <c r="J101" s="34">
        <v>1.63801E7</v>
      </c>
      <c r="K101" s="34">
        <v>0.212117</v>
      </c>
      <c r="L101" s="33">
        <v>0.333337</v>
      </c>
      <c r="M101" s="33">
        <v>2.59706</v>
      </c>
      <c r="N101" s="33">
        <v>21.1372</v>
      </c>
      <c r="O101" s="33">
        <v>57.826</v>
      </c>
      <c r="P101" s="33">
        <v>17.9728</v>
      </c>
      <c r="Q101" s="33">
        <v>0.133563</v>
      </c>
      <c r="R101" s="34">
        <v>97.3204</v>
      </c>
      <c r="S101" s="33">
        <v>1.18723</v>
      </c>
      <c r="T101" s="33">
        <v>3.47264</v>
      </c>
      <c r="U101" s="33">
        <v>9.58573</v>
      </c>
      <c r="V101" s="33">
        <v>36.3383</v>
      </c>
      <c r="W101" s="33">
        <v>39.4331</v>
      </c>
      <c r="X101" s="33">
        <v>9.98299</v>
      </c>
      <c r="Y101" s="34">
        <v>6.85126</v>
      </c>
      <c r="Z101" s="33">
        <v>0.0</v>
      </c>
      <c r="AA101" s="33">
        <v>99.9258</v>
      </c>
      <c r="AB101" s="33">
        <v>0.0742018</v>
      </c>
      <c r="AC101" s="33">
        <v>0.0</v>
      </c>
      <c r="AD101" s="33">
        <v>0.0</v>
      </c>
      <c r="AE101" s="33">
        <v>0.0</v>
      </c>
      <c r="AF101" s="34">
        <v>0.564877</v>
      </c>
      <c r="AG101" s="33">
        <v>0.259135</v>
      </c>
      <c r="AH101" s="33">
        <v>1.97947</v>
      </c>
      <c r="AI101" s="33">
        <v>4.22265</v>
      </c>
      <c r="AJ101" s="33">
        <v>9.97386</v>
      </c>
      <c r="AK101" s="33">
        <v>32.3839</v>
      </c>
      <c r="AL101" s="33">
        <v>51.181</v>
      </c>
      <c r="AM101" s="34">
        <v>0.141132</v>
      </c>
      <c r="AN101" s="33">
        <v>0.448635</v>
      </c>
      <c r="AO101" s="33">
        <v>12.6154</v>
      </c>
      <c r="AP101" s="33">
        <v>60.9117</v>
      </c>
      <c r="AQ101" s="33">
        <v>20.3952</v>
      </c>
      <c r="AR101" s="33">
        <v>3.51716</v>
      </c>
      <c r="AS101" s="33">
        <v>2.1119</v>
      </c>
      <c r="AT101" s="33">
        <v>423.735</v>
      </c>
      <c r="AU101" s="34">
        <v>434.105</v>
      </c>
      <c r="AV101" s="34">
        <v>24991.2</v>
      </c>
      <c r="AW101" s="34">
        <v>0.070159</v>
      </c>
      <c r="AX101" s="33">
        <v>0.00114157</v>
      </c>
      <c r="AY101" s="33">
        <v>0.0981746</v>
      </c>
      <c r="AZ101" s="33">
        <v>0.238587</v>
      </c>
      <c r="BA101" s="33">
        <v>12.7262</v>
      </c>
      <c r="BB101" s="33">
        <v>80.1105</v>
      </c>
      <c r="BC101" s="33">
        <v>6.82542</v>
      </c>
      <c r="BD101" s="34">
        <v>30.4391</v>
      </c>
      <c r="BE101" s="33">
        <v>0.0</v>
      </c>
      <c r="BF101" s="33">
        <v>35.4034</v>
      </c>
      <c r="BG101" s="33">
        <v>58.0863</v>
      </c>
      <c r="BH101" s="33">
        <v>5.1496</v>
      </c>
      <c r="BI101" s="33">
        <v>0.912111</v>
      </c>
      <c r="BJ101" s="33">
        <v>0.448635</v>
      </c>
      <c r="BK101" s="33">
        <v>40.3263</v>
      </c>
      <c r="BL101" s="33">
        <v>87599.0</v>
      </c>
    </row>
    <row r="102" ht="15.75" customHeight="1">
      <c r="A102" s="33" t="s">
        <v>111</v>
      </c>
      <c r="B102" s="33" t="s">
        <v>66</v>
      </c>
      <c r="C102" s="34">
        <v>29038.5</v>
      </c>
      <c r="D102" s="33">
        <v>207.411</v>
      </c>
      <c r="E102" s="33">
        <v>45414.2</v>
      </c>
      <c r="F102" s="33">
        <v>42.1075</v>
      </c>
      <c r="G102" s="33">
        <v>85.5981</v>
      </c>
      <c r="H102" s="33">
        <v>844.964</v>
      </c>
      <c r="I102" s="33">
        <v>288.692</v>
      </c>
      <c r="J102" s="34">
        <v>1.02585E7</v>
      </c>
      <c r="K102" s="34">
        <v>0.201715</v>
      </c>
      <c r="L102" s="33">
        <v>0.429496</v>
      </c>
      <c r="M102" s="33">
        <v>3.34482</v>
      </c>
      <c r="N102" s="33">
        <v>24.1553</v>
      </c>
      <c r="O102" s="33">
        <v>55.5147</v>
      </c>
      <c r="P102" s="33">
        <v>16.4367</v>
      </c>
      <c r="Q102" s="33">
        <v>0.118961</v>
      </c>
      <c r="R102" s="34">
        <v>96.336</v>
      </c>
      <c r="S102" s="33">
        <v>1.24523</v>
      </c>
      <c r="T102" s="33">
        <v>3.86392</v>
      </c>
      <c r="U102" s="33">
        <v>10.8579</v>
      </c>
      <c r="V102" s="33">
        <v>37.4202</v>
      </c>
      <c r="W102" s="33">
        <v>35.2712</v>
      </c>
      <c r="X102" s="33">
        <v>11.3415</v>
      </c>
      <c r="Y102" s="34">
        <v>7.08673</v>
      </c>
      <c r="Z102" s="33">
        <v>0.0</v>
      </c>
      <c r="AA102" s="33">
        <v>99.9876</v>
      </c>
      <c r="AB102" s="33">
        <v>0.0123596</v>
      </c>
      <c r="AC102" s="33">
        <v>0.0</v>
      </c>
      <c r="AD102" s="33">
        <v>0.0</v>
      </c>
      <c r="AE102" s="33">
        <v>0.0</v>
      </c>
      <c r="AF102" s="34">
        <v>0.544464</v>
      </c>
      <c r="AG102" s="33">
        <v>0.237922</v>
      </c>
      <c r="AH102" s="33">
        <v>2.15366</v>
      </c>
      <c r="AI102" s="33">
        <v>5.65915</v>
      </c>
      <c r="AJ102" s="33">
        <v>12.6887</v>
      </c>
      <c r="AK102" s="33">
        <v>35.299</v>
      </c>
      <c r="AL102" s="33">
        <v>43.9616</v>
      </c>
      <c r="AM102" s="34">
        <v>0.138824</v>
      </c>
      <c r="AN102" s="33">
        <v>0.937785</v>
      </c>
      <c r="AO102" s="33">
        <v>12.9266</v>
      </c>
      <c r="AP102" s="33">
        <v>59.5408</v>
      </c>
      <c r="AQ102" s="33">
        <v>21.4578</v>
      </c>
      <c r="AR102" s="33">
        <v>3.25521</v>
      </c>
      <c r="AS102" s="33">
        <v>1.88175</v>
      </c>
      <c r="AT102" s="33">
        <v>353.272</v>
      </c>
      <c r="AU102" s="34">
        <v>359.223</v>
      </c>
      <c r="AV102" s="34">
        <v>19122.7</v>
      </c>
      <c r="AW102" s="34">
        <v>0.0692565</v>
      </c>
      <c r="AX102" s="33">
        <v>0.0169945</v>
      </c>
      <c r="AY102" s="33">
        <v>0.378513</v>
      </c>
      <c r="AZ102" s="33">
        <v>0.568542</v>
      </c>
      <c r="BA102" s="33">
        <v>12.9003</v>
      </c>
      <c r="BB102" s="33">
        <v>78.8156</v>
      </c>
      <c r="BC102" s="33">
        <v>7.31997</v>
      </c>
      <c r="BD102" s="34">
        <v>29.746</v>
      </c>
      <c r="BE102" s="33">
        <v>0.0</v>
      </c>
      <c r="BF102" s="33">
        <v>37.3662</v>
      </c>
      <c r="BG102" s="33">
        <v>56.8032</v>
      </c>
      <c r="BH102" s="33">
        <v>4.55451</v>
      </c>
      <c r="BI102" s="33">
        <v>0.740031</v>
      </c>
      <c r="BJ102" s="33">
        <v>0.536098</v>
      </c>
      <c r="BK102" s="33">
        <v>41.2265</v>
      </c>
      <c r="BL102" s="33">
        <v>64727.0</v>
      </c>
    </row>
    <row r="103" ht="15.75" customHeight="1">
      <c r="A103" s="33" t="s">
        <v>111</v>
      </c>
      <c r="B103" s="33" t="s">
        <v>66</v>
      </c>
      <c r="C103" s="34">
        <v>32847.9</v>
      </c>
      <c r="D103" s="33">
        <v>252.766</v>
      </c>
      <c r="E103" s="33">
        <v>60103.8</v>
      </c>
      <c r="F103" s="33">
        <v>34.352</v>
      </c>
      <c r="G103" s="33">
        <v>79.8654</v>
      </c>
      <c r="H103" s="33">
        <v>976.929</v>
      </c>
      <c r="I103" s="33">
        <v>332.166</v>
      </c>
      <c r="J103" s="34">
        <v>1.3486E7</v>
      </c>
      <c r="K103" s="34">
        <v>0.197128</v>
      </c>
      <c r="L103" s="33">
        <v>0.308021</v>
      </c>
      <c r="M103" s="33">
        <v>2.8654</v>
      </c>
      <c r="N103" s="33">
        <v>26.0223</v>
      </c>
      <c r="O103" s="33">
        <v>56.6664</v>
      </c>
      <c r="P103" s="33">
        <v>14.0852</v>
      </c>
      <c r="Q103" s="33">
        <v>0.0526877</v>
      </c>
      <c r="R103" s="34">
        <v>96.8344</v>
      </c>
      <c r="S103" s="33">
        <v>1.13887</v>
      </c>
      <c r="T103" s="33">
        <v>3.77055</v>
      </c>
      <c r="U103" s="33">
        <v>10.1579</v>
      </c>
      <c r="V103" s="33">
        <v>37.1638</v>
      </c>
      <c r="W103" s="33">
        <v>36.9517</v>
      </c>
      <c r="X103" s="33">
        <v>10.8172</v>
      </c>
      <c r="Y103" s="34">
        <v>7.21621</v>
      </c>
      <c r="Z103" s="33">
        <v>0.0</v>
      </c>
      <c r="AA103" s="33">
        <v>99.9973</v>
      </c>
      <c r="AB103" s="33">
        <v>0.00270194</v>
      </c>
      <c r="AC103" s="33">
        <v>0.0</v>
      </c>
      <c r="AD103" s="33">
        <v>0.0</v>
      </c>
      <c r="AE103" s="33">
        <v>0.0</v>
      </c>
      <c r="AF103" s="34">
        <v>0.53883</v>
      </c>
      <c r="AG103" s="33">
        <v>0.29316</v>
      </c>
      <c r="AH103" s="33">
        <v>2.07644</v>
      </c>
      <c r="AI103" s="33">
        <v>5.85645</v>
      </c>
      <c r="AJ103" s="33">
        <v>13.0504</v>
      </c>
      <c r="AK103" s="33">
        <v>38.1054</v>
      </c>
      <c r="AL103" s="33">
        <v>40.6182</v>
      </c>
      <c r="AM103" s="34">
        <v>0.126888</v>
      </c>
      <c r="AN103" s="33">
        <v>0.617392</v>
      </c>
      <c r="AO103" s="33">
        <v>12.9666</v>
      </c>
      <c r="AP103" s="33">
        <v>63.2442</v>
      </c>
      <c r="AQ103" s="33">
        <v>19.5336</v>
      </c>
      <c r="AR103" s="33">
        <v>2.45471</v>
      </c>
      <c r="AS103" s="33">
        <v>1.18345</v>
      </c>
      <c r="AT103" s="33">
        <v>410.557</v>
      </c>
      <c r="AU103" s="34">
        <v>423.7</v>
      </c>
      <c r="AV103" s="34">
        <v>20646.9</v>
      </c>
      <c r="AW103" s="34">
        <v>0.0666805</v>
      </c>
      <c r="AX103" s="33">
        <v>0.0175626</v>
      </c>
      <c r="AY103" s="33">
        <v>0.231016</v>
      </c>
      <c r="AZ103" s="33">
        <v>0.393132</v>
      </c>
      <c r="BA103" s="33">
        <v>12.9423</v>
      </c>
      <c r="BB103" s="33">
        <v>79.8503</v>
      </c>
      <c r="BC103" s="33">
        <v>6.5657</v>
      </c>
      <c r="BD103" s="34">
        <v>28.2104</v>
      </c>
      <c r="BE103" s="33">
        <v>0.0</v>
      </c>
      <c r="BF103" s="33">
        <v>41.7733</v>
      </c>
      <c r="BG103" s="33">
        <v>53.9712</v>
      </c>
      <c r="BH103" s="33">
        <v>3.51657</v>
      </c>
      <c r="BI103" s="33">
        <v>0.426906</v>
      </c>
      <c r="BJ103" s="33">
        <v>0.312074</v>
      </c>
      <c r="BK103" s="33">
        <v>38.9832</v>
      </c>
      <c r="BL103" s="33">
        <v>74021.0</v>
      </c>
    </row>
    <row r="104" ht="15.75" customHeight="1">
      <c r="A104" s="33" t="s">
        <v>111</v>
      </c>
      <c r="B104" s="33" t="s">
        <v>66</v>
      </c>
      <c r="C104" s="34">
        <v>29958.6</v>
      </c>
      <c r="D104" s="33">
        <v>243.547</v>
      </c>
      <c r="E104" s="33">
        <v>53609.7</v>
      </c>
      <c r="F104" s="33">
        <v>36.4604</v>
      </c>
      <c r="G104" s="33">
        <v>73.6447</v>
      </c>
      <c r="H104" s="33">
        <v>905.048</v>
      </c>
      <c r="I104" s="33">
        <v>338.214</v>
      </c>
      <c r="J104" s="34">
        <v>1.20502E7</v>
      </c>
      <c r="K104" s="34">
        <v>0.214307</v>
      </c>
      <c r="L104" s="33">
        <v>0.414975</v>
      </c>
      <c r="M104" s="33">
        <v>2.48687</v>
      </c>
      <c r="N104" s="33">
        <v>20.7413</v>
      </c>
      <c r="O104" s="33">
        <v>56.917</v>
      </c>
      <c r="P104" s="33">
        <v>19.3045</v>
      </c>
      <c r="Q104" s="33">
        <v>0.13535</v>
      </c>
      <c r="R104" s="34">
        <v>96.5006</v>
      </c>
      <c r="S104" s="33">
        <v>1.11255</v>
      </c>
      <c r="T104" s="33">
        <v>3.22758</v>
      </c>
      <c r="U104" s="33">
        <v>9.19191</v>
      </c>
      <c r="V104" s="33">
        <v>39.3616</v>
      </c>
      <c r="W104" s="33">
        <v>38.2952</v>
      </c>
      <c r="X104" s="33">
        <v>8.81115</v>
      </c>
      <c r="Y104" s="34">
        <v>7.16095</v>
      </c>
      <c r="Z104" s="33">
        <v>0.0</v>
      </c>
      <c r="AA104" s="33">
        <v>100.0</v>
      </c>
      <c r="AB104" s="33">
        <v>0.0</v>
      </c>
      <c r="AC104" s="33">
        <v>0.0</v>
      </c>
      <c r="AD104" s="33">
        <v>0.0</v>
      </c>
      <c r="AE104" s="33">
        <v>0.0</v>
      </c>
      <c r="AF104" s="34">
        <v>0.549609</v>
      </c>
      <c r="AG104" s="33">
        <v>0.202282</v>
      </c>
      <c r="AH104" s="33">
        <v>1.94845</v>
      </c>
      <c r="AI104" s="33">
        <v>4.70305</v>
      </c>
      <c r="AJ104" s="33">
        <v>12.8612</v>
      </c>
      <c r="AK104" s="33">
        <v>35.5436</v>
      </c>
      <c r="AL104" s="33">
        <v>44.7414</v>
      </c>
      <c r="AM104" s="34">
        <v>0.143452</v>
      </c>
      <c r="AN104" s="33">
        <v>0.310859</v>
      </c>
      <c r="AO104" s="33">
        <v>10.828</v>
      </c>
      <c r="AP104" s="33">
        <v>61.9086</v>
      </c>
      <c r="AQ104" s="33">
        <v>22.483</v>
      </c>
      <c r="AR104" s="33">
        <v>2.94796</v>
      </c>
      <c r="AS104" s="33">
        <v>1.52157</v>
      </c>
      <c r="AT104" s="33">
        <v>402.228</v>
      </c>
      <c r="AU104" s="34">
        <v>408.7</v>
      </c>
      <c r="AV104" s="34">
        <v>19546.3</v>
      </c>
      <c r="AW104" s="34">
        <v>0.0722115</v>
      </c>
      <c r="AX104" s="33">
        <v>0.00446209</v>
      </c>
      <c r="AY104" s="33">
        <v>0.0505704</v>
      </c>
      <c r="AZ104" s="33">
        <v>0.22013</v>
      </c>
      <c r="BA104" s="33">
        <v>10.8637</v>
      </c>
      <c r="BB104" s="33">
        <v>82.6127</v>
      </c>
      <c r="BC104" s="33">
        <v>6.24842</v>
      </c>
      <c r="BD104" s="34">
        <v>30.5786</v>
      </c>
      <c r="BE104" s="33">
        <v>0.0</v>
      </c>
      <c r="BF104" s="33">
        <v>33.491</v>
      </c>
      <c r="BG104" s="33">
        <v>60.6681</v>
      </c>
      <c r="BH104" s="33">
        <v>4.77444</v>
      </c>
      <c r="BI104" s="33">
        <v>0.568173</v>
      </c>
      <c r="BJ104" s="33">
        <v>0.498267</v>
      </c>
      <c r="BK104" s="33">
        <v>40.7661</v>
      </c>
      <c r="BL104" s="33">
        <v>67233.0</v>
      </c>
    </row>
    <row r="105" ht="15.75" customHeight="1">
      <c r="A105" s="33" t="s">
        <v>111</v>
      </c>
      <c r="B105" s="33" t="s">
        <v>66</v>
      </c>
      <c r="C105" s="34">
        <v>27876.2</v>
      </c>
      <c r="D105" s="33">
        <v>223.84</v>
      </c>
      <c r="E105" s="33">
        <v>51728.0</v>
      </c>
      <c r="F105" s="33">
        <v>36.4674</v>
      </c>
      <c r="G105" s="33">
        <v>65.1829</v>
      </c>
      <c r="H105" s="33">
        <v>887.054</v>
      </c>
      <c r="I105" s="33">
        <v>326.587</v>
      </c>
      <c r="J105" s="34">
        <v>1.03676E7</v>
      </c>
      <c r="K105" s="34">
        <v>0.214916</v>
      </c>
      <c r="L105" s="33">
        <v>0.482262</v>
      </c>
      <c r="M105" s="33">
        <v>2.5112</v>
      </c>
      <c r="N105" s="33">
        <v>20.7201</v>
      </c>
      <c r="O105" s="33">
        <v>56.4044</v>
      </c>
      <c r="P105" s="33">
        <v>19.7213</v>
      </c>
      <c r="Q105" s="33">
        <v>0.160754</v>
      </c>
      <c r="R105" s="34">
        <v>95.5877</v>
      </c>
      <c r="S105" s="33">
        <v>1.25638</v>
      </c>
      <c r="T105" s="33">
        <v>4.14995</v>
      </c>
      <c r="U105" s="33">
        <v>10.5817</v>
      </c>
      <c r="V105" s="33">
        <v>37.9957</v>
      </c>
      <c r="W105" s="33">
        <v>36.6192</v>
      </c>
      <c r="X105" s="33">
        <v>9.39709</v>
      </c>
      <c r="Y105" s="34">
        <v>6.92211</v>
      </c>
      <c r="Z105" s="33">
        <v>0.0</v>
      </c>
      <c r="AA105" s="33">
        <v>99.9594</v>
      </c>
      <c r="AB105" s="33">
        <v>0.0405787</v>
      </c>
      <c r="AC105" s="33">
        <v>0.0</v>
      </c>
      <c r="AD105" s="33">
        <v>0.0</v>
      </c>
      <c r="AE105" s="33">
        <v>0.0</v>
      </c>
      <c r="AF105" s="34">
        <v>0.561649</v>
      </c>
      <c r="AG105" s="33">
        <v>0.21694</v>
      </c>
      <c r="AH105" s="33">
        <v>1.87755</v>
      </c>
      <c r="AI105" s="33">
        <v>4.56042</v>
      </c>
      <c r="AJ105" s="33">
        <v>10.4958</v>
      </c>
      <c r="AK105" s="33">
        <v>33.1575</v>
      </c>
      <c r="AL105" s="33">
        <v>49.6918</v>
      </c>
      <c r="AM105" s="34">
        <v>0.157192</v>
      </c>
      <c r="AN105" s="33">
        <v>0.415151</v>
      </c>
      <c r="AO105" s="33">
        <v>11.5415</v>
      </c>
      <c r="AP105" s="33">
        <v>57.7388</v>
      </c>
      <c r="AQ105" s="33">
        <v>22.9488</v>
      </c>
      <c r="AR105" s="33">
        <v>4.87101</v>
      </c>
      <c r="AS105" s="33">
        <v>2.48467</v>
      </c>
      <c r="AT105" s="33">
        <v>371.916</v>
      </c>
      <c r="AU105" s="34">
        <v>377.5</v>
      </c>
      <c r="AV105" s="34">
        <v>18863.8</v>
      </c>
      <c r="AW105" s="34">
        <v>0.0778104</v>
      </c>
      <c r="AX105" s="33">
        <v>0.00624288</v>
      </c>
      <c r="AY105" s="33">
        <v>0.0561859</v>
      </c>
      <c r="AZ105" s="33">
        <v>0.193529</v>
      </c>
      <c r="BA105" s="33">
        <v>11.7007</v>
      </c>
      <c r="BB105" s="33">
        <v>80.0134</v>
      </c>
      <c r="BC105" s="33">
        <v>8.0299</v>
      </c>
      <c r="BD105" s="34">
        <v>31.7976</v>
      </c>
      <c r="BE105" s="33">
        <v>0.0</v>
      </c>
      <c r="BF105" s="33">
        <v>32.0057</v>
      </c>
      <c r="BG105" s="33">
        <v>59.6897</v>
      </c>
      <c r="BH105" s="33">
        <v>6.64086</v>
      </c>
      <c r="BI105" s="33">
        <v>0.950478</v>
      </c>
      <c r="BJ105" s="33">
        <v>0.713249</v>
      </c>
      <c r="BK105" s="33">
        <v>42.6268</v>
      </c>
      <c r="BL105" s="33">
        <v>64073.0</v>
      </c>
    </row>
    <row r="106" ht="15.75" customHeight="1">
      <c r="A106" s="33" t="s">
        <v>112</v>
      </c>
      <c r="B106" s="33" t="s">
        <v>66</v>
      </c>
      <c r="C106" s="34">
        <v>32635.0</v>
      </c>
      <c r="D106" s="33">
        <v>254.014</v>
      </c>
      <c r="E106" s="33">
        <v>59065.6</v>
      </c>
      <c r="F106" s="33">
        <v>33.878</v>
      </c>
      <c r="G106" s="33">
        <v>78.8054</v>
      </c>
      <c r="H106" s="33">
        <v>964.335</v>
      </c>
      <c r="I106" s="33">
        <v>327.978</v>
      </c>
      <c r="J106" s="34">
        <v>1.30797E7</v>
      </c>
      <c r="K106" s="34">
        <v>0.205827</v>
      </c>
      <c r="L106" s="33">
        <v>0.371042</v>
      </c>
      <c r="M106" s="33">
        <v>3.62533</v>
      </c>
      <c r="N106" s="33">
        <v>22.6364</v>
      </c>
      <c r="O106" s="33">
        <v>55.4764</v>
      </c>
      <c r="P106" s="33">
        <v>17.8254</v>
      </c>
      <c r="Q106" s="33">
        <v>0.0655601</v>
      </c>
      <c r="R106" s="34">
        <v>95.7325</v>
      </c>
      <c r="S106" s="33">
        <v>1.41442</v>
      </c>
      <c r="T106" s="33">
        <v>3.84293</v>
      </c>
      <c r="U106" s="33">
        <v>10.2636</v>
      </c>
      <c r="V106" s="33">
        <v>39.011</v>
      </c>
      <c r="W106" s="33">
        <v>35.4429</v>
      </c>
      <c r="X106" s="33">
        <v>10.0251</v>
      </c>
      <c r="Y106" s="34">
        <v>7.64386</v>
      </c>
      <c r="Z106" s="33">
        <v>0.0</v>
      </c>
      <c r="AA106" s="33">
        <v>99.5913</v>
      </c>
      <c r="AB106" s="33">
        <v>0.177152</v>
      </c>
      <c r="AC106" s="33">
        <v>0.106012</v>
      </c>
      <c r="AD106" s="33">
        <v>0.125541</v>
      </c>
      <c r="AE106" s="33">
        <v>0.0</v>
      </c>
      <c r="AF106" s="34">
        <v>0.523455</v>
      </c>
      <c r="AG106" s="33">
        <v>0.643046</v>
      </c>
      <c r="AH106" s="33">
        <v>2.41875</v>
      </c>
      <c r="AI106" s="33">
        <v>6.72479</v>
      </c>
      <c r="AJ106" s="33">
        <v>15.1332</v>
      </c>
      <c r="AK106" s="33">
        <v>36.7527</v>
      </c>
      <c r="AL106" s="33">
        <v>38.3275</v>
      </c>
      <c r="AM106" s="34">
        <v>0.145785</v>
      </c>
      <c r="AN106" s="33">
        <v>0.922025</v>
      </c>
      <c r="AO106" s="33">
        <v>11.2094</v>
      </c>
      <c r="AP106" s="33">
        <v>58.8353</v>
      </c>
      <c r="AQ106" s="33">
        <v>23.9085</v>
      </c>
      <c r="AR106" s="33">
        <v>3.53606</v>
      </c>
      <c r="AS106" s="33">
        <v>1.58879</v>
      </c>
      <c r="AT106" s="33">
        <v>400.788</v>
      </c>
      <c r="AU106" s="34">
        <v>414.905</v>
      </c>
      <c r="AV106" s="34">
        <v>20010.2</v>
      </c>
      <c r="AW106" s="34">
        <v>0.0777966</v>
      </c>
      <c r="AX106" s="33">
        <v>0.0278979</v>
      </c>
      <c r="AY106" s="33">
        <v>0.378016</v>
      </c>
      <c r="AZ106" s="33">
        <v>0.756033</v>
      </c>
      <c r="BA106" s="33">
        <v>10.9695</v>
      </c>
      <c r="BB106" s="33">
        <v>79.0794</v>
      </c>
      <c r="BC106" s="33">
        <v>8.78923</v>
      </c>
      <c r="BD106" s="34">
        <v>30.4257</v>
      </c>
      <c r="BE106" s="33">
        <v>0.0</v>
      </c>
      <c r="BF106" s="33">
        <v>34.857</v>
      </c>
      <c r="BG106" s="33">
        <v>58.8562</v>
      </c>
      <c r="BH106" s="33">
        <v>5.15972</v>
      </c>
      <c r="BI106" s="33">
        <v>0.65839</v>
      </c>
      <c r="BJ106" s="33">
        <v>0.468685</v>
      </c>
      <c r="BK106" s="33">
        <v>37.8547</v>
      </c>
      <c r="BL106" s="33">
        <v>71690.0</v>
      </c>
    </row>
    <row r="107" ht="15.75" customHeight="1">
      <c r="A107" s="33" t="s">
        <v>112</v>
      </c>
      <c r="B107" s="33" t="s">
        <v>66</v>
      </c>
      <c r="C107" s="34">
        <v>39195.3</v>
      </c>
      <c r="D107" s="33">
        <v>221.544</v>
      </c>
      <c r="E107" s="33">
        <v>70061.2</v>
      </c>
      <c r="F107" s="33">
        <v>35.2251</v>
      </c>
      <c r="G107" s="33">
        <v>82.9845</v>
      </c>
      <c r="H107" s="33">
        <v>1038.26</v>
      </c>
      <c r="I107" s="33">
        <v>364.822</v>
      </c>
      <c r="J107" s="34">
        <v>1.57344E7</v>
      </c>
      <c r="K107" s="34">
        <v>0.203302</v>
      </c>
      <c r="L107" s="33">
        <v>0.478568</v>
      </c>
      <c r="M107" s="33">
        <v>3.33391</v>
      </c>
      <c r="N107" s="33">
        <v>22.9862</v>
      </c>
      <c r="O107" s="33">
        <v>56.4962</v>
      </c>
      <c r="P107" s="33">
        <v>16.6133</v>
      </c>
      <c r="Q107" s="33">
        <v>0.0918116</v>
      </c>
      <c r="R107" s="34">
        <v>95.8378</v>
      </c>
      <c r="S107" s="33">
        <v>1.46439</v>
      </c>
      <c r="T107" s="33">
        <v>3.83313</v>
      </c>
      <c r="U107" s="33">
        <v>10.1176</v>
      </c>
      <c r="V107" s="33">
        <v>38.7376</v>
      </c>
      <c r="W107" s="33">
        <v>35.6137</v>
      </c>
      <c r="X107" s="33">
        <v>10.2335</v>
      </c>
      <c r="Y107" s="34">
        <v>7.08289</v>
      </c>
      <c r="Z107" s="33">
        <v>0.0</v>
      </c>
      <c r="AA107" s="33">
        <v>99.9771</v>
      </c>
      <c r="AB107" s="33">
        <v>0.0229529</v>
      </c>
      <c r="AC107" s="33">
        <v>0.0</v>
      </c>
      <c r="AD107" s="33">
        <v>0.0</v>
      </c>
      <c r="AE107" s="33">
        <v>0.0</v>
      </c>
      <c r="AF107" s="34">
        <v>0.53901</v>
      </c>
      <c r="AG107" s="33">
        <v>0.231824</v>
      </c>
      <c r="AH107" s="33">
        <v>2.21495</v>
      </c>
      <c r="AI107" s="33">
        <v>5.59477</v>
      </c>
      <c r="AJ107" s="33">
        <v>13.191</v>
      </c>
      <c r="AK107" s="33">
        <v>36.9427</v>
      </c>
      <c r="AL107" s="33">
        <v>41.8248</v>
      </c>
      <c r="AM107" s="34">
        <v>0.142511</v>
      </c>
      <c r="AN107" s="33">
        <v>0.627762</v>
      </c>
      <c r="AO107" s="33">
        <v>12.0021</v>
      </c>
      <c r="AP107" s="33">
        <v>60.1194</v>
      </c>
      <c r="AQ107" s="33">
        <v>22.099</v>
      </c>
      <c r="AR107" s="33">
        <v>3.34309</v>
      </c>
      <c r="AS107" s="33">
        <v>1.80869</v>
      </c>
      <c r="AT107" s="33">
        <v>401.436</v>
      </c>
      <c r="AU107" s="34">
        <v>408.925</v>
      </c>
      <c r="AV107" s="34">
        <v>24679.1</v>
      </c>
      <c r="AW107" s="34">
        <v>0.0735279</v>
      </c>
      <c r="AX107" s="33">
        <v>0.00344293</v>
      </c>
      <c r="AY107" s="33">
        <v>0.204281</v>
      </c>
      <c r="AZ107" s="33">
        <v>0.387904</v>
      </c>
      <c r="BA107" s="33">
        <v>12.0342</v>
      </c>
      <c r="BB107" s="33">
        <v>79.8336</v>
      </c>
      <c r="BC107" s="33">
        <v>7.53658</v>
      </c>
      <c r="BD107" s="34">
        <v>29.9435</v>
      </c>
      <c r="BE107" s="33">
        <v>0.0</v>
      </c>
      <c r="BF107" s="33">
        <v>36.3092</v>
      </c>
      <c r="BG107" s="33">
        <v>57.7104</v>
      </c>
      <c r="BH107" s="33">
        <v>4.86372</v>
      </c>
      <c r="BI107" s="33">
        <v>0.675963</v>
      </c>
      <c r="BJ107" s="33">
        <v>0.440695</v>
      </c>
      <c r="BK107" s="33">
        <v>39.0696</v>
      </c>
      <c r="BL107" s="33">
        <v>87135.0</v>
      </c>
    </row>
    <row r="108" ht="15.75" customHeight="1">
      <c r="A108" s="33" t="s">
        <v>112</v>
      </c>
      <c r="B108" s="33" t="s">
        <v>66</v>
      </c>
      <c r="C108" s="34">
        <v>33279.5</v>
      </c>
      <c r="D108" s="33">
        <v>222.174</v>
      </c>
      <c r="E108" s="33">
        <v>80209.6</v>
      </c>
      <c r="F108" s="33">
        <v>26.2905</v>
      </c>
      <c r="G108" s="33">
        <v>75.1577</v>
      </c>
      <c r="H108" s="33">
        <v>1093.71</v>
      </c>
      <c r="I108" s="33">
        <v>406.708</v>
      </c>
      <c r="J108" s="34">
        <v>1.11952E7</v>
      </c>
      <c r="K108" s="34">
        <v>0.202326</v>
      </c>
      <c r="L108" s="33">
        <v>0.309907</v>
      </c>
      <c r="M108" s="33">
        <v>3.95931</v>
      </c>
      <c r="N108" s="33">
        <v>24.6411</v>
      </c>
      <c r="O108" s="33">
        <v>53.4403</v>
      </c>
      <c r="P108" s="33">
        <v>17.4702</v>
      </c>
      <c r="Q108" s="33">
        <v>0.179274</v>
      </c>
      <c r="R108" s="34">
        <v>96.0205</v>
      </c>
      <c r="S108" s="33">
        <v>1.34942</v>
      </c>
      <c r="T108" s="33">
        <v>4.36094</v>
      </c>
      <c r="U108" s="33">
        <v>11.6278</v>
      </c>
      <c r="V108" s="33">
        <v>35.4378</v>
      </c>
      <c r="W108" s="33">
        <v>34.4331</v>
      </c>
      <c r="X108" s="33">
        <v>12.791</v>
      </c>
      <c r="Y108" s="34">
        <v>7.09365</v>
      </c>
      <c r="Z108" s="33">
        <v>0.0</v>
      </c>
      <c r="AA108" s="33">
        <v>99.9847</v>
      </c>
      <c r="AB108" s="33">
        <v>0.00972803</v>
      </c>
      <c r="AC108" s="33">
        <v>0.00416916</v>
      </c>
      <c r="AD108" s="33">
        <v>0.00138972</v>
      </c>
      <c r="AE108" s="33">
        <v>0.0</v>
      </c>
      <c r="AF108" s="34">
        <v>0.533766</v>
      </c>
      <c r="AG108" s="33">
        <v>0.290451</v>
      </c>
      <c r="AH108" s="33">
        <v>3.17551</v>
      </c>
      <c r="AI108" s="33">
        <v>6.46358</v>
      </c>
      <c r="AJ108" s="33">
        <v>13.8694</v>
      </c>
      <c r="AK108" s="33">
        <v>33.6979</v>
      </c>
      <c r="AL108" s="33">
        <v>42.5032</v>
      </c>
      <c r="AM108" s="34">
        <v>0.139405</v>
      </c>
      <c r="AN108" s="33">
        <v>0.633712</v>
      </c>
      <c r="AO108" s="33">
        <v>14.3766</v>
      </c>
      <c r="AP108" s="33">
        <v>56.0474</v>
      </c>
      <c r="AQ108" s="33">
        <v>23.4473</v>
      </c>
      <c r="AR108" s="33">
        <v>4.07605</v>
      </c>
      <c r="AS108" s="33">
        <v>1.4189</v>
      </c>
      <c r="AT108" s="33">
        <v>336.399</v>
      </c>
      <c r="AU108" s="34">
        <v>352.205</v>
      </c>
      <c r="AV108" s="34">
        <v>21087.5</v>
      </c>
      <c r="AW108" s="34">
        <v>0.0747336</v>
      </c>
      <c r="AX108" s="33">
        <v>0.00833831</v>
      </c>
      <c r="AY108" s="33">
        <v>0.0819934</v>
      </c>
      <c r="AZ108" s="33">
        <v>0.458607</v>
      </c>
      <c r="BA108" s="33">
        <v>14.4614</v>
      </c>
      <c r="BB108" s="33">
        <v>76.1246</v>
      </c>
      <c r="BC108" s="33">
        <v>8.86502</v>
      </c>
      <c r="BD108" s="34">
        <v>29.754</v>
      </c>
      <c r="BE108" s="33">
        <v>0.0</v>
      </c>
      <c r="BF108" s="33">
        <v>37.7197</v>
      </c>
      <c r="BG108" s="33">
        <v>55.8764</v>
      </c>
      <c r="BH108" s="33">
        <v>5.57416</v>
      </c>
      <c r="BI108" s="33">
        <v>0.585072</v>
      </c>
      <c r="BJ108" s="33">
        <v>0.244591</v>
      </c>
      <c r="BK108" s="33">
        <v>39.3603</v>
      </c>
      <c r="BL108" s="33">
        <v>71957.0</v>
      </c>
    </row>
    <row r="109" ht="15.75" customHeight="1">
      <c r="A109" s="33" t="s">
        <v>112</v>
      </c>
      <c r="B109" s="33" t="s">
        <v>66</v>
      </c>
      <c r="C109" s="34">
        <v>29642.3</v>
      </c>
      <c r="D109" s="33">
        <v>197.182</v>
      </c>
      <c r="E109" s="33">
        <v>65551.7</v>
      </c>
      <c r="F109" s="33">
        <v>29.0241</v>
      </c>
      <c r="G109" s="33">
        <v>82.9834</v>
      </c>
      <c r="H109" s="33">
        <v>995.567</v>
      </c>
      <c r="I109" s="33">
        <v>370.33</v>
      </c>
      <c r="J109" s="34">
        <v>9965440.0</v>
      </c>
      <c r="K109" s="34">
        <v>0.201236</v>
      </c>
      <c r="L109" s="33">
        <v>0.454909</v>
      </c>
      <c r="M109" s="33">
        <v>4.04085</v>
      </c>
      <c r="N109" s="33">
        <v>24.4521</v>
      </c>
      <c r="O109" s="33">
        <v>53.2369</v>
      </c>
      <c r="P109" s="33">
        <v>17.7132</v>
      </c>
      <c r="Q109" s="33">
        <v>0.101962</v>
      </c>
      <c r="R109" s="34">
        <v>94.8823</v>
      </c>
      <c r="S109" s="33">
        <v>1.64238</v>
      </c>
      <c r="T109" s="33">
        <v>4.33105</v>
      </c>
      <c r="U109" s="33">
        <v>10.6715</v>
      </c>
      <c r="V109" s="33">
        <v>38.4916</v>
      </c>
      <c r="W109" s="33">
        <v>34.2782</v>
      </c>
      <c r="X109" s="33">
        <v>10.5853</v>
      </c>
      <c r="Y109" s="34">
        <v>7.04395</v>
      </c>
      <c r="Z109" s="33">
        <v>0.0</v>
      </c>
      <c r="AA109" s="33">
        <v>100.0</v>
      </c>
      <c r="AB109" s="33">
        <v>0.0</v>
      </c>
      <c r="AC109" s="33">
        <v>0.0</v>
      </c>
      <c r="AD109" s="33">
        <v>0.0</v>
      </c>
      <c r="AE109" s="33">
        <v>0.0</v>
      </c>
      <c r="AF109" s="34">
        <v>0.529381</v>
      </c>
      <c r="AG109" s="33">
        <v>0.312162</v>
      </c>
      <c r="AH109" s="33">
        <v>2.83142</v>
      </c>
      <c r="AI109" s="33">
        <v>6.99462</v>
      </c>
      <c r="AJ109" s="33">
        <v>13.3728</v>
      </c>
      <c r="AK109" s="33">
        <v>36.6767</v>
      </c>
      <c r="AL109" s="33">
        <v>39.8124</v>
      </c>
      <c r="AM109" s="34">
        <v>0.147668</v>
      </c>
      <c r="AN109" s="33">
        <v>0.563146</v>
      </c>
      <c r="AO109" s="33">
        <v>12.0739</v>
      </c>
      <c r="AP109" s="33">
        <v>58.6644</v>
      </c>
      <c r="AQ109" s="33">
        <v>22.9588</v>
      </c>
      <c r="AR109" s="33">
        <v>3.67849</v>
      </c>
      <c r="AS109" s="33">
        <v>2.06121</v>
      </c>
      <c r="AT109" s="33">
        <v>336.19</v>
      </c>
      <c r="AU109" s="34">
        <v>349.205</v>
      </c>
      <c r="AV109" s="34">
        <v>19025.8</v>
      </c>
      <c r="AW109" s="34">
        <v>0.0766781</v>
      </c>
      <c r="AX109" s="33">
        <v>0.00627461</v>
      </c>
      <c r="AY109" s="33">
        <v>0.196082</v>
      </c>
      <c r="AZ109" s="33">
        <v>0.401575</v>
      </c>
      <c r="BA109" s="33">
        <v>12.0331</v>
      </c>
      <c r="BB109" s="33">
        <v>79.2593</v>
      </c>
      <c r="BC109" s="33">
        <v>8.10366</v>
      </c>
      <c r="BD109" s="34">
        <v>30.0459</v>
      </c>
      <c r="BE109" s="33">
        <v>0.0</v>
      </c>
      <c r="BF109" s="33">
        <v>37.7857</v>
      </c>
      <c r="BG109" s="33">
        <v>55.1773</v>
      </c>
      <c r="BH109" s="33">
        <v>5.70989</v>
      </c>
      <c r="BI109" s="33">
        <v>0.842366</v>
      </c>
      <c r="BJ109" s="33">
        <v>0.484713</v>
      </c>
      <c r="BK109" s="33">
        <v>39.9668</v>
      </c>
      <c r="BL109" s="33">
        <v>63749.0</v>
      </c>
    </row>
    <row r="110" ht="15.75" customHeight="1">
      <c r="A110" s="33" t="s">
        <v>113</v>
      </c>
      <c r="B110" s="33" t="s">
        <v>66</v>
      </c>
      <c r="C110" s="34">
        <v>32178.0</v>
      </c>
      <c r="D110" s="33">
        <v>230.632</v>
      </c>
      <c r="E110" s="33">
        <v>56086.0</v>
      </c>
      <c r="F110" s="33">
        <v>37.4828</v>
      </c>
      <c r="G110" s="33">
        <v>69.9706</v>
      </c>
      <c r="H110" s="33">
        <v>913.51</v>
      </c>
      <c r="I110" s="33">
        <v>323.735</v>
      </c>
      <c r="J110" s="34">
        <v>1.26139E7</v>
      </c>
      <c r="K110" s="34">
        <v>0.206152</v>
      </c>
      <c r="L110" s="33">
        <v>0.438322</v>
      </c>
      <c r="M110" s="33">
        <v>3.2408</v>
      </c>
      <c r="N110" s="33">
        <v>22.3029</v>
      </c>
      <c r="O110" s="33">
        <v>56.5574</v>
      </c>
      <c r="P110" s="33">
        <v>17.384</v>
      </c>
      <c r="Q110" s="33">
        <v>0.0765324</v>
      </c>
      <c r="R110" s="34">
        <v>97.9</v>
      </c>
      <c r="S110" s="33">
        <v>1.32053</v>
      </c>
      <c r="T110" s="33">
        <v>3.1754</v>
      </c>
      <c r="U110" s="33">
        <v>8.99882</v>
      </c>
      <c r="V110" s="33">
        <v>36.8538</v>
      </c>
      <c r="W110" s="33">
        <v>38.2231</v>
      </c>
      <c r="X110" s="33">
        <v>11.4284</v>
      </c>
      <c r="Y110" s="34">
        <v>6.91067</v>
      </c>
      <c r="Z110" s="33">
        <v>0.0</v>
      </c>
      <c r="AA110" s="33">
        <v>100.0</v>
      </c>
      <c r="AB110" s="33">
        <v>0.0</v>
      </c>
      <c r="AC110" s="33">
        <v>0.0</v>
      </c>
      <c r="AD110" s="33">
        <v>0.0</v>
      </c>
      <c r="AE110" s="33">
        <v>0.0</v>
      </c>
      <c r="AF110" s="34">
        <v>0.551617</v>
      </c>
      <c r="AG110" s="33">
        <v>0.137758</v>
      </c>
      <c r="AH110" s="33">
        <v>1.86182</v>
      </c>
      <c r="AI110" s="33">
        <v>5.0901</v>
      </c>
      <c r="AJ110" s="33">
        <v>11.9891</v>
      </c>
      <c r="AK110" s="33">
        <v>34.5022</v>
      </c>
      <c r="AL110" s="33">
        <v>46.419</v>
      </c>
      <c r="AM110" s="34">
        <v>0.131431</v>
      </c>
      <c r="AN110" s="33">
        <v>0.660962</v>
      </c>
      <c r="AO110" s="33">
        <v>13.4544</v>
      </c>
      <c r="AP110" s="33">
        <v>61.1981</v>
      </c>
      <c r="AQ110" s="33">
        <v>20.3785</v>
      </c>
      <c r="AR110" s="33">
        <v>2.74264</v>
      </c>
      <c r="AS110" s="33">
        <v>1.56544</v>
      </c>
      <c r="AT110" s="33">
        <v>392.004</v>
      </c>
      <c r="AU110" s="34">
        <v>395.74</v>
      </c>
      <c r="AV110" s="34">
        <v>21022.6</v>
      </c>
      <c r="AW110" s="34">
        <v>0.0648858</v>
      </c>
      <c r="AX110" s="33">
        <v>0.00556599</v>
      </c>
      <c r="AY110" s="33">
        <v>0.192027</v>
      </c>
      <c r="AZ110" s="33">
        <v>0.45502</v>
      </c>
      <c r="BA110" s="33">
        <v>13.4627</v>
      </c>
      <c r="BB110" s="33">
        <v>79.8233</v>
      </c>
      <c r="BC110" s="33">
        <v>6.06137</v>
      </c>
      <c r="BD110" s="34">
        <v>29.5479</v>
      </c>
      <c r="BE110" s="33">
        <v>0.0</v>
      </c>
      <c r="BF110" s="33">
        <v>37.4076</v>
      </c>
      <c r="BG110" s="33">
        <v>57.3172</v>
      </c>
      <c r="BH110" s="33">
        <v>4.20372</v>
      </c>
      <c r="BI110" s="33">
        <v>0.673485</v>
      </c>
      <c r="BJ110" s="33">
        <v>0.397968</v>
      </c>
      <c r="BK110" s="33">
        <v>40.8349</v>
      </c>
      <c r="BL110" s="33">
        <v>71865.0</v>
      </c>
    </row>
    <row r="111" ht="15.75" customHeight="1">
      <c r="A111" s="33" t="s">
        <v>113</v>
      </c>
      <c r="B111" s="33" t="s">
        <v>66</v>
      </c>
      <c r="C111" s="34">
        <v>32245.3</v>
      </c>
      <c r="D111" s="33">
        <v>238.289</v>
      </c>
      <c r="E111" s="33">
        <v>53310.4</v>
      </c>
      <c r="F111" s="33">
        <v>37.5704</v>
      </c>
      <c r="G111" s="33">
        <v>73.7652</v>
      </c>
      <c r="H111" s="33">
        <v>871.727</v>
      </c>
      <c r="I111" s="33">
        <v>322.174</v>
      </c>
      <c r="J111" s="34">
        <v>1.35021E7</v>
      </c>
      <c r="K111" s="34">
        <v>0.198845</v>
      </c>
      <c r="L111" s="33">
        <v>0.405605</v>
      </c>
      <c r="M111" s="33">
        <v>2.80403</v>
      </c>
      <c r="N111" s="33">
        <v>24.4842</v>
      </c>
      <c r="O111" s="33">
        <v>58.3212</v>
      </c>
      <c r="P111" s="33">
        <v>13.8666</v>
      </c>
      <c r="Q111" s="33">
        <v>0.118302</v>
      </c>
      <c r="R111" s="34">
        <v>97.3817</v>
      </c>
      <c r="S111" s="33">
        <v>1.31963</v>
      </c>
      <c r="T111" s="33">
        <v>3.76312</v>
      </c>
      <c r="U111" s="33">
        <v>9.78804</v>
      </c>
      <c r="V111" s="33">
        <v>36.0172</v>
      </c>
      <c r="W111" s="33">
        <v>37.4847</v>
      </c>
      <c r="X111" s="33">
        <v>11.6273</v>
      </c>
      <c r="Y111" s="34">
        <v>6.79306</v>
      </c>
      <c r="Z111" s="33">
        <v>0.0</v>
      </c>
      <c r="AA111" s="33">
        <v>99.9859</v>
      </c>
      <c r="AB111" s="33">
        <v>0.0140835</v>
      </c>
      <c r="AC111" s="33">
        <v>0.0</v>
      </c>
      <c r="AD111" s="33">
        <v>0.0</v>
      </c>
      <c r="AE111" s="33">
        <v>0.0</v>
      </c>
      <c r="AF111" s="34">
        <v>0.557217</v>
      </c>
      <c r="AG111" s="33">
        <v>0.133793</v>
      </c>
      <c r="AH111" s="33">
        <v>1.72805</v>
      </c>
      <c r="AI111" s="33">
        <v>4.27998</v>
      </c>
      <c r="AJ111" s="33">
        <v>10.6908</v>
      </c>
      <c r="AK111" s="33">
        <v>35.8862</v>
      </c>
      <c r="AL111" s="33">
        <v>47.2812</v>
      </c>
      <c r="AM111" s="34">
        <v>0.130023</v>
      </c>
      <c r="AN111" s="33">
        <v>0.525315</v>
      </c>
      <c r="AO111" s="33">
        <v>14.1483</v>
      </c>
      <c r="AP111" s="33">
        <v>61.4013</v>
      </c>
      <c r="AQ111" s="33">
        <v>19.2141</v>
      </c>
      <c r="AR111" s="33">
        <v>3.08147</v>
      </c>
      <c r="AS111" s="33">
        <v>1.62946</v>
      </c>
      <c r="AT111" s="33">
        <v>418.732</v>
      </c>
      <c r="AU111" s="34">
        <v>426.303</v>
      </c>
      <c r="AV111" s="34">
        <v>20029.0</v>
      </c>
      <c r="AW111" s="34">
        <v>0.0662856</v>
      </c>
      <c r="AX111" s="33">
        <v>0.00563341</v>
      </c>
      <c r="AY111" s="33">
        <v>0.135202</v>
      </c>
      <c r="AZ111" s="33">
        <v>0.25632</v>
      </c>
      <c r="BA111" s="33">
        <v>14.2765</v>
      </c>
      <c r="BB111" s="33">
        <v>78.8029</v>
      </c>
      <c r="BC111" s="33">
        <v>6.52348</v>
      </c>
      <c r="BD111" s="34">
        <v>28.766</v>
      </c>
      <c r="BE111" s="33">
        <v>0.0</v>
      </c>
      <c r="BF111" s="33">
        <v>40.5549</v>
      </c>
      <c r="BG111" s="33">
        <v>54.4764</v>
      </c>
      <c r="BH111" s="33">
        <v>3.9293</v>
      </c>
      <c r="BI111" s="33">
        <v>0.584466</v>
      </c>
      <c r="BJ111" s="33">
        <v>0.454898</v>
      </c>
      <c r="BK111" s="33">
        <v>38.4372</v>
      </c>
      <c r="BL111" s="33">
        <v>71005.0</v>
      </c>
    </row>
    <row r="112" ht="15.75" customHeight="1">
      <c r="A112" s="33" t="s">
        <v>113</v>
      </c>
      <c r="B112" s="33" t="s">
        <v>66</v>
      </c>
      <c r="C112" s="34">
        <v>31988.0</v>
      </c>
      <c r="D112" s="33">
        <v>211.109</v>
      </c>
      <c r="E112" s="33">
        <v>62267.8</v>
      </c>
      <c r="F112" s="33">
        <v>33.6152</v>
      </c>
      <c r="G112" s="33">
        <v>81.6966</v>
      </c>
      <c r="H112" s="33">
        <v>970.275</v>
      </c>
      <c r="I112" s="33">
        <v>340.61</v>
      </c>
      <c r="J112" s="34">
        <v>1.18182E7</v>
      </c>
      <c r="K112" s="34">
        <v>0.220852</v>
      </c>
      <c r="L112" s="33">
        <v>0.396128</v>
      </c>
      <c r="M112" s="33">
        <v>2.81179</v>
      </c>
      <c r="N112" s="33">
        <v>19.6177</v>
      </c>
      <c r="O112" s="33">
        <v>54.1385</v>
      </c>
      <c r="P112" s="33">
        <v>22.9754</v>
      </c>
      <c r="Q112" s="33">
        <v>0.0604996</v>
      </c>
      <c r="R112" s="34">
        <v>94.2963</v>
      </c>
      <c r="S112" s="33">
        <v>1.4131</v>
      </c>
      <c r="T112" s="33">
        <v>3.93823</v>
      </c>
      <c r="U112" s="33">
        <v>10.7531</v>
      </c>
      <c r="V112" s="33">
        <v>40.202</v>
      </c>
      <c r="W112" s="33">
        <v>36.1485</v>
      </c>
      <c r="X112" s="33">
        <v>7.54516</v>
      </c>
      <c r="Y112" s="34">
        <v>7.38879</v>
      </c>
      <c r="Z112" s="33">
        <v>0.0</v>
      </c>
      <c r="AA112" s="33">
        <v>99.9986</v>
      </c>
      <c r="AB112" s="33">
        <v>0.00144047</v>
      </c>
      <c r="AC112" s="33">
        <v>0.0</v>
      </c>
      <c r="AD112" s="33">
        <v>0.0</v>
      </c>
      <c r="AE112" s="33">
        <v>0.0</v>
      </c>
      <c r="AF112" s="34">
        <v>0.541041</v>
      </c>
      <c r="AG112" s="33">
        <v>0.321224</v>
      </c>
      <c r="AH112" s="33">
        <v>2.23848</v>
      </c>
      <c r="AI112" s="33">
        <v>6.22137</v>
      </c>
      <c r="AJ112" s="33">
        <v>14.2707</v>
      </c>
      <c r="AK112" s="33">
        <v>31.7853</v>
      </c>
      <c r="AL112" s="33">
        <v>45.1629</v>
      </c>
      <c r="AM112" s="34">
        <v>0.163378</v>
      </c>
      <c r="AN112" s="33">
        <v>0.201665</v>
      </c>
      <c r="AO112" s="33">
        <v>9.4192</v>
      </c>
      <c r="AP112" s="33">
        <v>56.9791</v>
      </c>
      <c r="AQ112" s="33">
        <v>27.3674</v>
      </c>
      <c r="AR112" s="33">
        <v>4.13126</v>
      </c>
      <c r="AS112" s="33">
        <v>1.90141</v>
      </c>
      <c r="AT112" s="33">
        <v>369.458</v>
      </c>
      <c r="AU112" s="34">
        <v>372.55</v>
      </c>
      <c r="AV112" s="34">
        <v>20931.4</v>
      </c>
      <c r="AW112" s="34">
        <v>0.0859056</v>
      </c>
      <c r="AX112" s="33">
        <v>0.0</v>
      </c>
      <c r="AY112" s="33">
        <v>0.0172856</v>
      </c>
      <c r="AZ112" s="33">
        <v>0.149808</v>
      </c>
      <c r="BA112" s="33">
        <v>9.45378</v>
      </c>
      <c r="BB112" s="33">
        <v>80.9585</v>
      </c>
      <c r="BC112" s="33">
        <v>9.42064</v>
      </c>
      <c r="BD112" s="34">
        <v>32.3093</v>
      </c>
      <c r="BE112" s="33">
        <v>0.0</v>
      </c>
      <c r="BF112" s="33">
        <v>28.5169</v>
      </c>
      <c r="BG112" s="33">
        <v>63.5821</v>
      </c>
      <c r="BH112" s="33">
        <v>6.93728</v>
      </c>
      <c r="BI112" s="33">
        <v>0.708709</v>
      </c>
      <c r="BJ112" s="33">
        <v>0.254962</v>
      </c>
      <c r="BK112" s="33">
        <v>40.9131</v>
      </c>
      <c r="BL112" s="33">
        <v>69422.0</v>
      </c>
    </row>
    <row r="113" ht="15.75" customHeight="1">
      <c r="A113" s="33" t="s">
        <v>113</v>
      </c>
      <c r="B113" s="33" t="s">
        <v>66</v>
      </c>
      <c r="C113" s="34">
        <v>28604.5</v>
      </c>
      <c r="D113" s="33">
        <v>190.952</v>
      </c>
      <c r="E113" s="33">
        <v>48486.3</v>
      </c>
      <c r="F113" s="33">
        <v>37.1297</v>
      </c>
      <c r="G113" s="33">
        <v>71.5615</v>
      </c>
      <c r="H113" s="33">
        <v>903.076</v>
      </c>
      <c r="I113" s="33">
        <v>329.921</v>
      </c>
      <c r="J113" s="34">
        <v>1.17109E7</v>
      </c>
      <c r="K113" s="34">
        <v>0.205629</v>
      </c>
      <c r="L113" s="33">
        <v>0.281758</v>
      </c>
      <c r="M113" s="33">
        <v>2.78538</v>
      </c>
      <c r="N113" s="33">
        <v>24.7062</v>
      </c>
      <c r="O113" s="33">
        <v>54.6096</v>
      </c>
      <c r="P113" s="33">
        <v>17.5559</v>
      </c>
      <c r="Q113" s="33">
        <v>0.0611818</v>
      </c>
      <c r="R113" s="34">
        <v>95.9527</v>
      </c>
      <c r="S113" s="33">
        <v>1.08356</v>
      </c>
      <c r="T113" s="33">
        <v>3.64032</v>
      </c>
      <c r="U113" s="33">
        <v>10.1159</v>
      </c>
      <c r="V113" s="33">
        <v>38.9986</v>
      </c>
      <c r="W113" s="33">
        <v>36.5223</v>
      </c>
      <c r="X113" s="33">
        <v>9.63935</v>
      </c>
      <c r="Y113" s="34">
        <v>6.89317</v>
      </c>
      <c r="Z113" s="33">
        <v>0.0</v>
      </c>
      <c r="AA113" s="33">
        <v>100.0</v>
      </c>
      <c r="AB113" s="33">
        <v>0.0</v>
      </c>
      <c r="AC113" s="33">
        <v>0.0</v>
      </c>
      <c r="AD113" s="33">
        <v>0.0</v>
      </c>
      <c r="AE113" s="33">
        <v>0.0</v>
      </c>
      <c r="AF113" s="34">
        <v>0.536114</v>
      </c>
      <c r="AG113" s="33">
        <v>0.243117</v>
      </c>
      <c r="AH113" s="33">
        <v>2.35711</v>
      </c>
      <c r="AI113" s="33">
        <v>6.09725</v>
      </c>
      <c r="AJ113" s="33">
        <v>13.9076</v>
      </c>
      <c r="AK113" s="33">
        <v>35.8928</v>
      </c>
      <c r="AL113" s="33">
        <v>41.5022</v>
      </c>
      <c r="AM113" s="34">
        <v>0.138213</v>
      </c>
      <c r="AN113" s="33">
        <v>0.33006</v>
      </c>
      <c r="AO113" s="33">
        <v>11.5263</v>
      </c>
      <c r="AP113" s="33">
        <v>62.0093</v>
      </c>
      <c r="AQ113" s="33">
        <v>22.0657</v>
      </c>
      <c r="AR113" s="33">
        <v>2.93351</v>
      </c>
      <c r="AS113" s="33">
        <v>1.13508</v>
      </c>
      <c r="AT113" s="33">
        <v>409.408</v>
      </c>
      <c r="AU113" s="34">
        <v>412.503</v>
      </c>
      <c r="AV113" s="34">
        <v>18002.8</v>
      </c>
      <c r="AW113" s="34">
        <v>0.0724364</v>
      </c>
      <c r="AX113" s="33">
        <v>0.00322009</v>
      </c>
      <c r="AY113" s="33">
        <v>0.0917727</v>
      </c>
      <c r="AZ113" s="33">
        <v>0.223796</v>
      </c>
      <c r="BA113" s="33">
        <v>11.5376</v>
      </c>
      <c r="BB113" s="33">
        <v>81.602</v>
      </c>
      <c r="BC113" s="33">
        <v>6.54162</v>
      </c>
      <c r="BD113" s="34">
        <v>29.3401</v>
      </c>
      <c r="BE113" s="33">
        <v>0.0</v>
      </c>
      <c r="BF113" s="33">
        <v>38.3964</v>
      </c>
      <c r="BG113" s="33">
        <v>56.2679</v>
      </c>
      <c r="BH113" s="33">
        <v>4.59024</v>
      </c>
      <c r="BI113" s="33">
        <v>0.503945</v>
      </c>
      <c r="BJ113" s="33">
        <v>0.241507</v>
      </c>
      <c r="BK113" s="33">
        <v>39.0371</v>
      </c>
      <c r="BL113" s="33">
        <v>62110.0</v>
      </c>
    </row>
    <row r="114" ht="15.75" customHeight="1">
      <c r="A114" s="33" t="s">
        <v>94</v>
      </c>
      <c r="B114" s="33" t="s">
        <v>67</v>
      </c>
      <c r="C114" s="34">
        <v>19667.9</v>
      </c>
      <c r="D114" s="33">
        <v>202.702</v>
      </c>
      <c r="E114" s="33">
        <v>41559.5</v>
      </c>
      <c r="F114" s="33">
        <v>31.3595</v>
      </c>
      <c r="G114" s="33">
        <v>69.3531</v>
      </c>
      <c r="H114" s="33">
        <v>803.442</v>
      </c>
      <c r="I114" s="33">
        <v>292.387</v>
      </c>
      <c r="J114" s="34">
        <v>7428470.0</v>
      </c>
      <c r="K114" s="34">
        <v>0.198342</v>
      </c>
      <c r="L114" s="33">
        <v>0.43722</v>
      </c>
      <c r="M114" s="33">
        <v>3.62113</v>
      </c>
      <c r="N114" s="33">
        <v>24.2917</v>
      </c>
      <c r="O114" s="33">
        <v>56.6936</v>
      </c>
      <c r="P114" s="33">
        <v>14.8979</v>
      </c>
      <c r="Q114" s="33">
        <v>0.0584403</v>
      </c>
      <c r="R114" s="34">
        <v>94.6233</v>
      </c>
      <c r="S114" s="33">
        <v>1.32465</v>
      </c>
      <c r="T114" s="33">
        <v>3.93714</v>
      </c>
      <c r="U114" s="33">
        <v>11.1599</v>
      </c>
      <c r="V114" s="33">
        <v>40.642</v>
      </c>
      <c r="W114" s="33">
        <v>33.9235</v>
      </c>
      <c r="X114" s="33">
        <v>9.01279</v>
      </c>
      <c r="Y114" s="34">
        <v>7.52428</v>
      </c>
      <c r="Z114" s="33">
        <v>0.0</v>
      </c>
      <c r="AA114" s="33">
        <v>99.9978</v>
      </c>
      <c r="AB114" s="33">
        <v>0.00216446</v>
      </c>
      <c r="AC114" s="33">
        <v>0.0</v>
      </c>
      <c r="AD114" s="33">
        <v>0.0</v>
      </c>
      <c r="AE114" s="33">
        <v>0.0</v>
      </c>
      <c r="AF114" s="34">
        <v>0.525554</v>
      </c>
      <c r="AG114" s="33">
        <v>0.201294</v>
      </c>
      <c r="AH114" s="33">
        <v>2.42419</v>
      </c>
      <c r="AI114" s="33">
        <v>6.68167</v>
      </c>
      <c r="AJ114" s="33">
        <v>15.8287</v>
      </c>
      <c r="AK114" s="33">
        <v>37.0555</v>
      </c>
      <c r="AL114" s="33">
        <v>37.8087</v>
      </c>
      <c r="AM114" s="34">
        <v>0.145494</v>
      </c>
      <c r="AN114" s="33">
        <v>1.06491</v>
      </c>
      <c r="AO114" s="33">
        <v>9.93052</v>
      </c>
      <c r="AP114" s="33">
        <v>60.8299</v>
      </c>
      <c r="AQ114" s="33">
        <v>23.4475</v>
      </c>
      <c r="AR114" s="33">
        <v>3.08218</v>
      </c>
      <c r="AS114" s="33">
        <v>1.64499</v>
      </c>
      <c r="AT114" s="33">
        <v>377.695</v>
      </c>
      <c r="AU114" s="34">
        <v>386.138</v>
      </c>
      <c r="AV114" s="34">
        <v>13032.8</v>
      </c>
      <c r="AW114" s="34">
        <v>0.07447</v>
      </c>
      <c r="AX114" s="33">
        <v>0.0151512</v>
      </c>
      <c r="AY114" s="33">
        <v>0.554101</v>
      </c>
      <c r="AZ114" s="33">
        <v>0.662323</v>
      </c>
      <c r="BA114" s="33">
        <v>9.76386</v>
      </c>
      <c r="BB114" s="33">
        <v>81.2818</v>
      </c>
      <c r="BC114" s="33">
        <v>7.72278</v>
      </c>
      <c r="BD114" s="34">
        <v>29.6265</v>
      </c>
      <c r="BE114" s="33">
        <v>0.0</v>
      </c>
      <c r="BF114" s="33">
        <v>36.575</v>
      </c>
      <c r="BG114" s="33">
        <v>58.2087</v>
      </c>
      <c r="BH114" s="33">
        <v>4.24233</v>
      </c>
      <c r="BI114" s="33">
        <v>0.575745</v>
      </c>
      <c r="BJ114" s="33">
        <v>0.39826</v>
      </c>
      <c r="BK114" s="33">
        <v>41.5198</v>
      </c>
      <c r="BL114" s="33">
        <v>46201.0</v>
      </c>
    </row>
    <row r="115" ht="15.75" customHeight="1">
      <c r="A115" s="33" t="s">
        <v>94</v>
      </c>
      <c r="B115" s="33" t="s">
        <v>67</v>
      </c>
      <c r="C115" s="34">
        <v>24345.3</v>
      </c>
      <c r="D115" s="33">
        <v>219.27</v>
      </c>
      <c r="E115" s="33">
        <v>48945.1</v>
      </c>
      <c r="F115" s="33">
        <v>32.2697</v>
      </c>
      <c r="G115" s="33">
        <v>72.7952</v>
      </c>
      <c r="H115" s="33">
        <v>879.925</v>
      </c>
      <c r="I115" s="33">
        <v>314.414</v>
      </c>
      <c r="J115" s="34">
        <v>9458280.0</v>
      </c>
      <c r="K115" s="34">
        <v>0.186098</v>
      </c>
      <c r="L115" s="33">
        <v>0.492929</v>
      </c>
      <c r="M115" s="33">
        <v>3.61899</v>
      </c>
      <c r="N115" s="33">
        <v>28.4303</v>
      </c>
      <c r="O115" s="33">
        <v>56.0057</v>
      </c>
      <c r="P115" s="33">
        <v>11.3768</v>
      </c>
      <c r="Q115" s="33">
        <v>0.0752837</v>
      </c>
      <c r="R115" s="34">
        <v>94.1644</v>
      </c>
      <c r="S115" s="33">
        <v>1.67775</v>
      </c>
      <c r="T115" s="33">
        <v>5.08523</v>
      </c>
      <c r="U115" s="33">
        <v>12.0902</v>
      </c>
      <c r="V115" s="33">
        <v>36.5377</v>
      </c>
      <c r="W115" s="33">
        <v>34.0354</v>
      </c>
      <c r="X115" s="33">
        <v>10.5738</v>
      </c>
      <c r="Y115" s="34">
        <v>7.1827</v>
      </c>
      <c r="Z115" s="33">
        <v>0.0</v>
      </c>
      <c r="AA115" s="33">
        <v>100.0</v>
      </c>
      <c r="AB115" s="33">
        <v>0.0</v>
      </c>
      <c r="AC115" s="33">
        <v>0.0</v>
      </c>
      <c r="AD115" s="33">
        <v>0.0</v>
      </c>
      <c r="AE115" s="33">
        <v>0.0</v>
      </c>
      <c r="AF115" s="34">
        <v>0.521944</v>
      </c>
      <c r="AG115" s="33">
        <v>0.503684</v>
      </c>
      <c r="AH115" s="33">
        <v>2.67257</v>
      </c>
      <c r="AI115" s="33">
        <v>7.08025</v>
      </c>
      <c r="AJ115" s="33">
        <v>15.65</v>
      </c>
      <c r="AK115" s="33">
        <v>36.2401</v>
      </c>
      <c r="AL115" s="33">
        <v>37.8533</v>
      </c>
      <c r="AM115" s="34">
        <v>0.139292</v>
      </c>
      <c r="AN115" s="33">
        <v>0.519816</v>
      </c>
      <c r="AO115" s="33">
        <v>12.3447</v>
      </c>
      <c r="AP115" s="33">
        <v>61.0031</v>
      </c>
      <c r="AQ115" s="33">
        <v>21.0203</v>
      </c>
      <c r="AR115" s="33">
        <v>3.22465</v>
      </c>
      <c r="AS115" s="33">
        <v>1.88747</v>
      </c>
      <c r="AT115" s="33">
        <v>388.505</v>
      </c>
      <c r="AU115" s="34">
        <v>398.569</v>
      </c>
      <c r="AV115" s="34">
        <v>15794.5</v>
      </c>
      <c r="AW115" s="34">
        <v>0.0792043</v>
      </c>
      <c r="AX115" s="33">
        <v>0.00716987</v>
      </c>
      <c r="AY115" s="33">
        <v>0.139813</v>
      </c>
      <c r="AZ115" s="33">
        <v>0.326229</v>
      </c>
      <c r="BA115" s="33">
        <v>12.3913</v>
      </c>
      <c r="BB115" s="33">
        <v>77.6443</v>
      </c>
      <c r="BC115" s="33">
        <v>9.49112</v>
      </c>
      <c r="BD115" s="34">
        <v>28.2901</v>
      </c>
      <c r="BE115" s="33">
        <v>0.0</v>
      </c>
      <c r="BF115" s="33">
        <v>42.3273</v>
      </c>
      <c r="BG115" s="33">
        <v>52.8204</v>
      </c>
      <c r="BH115" s="33">
        <v>3.80003</v>
      </c>
      <c r="BI115" s="33">
        <v>0.632741</v>
      </c>
      <c r="BJ115" s="33">
        <v>0.419438</v>
      </c>
      <c r="BK115" s="33">
        <v>40.4783</v>
      </c>
      <c r="BL115" s="33">
        <v>55789.0</v>
      </c>
    </row>
    <row r="116" ht="15.75" customHeight="1">
      <c r="A116" s="33" t="s">
        <v>94</v>
      </c>
      <c r="B116" s="33" t="s">
        <v>67</v>
      </c>
      <c r="C116" s="34">
        <v>19081.3</v>
      </c>
      <c r="D116" s="33">
        <v>146.044</v>
      </c>
      <c r="E116" s="33">
        <v>35440.9</v>
      </c>
      <c r="F116" s="33">
        <v>35.6423</v>
      </c>
      <c r="G116" s="33">
        <v>61.7943</v>
      </c>
      <c r="H116" s="33">
        <v>748.108</v>
      </c>
      <c r="I116" s="33">
        <v>269.159</v>
      </c>
      <c r="J116" s="34">
        <v>6151120.0</v>
      </c>
      <c r="K116" s="34">
        <v>0.209173</v>
      </c>
      <c r="L116" s="33">
        <v>0.397772</v>
      </c>
      <c r="M116" s="33">
        <v>3.71736</v>
      </c>
      <c r="N116" s="33">
        <v>23.2227</v>
      </c>
      <c r="O116" s="33">
        <v>51.7586</v>
      </c>
      <c r="P116" s="33">
        <v>20.8433</v>
      </c>
      <c r="Q116" s="33">
        <v>0.0602686</v>
      </c>
      <c r="R116" s="34">
        <v>96.861</v>
      </c>
      <c r="S116" s="33">
        <v>1.40305</v>
      </c>
      <c r="T116" s="33">
        <v>3.66915</v>
      </c>
      <c r="U116" s="33">
        <v>9.13189</v>
      </c>
      <c r="V116" s="33">
        <v>36.8265</v>
      </c>
      <c r="W116" s="33">
        <v>37.6895</v>
      </c>
      <c r="X116" s="33">
        <v>11.2799</v>
      </c>
      <c r="Y116" s="34">
        <v>6.99653</v>
      </c>
      <c r="Z116" s="33">
        <v>0.0</v>
      </c>
      <c r="AA116" s="33">
        <v>100.0</v>
      </c>
      <c r="AB116" s="33">
        <v>0.0</v>
      </c>
      <c r="AC116" s="33">
        <v>0.0</v>
      </c>
      <c r="AD116" s="33">
        <v>0.0</v>
      </c>
      <c r="AE116" s="33">
        <v>0.0</v>
      </c>
      <c r="AF116" s="34">
        <v>0.534427</v>
      </c>
      <c r="AG116" s="33">
        <v>0.257949</v>
      </c>
      <c r="AH116" s="33">
        <v>3.08334</v>
      </c>
      <c r="AI116" s="33">
        <v>6.40052</v>
      </c>
      <c r="AJ116" s="33">
        <v>13.3869</v>
      </c>
      <c r="AK116" s="33">
        <v>35.5006</v>
      </c>
      <c r="AL116" s="33">
        <v>41.3707</v>
      </c>
      <c r="AM116" s="34">
        <v>0.136448</v>
      </c>
      <c r="AN116" s="33">
        <v>0.241074</v>
      </c>
      <c r="AO116" s="33">
        <v>13.3097</v>
      </c>
      <c r="AP116" s="33">
        <v>59.5719</v>
      </c>
      <c r="AQ116" s="33">
        <v>22.661</v>
      </c>
      <c r="AR116" s="33">
        <v>3.09298</v>
      </c>
      <c r="AS116" s="33">
        <v>1.12341</v>
      </c>
      <c r="AT116" s="33">
        <v>322.363</v>
      </c>
      <c r="AU116" s="34">
        <v>325.651</v>
      </c>
      <c r="AV116" s="34">
        <v>12632.0</v>
      </c>
      <c r="AW116" s="34">
        <v>0.0715968</v>
      </c>
      <c r="AX116" s="33">
        <v>0.00482148</v>
      </c>
      <c r="AY116" s="33">
        <v>0.0819652</v>
      </c>
      <c r="AZ116" s="33">
        <v>0.209735</v>
      </c>
      <c r="BA116" s="33">
        <v>13.2543</v>
      </c>
      <c r="BB116" s="33">
        <v>79.2049</v>
      </c>
      <c r="BC116" s="33">
        <v>7.24428</v>
      </c>
      <c r="BD116" s="34">
        <v>29.8801</v>
      </c>
      <c r="BE116" s="33">
        <v>0.0</v>
      </c>
      <c r="BF116" s="33">
        <v>36.9736</v>
      </c>
      <c r="BG116" s="33">
        <v>56.4644</v>
      </c>
      <c r="BH116" s="33">
        <v>5.78337</v>
      </c>
      <c r="BI116" s="33">
        <v>0.470095</v>
      </c>
      <c r="BJ116" s="33">
        <v>0.308575</v>
      </c>
      <c r="BK116" s="33">
        <v>41.469</v>
      </c>
      <c r="BL116" s="33">
        <v>41481.0</v>
      </c>
    </row>
    <row r="117" ht="15.75" customHeight="1">
      <c r="A117" s="33" t="s">
        <v>94</v>
      </c>
      <c r="B117" s="33" t="s">
        <v>67</v>
      </c>
      <c r="C117" s="34">
        <v>22670.2</v>
      </c>
      <c r="D117" s="33">
        <v>168.186</v>
      </c>
      <c r="E117" s="33">
        <v>48447.8</v>
      </c>
      <c r="F117" s="33">
        <v>30.4764</v>
      </c>
      <c r="G117" s="33">
        <v>74.1905</v>
      </c>
      <c r="H117" s="33">
        <v>837.672</v>
      </c>
      <c r="I117" s="33">
        <v>308.091</v>
      </c>
      <c r="J117" s="34">
        <v>7409700.0</v>
      </c>
      <c r="K117" s="34">
        <v>0.186317</v>
      </c>
      <c r="L117" s="33">
        <v>0.801418</v>
      </c>
      <c r="M117" s="33">
        <v>4.0534</v>
      </c>
      <c r="N117" s="33">
        <v>27.7536</v>
      </c>
      <c r="O117" s="33">
        <v>54.2407</v>
      </c>
      <c r="P117" s="33">
        <v>13.0744</v>
      </c>
      <c r="Q117" s="33">
        <v>0.0765173</v>
      </c>
      <c r="R117" s="34">
        <v>92.6884</v>
      </c>
      <c r="S117" s="33">
        <v>2.20893</v>
      </c>
      <c r="T117" s="33">
        <v>5.76497</v>
      </c>
      <c r="U117" s="33">
        <v>12.42</v>
      </c>
      <c r="V117" s="33">
        <v>36.8773</v>
      </c>
      <c r="W117" s="33">
        <v>32.4091</v>
      </c>
      <c r="X117" s="33">
        <v>10.3198</v>
      </c>
      <c r="Y117" s="34">
        <v>7.24659</v>
      </c>
      <c r="Z117" s="33">
        <v>0.0</v>
      </c>
      <c r="AA117" s="33">
        <v>100.0</v>
      </c>
      <c r="AB117" s="33">
        <v>0.0</v>
      </c>
      <c r="AC117" s="33">
        <v>0.0</v>
      </c>
      <c r="AD117" s="33">
        <v>0.0</v>
      </c>
      <c r="AE117" s="33">
        <v>0.0</v>
      </c>
      <c r="AF117" s="34">
        <v>0.518763</v>
      </c>
      <c r="AG117" s="33">
        <v>0.445008</v>
      </c>
      <c r="AH117" s="33">
        <v>3.13318</v>
      </c>
      <c r="AI117" s="33">
        <v>7.54299</v>
      </c>
      <c r="AJ117" s="33">
        <v>14.8806</v>
      </c>
      <c r="AK117" s="33">
        <v>37.3444</v>
      </c>
      <c r="AL117" s="33">
        <v>36.6538</v>
      </c>
      <c r="AM117" s="34">
        <v>0.151105</v>
      </c>
      <c r="AN117" s="33">
        <v>0.332246</v>
      </c>
      <c r="AO117" s="33">
        <v>11.9971</v>
      </c>
      <c r="AP117" s="33">
        <v>58.729</v>
      </c>
      <c r="AQ117" s="33">
        <v>22.7699</v>
      </c>
      <c r="AR117" s="33">
        <v>3.98091</v>
      </c>
      <c r="AS117" s="33">
        <v>2.19081</v>
      </c>
      <c r="AT117" s="33">
        <v>326.848</v>
      </c>
      <c r="AU117" s="34">
        <v>333.169</v>
      </c>
      <c r="AV117" s="34">
        <v>14765.1</v>
      </c>
      <c r="AW117" s="34">
        <v>0.0873817</v>
      </c>
      <c r="AX117" s="33">
        <v>0.00604084</v>
      </c>
      <c r="AY117" s="33">
        <v>0.0765173</v>
      </c>
      <c r="AZ117" s="33">
        <v>0.191293</v>
      </c>
      <c r="BA117" s="33">
        <v>12.0555</v>
      </c>
      <c r="BB117" s="33">
        <v>76.8696</v>
      </c>
      <c r="BC117" s="33">
        <v>10.801</v>
      </c>
      <c r="BD117" s="34">
        <v>29.2836</v>
      </c>
      <c r="BE117" s="33">
        <v>0.0</v>
      </c>
      <c r="BF117" s="33">
        <v>39.642</v>
      </c>
      <c r="BG117" s="33">
        <v>54.4783</v>
      </c>
      <c r="BH117" s="33">
        <v>4.4964</v>
      </c>
      <c r="BI117" s="33">
        <v>0.781281</v>
      </c>
      <c r="BJ117" s="33">
        <v>0.60207</v>
      </c>
      <c r="BK117" s="33">
        <v>40.6653</v>
      </c>
      <c r="BL117" s="33">
        <v>49662.0</v>
      </c>
    </row>
    <row r="118" ht="15.75" customHeight="1">
      <c r="A118" s="33" t="s">
        <v>111</v>
      </c>
      <c r="B118" s="33" t="s">
        <v>67</v>
      </c>
      <c r="C118" s="34">
        <v>35460.8</v>
      </c>
      <c r="D118" s="33">
        <v>175.368</v>
      </c>
      <c r="E118" s="33">
        <v>65097.9</v>
      </c>
      <c r="F118" s="33">
        <v>32.1961</v>
      </c>
      <c r="G118" s="33">
        <v>82.3794</v>
      </c>
      <c r="H118" s="33">
        <v>953.84</v>
      </c>
      <c r="I118" s="33">
        <v>344.775</v>
      </c>
      <c r="J118" s="34">
        <v>1.21972E7</v>
      </c>
      <c r="K118" s="34">
        <v>0.219911</v>
      </c>
      <c r="L118" s="33">
        <v>0.29093</v>
      </c>
      <c r="M118" s="33">
        <v>3.10686</v>
      </c>
      <c r="N118" s="33">
        <v>20.6438</v>
      </c>
      <c r="O118" s="33">
        <v>51.9979</v>
      </c>
      <c r="P118" s="33">
        <v>23.9063</v>
      </c>
      <c r="Q118" s="33">
        <v>0.0541265</v>
      </c>
      <c r="R118" s="34">
        <v>93.3749</v>
      </c>
      <c r="S118" s="33">
        <v>1.08524</v>
      </c>
      <c r="T118" s="33">
        <v>3.84569</v>
      </c>
      <c r="U118" s="33">
        <v>11.3354</v>
      </c>
      <c r="V118" s="33">
        <v>43.3499</v>
      </c>
      <c r="W118" s="33">
        <v>33.3392</v>
      </c>
      <c r="X118" s="33">
        <v>7.04456</v>
      </c>
      <c r="Y118" s="34">
        <v>8.12377</v>
      </c>
      <c r="Z118" s="33">
        <v>0.0</v>
      </c>
      <c r="AA118" s="33">
        <v>99.9215</v>
      </c>
      <c r="AB118" s="33">
        <v>0.0784834</v>
      </c>
      <c r="AC118" s="33">
        <v>0.0</v>
      </c>
      <c r="AD118" s="33">
        <v>0.0</v>
      </c>
      <c r="AE118" s="33">
        <v>0.0</v>
      </c>
      <c r="AF118" s="34">
        <v>0.508385</v>
      </c>
      <c r="AG118" s="33">
        <v>0.424893</v>
      </c>
      <c r="AH118" s="33">
        <v>3.11363</v>
      </c>
      <c r="AI118" s="33">
        <v>8.83479</v>
      </c>
      <c r="AJ118" s="33">
        <v>17.8279</v>
      </c>
      <c r="AK118" s="33">
        <v>34.2079</v>
      </c>
      <c r="AL118" s="33">
        <v>35.5909</v>
      </c>
      <c r="AM118" s="34">
        <v>0.168083</v>
      </c>
      <c r="AN118" s="33">
        <v>0.560209</v>
      </c>
      <c r="AO118" s="33">
        <v>7.63995</v>
      </c>
      <c r="AP118" s="33">
        <v>55.9803</v>
      </c>
      <c r="AQ118" s="33">
        <v>30.848</v>
      </c>
      <c r="AR118" s="33">
        <v>3.53175</v>
      </c>
      <c r="AS118" s="33">
        <v>1.43976</v>
      </c>
      <c r="AT118" s="33">
        <v>343.964</v>
      </c>
      <c r="AU118" s="34">
        <v>360.998</v>
      </c>
      <c r="AV118" s="34">
        <v>20959.0</v>
      </c>
      <c r="AW118" s="34">
        <v>0.0908405</v>
      </c>
      <c r="AX118" s="33">
        <v>0.00135316</v>
      </c>
      <c r="AY118" s="33">
        <v>0.244922</v>
      </c>
      <c r="AZ118" s="33">
        <v>0.508789</v>
      </c>
      <c r="BA118" s="33">
        <v>7.4451</v>
      </c>
      <c r="BB118" s="33">
        <v>81.4901</v>
      </c>
      <c r="BC118" s="33">
        <v>10.3097</v>
      </c>
      <c r="BD118" s="34">
        <v>32.3506</v>
      </c>
      <c r="BE118" s="33">
        <v>0.0</v>
      </c>
      <c r="BF118" s="33">
        <v>28.2094</v>
      </c>
      <c r="BG118" s="33">
        <v>64.1101</v>
      </c>
      <c r="BH118" s="33">
        <v>6.82264</v>
      </c>
      <c r="BI118" s="33">
        <v>0.626514</v>
      </c>
      <c r="BJ118" s="33">
        <v>0.231391</v>
      </c>
      <c r="BK118" s="33">
        <v>36.267</v>
      </c>
      <c r="BL118" s="33">
        <v>73901.0</v>
      </c>
    </row>
    <row r="119" ht="15.75" customHeight="1">
      <c r="A119" s="33" t="s">
        <v>111</v>
      </c>
      <c r="B119" s="33" t="s">
        <v>67</v>
      </c>
      <c r="C119" s="34">
        <v>27400.5</v>
      </c>
      <c r="D119" s="33">
        <v>201.236</v>
      </c>
      <c r="E119" s="33">
        <v>58053.6</v>
      </c>
      <c r="F119" s="33">
        <v>27.6682</v>
      </c>
      <c r="G119" s="33">
        <v>75.7385</v>
      </c>
      <c r="H119" s="33">
        <v>916.916</v>
      </c>
      <c r="I119" s="33">
        <v>323.255</v>
      </c>
      <c r="J119" s="34">
        <v>9545670.0</v>
      </c>
      <c r="K119" s="34">
        <v>0.18567</v>
      </c>
      <c r="L119" s="33">
        <v>0.148065</v>
      </c>
      <c r="M119" s="33">
        <v>4.36612</v>
      </c>
      <c r="N119" s="33">
        <v>30.3877</v>
      </c>
      <c r="O119" s="33">
        <v>52.0883</v>
      </c>
      <c r="P119" s="33">
        <v>12.9972</v>
      </c>
      <c r="Q119" s="33">
        <v>0.0126397</v>
      </c>
      <c r="R119" s="34">
        <v>92.8678</v>
      </c>
      <c r="S119" s="33">
        <v>1.25675</v>
      </c>
      <c r="T119" s="33">
        <v>4.85184</v>
      </c>
      <c r="U119" s="33">
        <v>13.51</v>
      </c>
      <c r="V119" s="33">
        <v>40.559</v>
      </c>
      <c r="W119" s="33">
        <v>29.7286</v>
      </c>
      <c r="X119" s="33">
        <v>10.0937</v>
      </c>
      <c r="Y119" s="34">
        <v>8.02236</v>
      </c>
      <c r="Z119" s="33">
        <v>0.0</v>
      </c>
      <c r="AA119" s="33">
        <v>99.9621</v>
      </c>
      <c r="AB119" s="33">
        <v>0.0379191</v>
      </c>
      <c r="AC119" s="33">
        <v>0.0</v>
      </c>
      <c r="AD119" s="33">
        <v>0.0</v>
      </c>
      <c r="AE119" s="33">
        <v>0.0</v>
      </c>
      <c r="AF119" s="34">
        <v>0.486007</v>
      </c>
      <c r="AG119" s="33">
        <v>0.326827</v>
      </c>
      <c r="AH119" s="33">
        <v>4.14583</v>
      </c>
      <c r="AI119" s="33">
        <v>9.91856</v>
      </c>
      <c r="AJ119" s="33">
        <v>18.3005</v>
      </c>
      <c r="AK119" s="33">
        <v>41.0538</v>
      </c>
      <c r="AL119" s="33">
        <v>26.2545</v>
      </c>
      <c r="AM119" s="34">
        <v>0.141319</v>
      </c>
      <c r="AN119" s="33">
        <v>1.01298</v>
      </c>
      <c r="AO119" s="33">
        <v>10.6372</v>
      </c>
      <c r="AP119" s="33">
        <v>59.2261</v>
      </c>
      <c r="AQ119" s="33">
        <v>25.2397</v>
      </c>
      <c r="AR119" s="33">
        <v>3.17257</v>
      </c>
      <c r="AS119" s="33">
        <v>0.711435</v>
      </c>
      <c r="AT119" s="33">
        <v>348.376</v>
      </c>
      <c r="AU119" s="34">
        <v>352.898</v>
      </c>
      <c r="AV119" s="34">
        <v>16062.4</v>
      </c>
      <c r="AW119" s="34">
        <v>0.0826386</v>
      </c>
      <c r="AX119" s="33">
        <v>0.0</v>
      </c>
      <c r="AY119" s="33">
        <v>0.489338</v>
      </c>
      <c r="AZ119" s="33">
        <v>0.843249</v>
      </c>
      <c r="BA119" s="33">
        <v>10.3176</v>
      </c>
      <c r="BB119" s="33">
        <v>78.341</v>
      </c>
      <c r="BC119" s="33">
        <v>10.0088</v>
      </c>
      <c r="BD119" s="34">
        <v>27.9785</v>
      </c>
      <c r="BE119" s="33">
        <v>0.0</v>
      </c>
      <c r="BF119" s="33">
        <v>42.1408</v>
      </c>
      <c r="BG119" s="33">
        <v>53.6827</v>
      </c>
      <c r="BH119" s="33">
        <v>3.90025</v>
      </c>
      <c r="BI119" s="33">
        <v>0.222098</v>
      </c>
      <c r="BJ119" s="33">
        <v>0.0541702</v>
      </c>
      <c r="BK119" s="33">
        <v>35.9133</v>
      </c>
      <c r="BL119" s="33">
        <v>55381.0</v>
      </c>
    </row>
    <row r="120" ht="15.75" customHeight="1">
      <c r="A120" s="33" t="s">
        <v>111</v>
      </c>
      <c r="B120" s="33" t="s">
        <v>67</v>
      </c>
      <c r="C120" s="34">
        <v>31338.0</v>
      </c>
      <c r="D120" s="33">
        <v>160.833</v>
      </c>
      <c r="E120" s="33">
        <v>51101.8</v>
      </c>
      <c r="F120" s="33">
        <v>38.1964</v>
      </c>
      <c r="G120" s="33">
        <v>68.9182</v>
      </c>
      <c r="H120" s="33">
        <v>898.94</v>
      </c>
      <c r="I120" s="33">
        <v>331.652</v>
      </c>
      <c r="J120" s="34">
        <v>9931390.0</v>
      </c>
      <c r="K120" s="34">
        <v>0.197597</v>
      </c>
      <c r="L120" s="33">
        <v>0.490557</v>
      </c>
      <c r="M120" s="33">
        <v>3.11044</v>
      </c>
      <c r="N120" s="33">
        <v>25.8048</v>
      </c>
      <c r="O120" s="33">
        <v>55.1585</v>
      </c>
      <c r="P120" s="33">
        <v>15.333</v>
      </c>
      <c r="Q120" s="33">
        <v>0.10271</v>
      </c>
      <c r="R120" s="34">
        <v>96.4091</v>
      </c>
      <c r="S120" s="33">
        <v>1.44254</v>
      </c>
      <c r="T120" s="33">
        <v>3.88</v>
      </c>
      <c r="U120" s="33">
        <v>10.3002</v>
      </c>
      <c r="V120" s="33">
        <v>36.8377</v>
      </c>
      <c r="W120" s="33">
        <v>36.1418</v>
      </c>
      <c r="X120" s="33">
        <v>11.3978</v>
      </c>
      <c r="Y120" s="34">
        <v>6.90177</v>
      </c>
      <c r="Z120" s="33">
        <v>0.0</v>
      </c>
      <c r="AA120" s="33">
        <v>99.9693</v>
      </c>
      <c r="AB120" s="33">
        <v>0.0291268</v>
      </c>
      <c r="AC120" s="33">
        <v>0.00153299</v>
      </c>
      <c r="AD120" s="33">
        <v>0.0</v>
      </c>
      <c r="AE120" s="33">
        <v>0.0</v>
      </c>
      <c r="AF120" s="34">
        <v>0.54791</v>
      </c>
      <c r="AG120" s="33">
        <v>0.226883</v>
      </c>
      <c r="AH120" s="33">
        <v>1.86565</v>
      </c>
      <c r="AI120" s="33">
        <v>4.99601</v>
      </c>
      <c r="AJ120" s="33">
        <v>12.1183</v>
      </c>
      <c r="AK120" s="33">
        <v>36.4714</v>
      </c>
      <c r="AL120" s="33">
        <v>44.3218</v>
      </c>
      <c r="AM120" s="34">
        <v>0.132902</v>
      </c>
      <c r="AN120" s="33">
        <v>0.323461</v>
      </c>
      <c r="AO120" s="33">
        <v>13.57</v>
      </c>
      <c r="AP120" s="33">
        <v>61.5036</v>
      </c>
      <c r="AQ120" s="33">
        <v>20.4593</v>
      </c>
      <c r="AR120" s="33">
        <v>2.5509</v>
      </c>
      <c r="AS120" s="33">
        <v>1.59278</v>
      </c>
      <c r="AT120" s="33">
        <v>316.912</v>
      </c>
      <c r="AU120" s="34">
        <v>321.242</v>
      </c>
      <c r="AV120" s="34">
        <v>19519.1</v>
      </c>
      <c r="AW120" s="34">
        <v>0.0685055</v>
      </c>
      <c r="AX120" s="33">
        <v>0.00459897</v>
      </c>
      <c r="AY120" s="33">
        <v>0.0413907</v>
      </c>
      <c r="AZ120" s="33">
        <v>0.216152</v>
      </c>
      <c r="BA120" s="33">
        <v>13.6313</v>
      </c>
      <c r="BB120" s="33">
        <v>79.8473</v>
      </c>
      <c r="BC120" s="33">
        <v>6.2592</v>
      </c>
      <c r="BD120" s="34">
        <v>28.8017</v>
      </c>
      <c r="BE120" s="33">
        <v>0.0</v>
      </c>
      <c r="BF120" s="33">
        <v>40.6058</v>
      </c>
      <c r="BG120" s="33">
        <v>54.4978</v>
      </c>
      <c r="BH120" s="33">
        <v>3.75276</v>
      </c>
      <c r="BI120" s="33">
        <v>0.573338</v>
      </c>
      <c r="BJ120" s="33">
        <v>0.570272</v>
      </c>
      <c r="BK120" s="33">
        <v>38.5616</v>
      </c>
      <c r="BL120" s="33">
        <v>65232.0</v>
      </c>
    </row>
    <row r="121" ht="15.75" customHeight="1">
      <c r="A121" s="33" t="s">
        <v>111</v>
      </c>
      <c r="B121" s="33" t="s">
        <v>67</v>
      </c>
      <c r="C121" s="34">
        <v>29325.4</v>
      </c>
      <c r="D121" s="33">
        <v>203.533</v>
      </c>
      <c r="E121" s="33">
        <v>58326.7</v>
      </c>
      <c r="F121" s="33">
        <v>29.0511</v>
      </c>
      <c r="G121" s="33">
        <v>74.7919</v>
      </c>
      <c r="H121" s="33">
        <v>962.444</v>
      </c>
      <c r="I121" s="33">
        <v>347.018</v>
      </c>
      <c r="J121" s="34">
        <v>1.05835E7</v>
      </c>
      <c r="K121" s="34">
        <v>0.211999</v>
      </c>
      <c r="L121" s="33">
        <v>0.251702</v>
      </c>
      <c r="M121" s="33">
        <v>2.71298</v>
      </c>
      <c r="N121" s="33">
        <v>22.3204</v>
      </c>
      <c r="O121" s="33">
        <v>55.3136</v>
      </c>
      <c r="P121" s="33">
        <v>19.3506</v>
      </c>
      <c r="Q121" s="33">
        <v>0.0506782</v>
      </c>
      <c r="R121" s="34">
        <v>93.0181</v>
      </c>
      <c r="S121" s="33">
        <v>1.09972</v>
      </c>
      <c r="T121" s="33">
        <v>3.77046</v>
      </c>
      <c r="U121" s="33">
        <v>11.7033</v>
      </c>
      <c r="V121" s="33">
        <v>43.3772</v>
      </c>
      <c r="W121" s="33">
        <v>33.6487</v>
      </c>
      <c r="X121" s="33">
        <v>6.40066</v>
      </c>
      <c r="Y121" s="34">
        <v>7.73571</v>
      </c>
      <c r="Z121" s="33">
        <v>0.0</v>
      </c>
      <c r="AA121" s="33">
        <v>99.9916</v>
      </c>
      <c r="AB121" s="33">
        <v>0.00844637</v>
      </c>
      <c r="AC121" s="33">
        <v>0.0</v>
      </c>
      <c r="AD121" s="33">
        <v>0.0</v>
      </c>
      <c r="AE121" s="33">
        <v>0.0</v>
      </c>
      <c r="AF121" s="34">
        <v>0.505828</v>
      </c>
      <c r="AG121" s="33">
        <v>0.341234</v>
      </c>
      <c r="AH121" s="33">
        <v>3.11333</v>
      </c>
      <c r="AI121" s="33">
        <v>7.80107</v>
      </c>
      <c r="AJ121" s="33">
        <v>17.239</v>
      </c>
      <c r="AK121" s="33">
        <v>39.899</v>
      </c>
      <c r="AL121" s="33">
        <v>31.6063</v>
      </c>
      <c r="AM121" s="34">
        <v>0.160927</v>
      </c>
      <c r="AN121" s="33">
        <v>0.173995</v>
      </c>
      <c r="AO121" s="33">
        <v>7.75039</v>
      </c>
      <c r="AP121" s="33">
        <v>59.65</v>
      </c>
      <c r="AQ121" s="33">
        <v>27.7615</v>
      </c>
      <c r="AR121" s="33">
        <v>3.49342</v>
      </c>
      <c r="AS121" s="33">
        <v>1.17067</v>
      </c>
      <c r="AT121" s="33">
        <v>360.899</v>
      </c>
      <c r="AU121" s="34">
        <v>376.298</v>
      </c>
      <c r="AV121" s="34">
        <v>16944.5</v>
      </c>
      <c r="AW121" s="34">
        <v>0.0904444</v>
      </c>
      <c r="AX121" s="33">
        <v>0.00168927</v>
      </c>
      <c r="AY121" s="33">
        <v>0.048989</v>
      </c>
      <c r="AZ121" s="33">
        <v>0.182442</v>
      </c>
      <c r="BA121" s="33">
        <v>7.69127</v>
      </c>
      <c r="BB121" s="33">
        <v>82.7508</v>
      </c>
      <c r="BC121" s="33">
        <v>9.3248</v>
      </c>
      <c r="BD121" s="34">
        <v>30.9116</v>
      </c>
      <c r="BE121" s="33">
        <v>0.0</v>
      </c>
      <c r="BF121" s="33">
        <v>32.304</v>
      </c>
      <c r="BG121" s="33">
        <v>61.471</v>
      </c>
      <c r="BH121" s="33">
        <v>5.53744</v>
      </c>
      <c r="BI121" s="33">
        <v>0.481443</v>
      </c>
      <c r="BJ121" s="33">
        <v>0.206092</v>
      </c>
      <c r="BK121" s="33">
        <v>35.323</v>
      </c>
      <c r="BL121" s="33">
        <v>59197.0</v>
      </c>
    </row>
    <row r="122" ht="15.75" customHeight="1">
      <c r="A122" s="33" t="s">
        <v>112</v>
      </c>
      <c r="B122" s="33" t="s">
        <v>67</v>
      </c>
      <c r="C122" s="34">
        <v>33373.2</v>
      </c>
      <c r="D122" s="33">
        <v>203.468</v>
      </c>
      <c r="E122" s="33">
        <v>54039.8</v>
      </c>
      <c r="F122" s="33">
        <v>40.1559</v>
      </c>
      <c r="G122" s="33">
        <v>74.8321</v>
      </c>
      <c r="H122" s="33">
        <v>917.949</v>
      </c>
      <c r="I122" s="33">
        <v>328.776</v>
      </c>
      <c r="J122" s="34">
        <v>1.21736E7</v>
      </c>
      <c r="K122" s="34">
        <v>0.200446</v>
      </c>
      <c r="L122" s="33">
        <v>0.443202</v>
      </c>
      <c r="M122" s="33">
        <v>3.72426</v>
      </c>
      <c r="N122" s="33">
        <v>25.178</v>
      </c>
      <c r="O122" s="33">
        <v>53.262</v>
      </c>
      <c r="P122" s="33">
        <v>17.274</v>
      </c>
      <c r="Q122" s="33">
        <v>0.118642</v>
      </c>
      <c r="R122" s="34">
        <v>98.6872</v>
      </c>
      <c r="S122" s="33">
        <v>1.38415</v>
      </c>
      <c r="T122" s="33">
        <v>3.6288</v>
      </c>
      <c r="U122" s="33">
        <v>9.27178</v>
      </c>
      <c r="V122" s="33">
        <v>34.1102</v>
      </c>
      <c r="W122" s="33">
        <v>37.7908</v>
      </c>
      <c r="X122" s="33">
        <v>13.8143</v>
      </c>
      <c r="Y122" s="34">
        <v>6.69236</v>
      </c>
      <c r="Z122" s="33">
        <v>0.0</v>
      </c>
      <c r="AA122" s="33">
        <v>100.0</v>
      </c>
      <c r="AB122" s="33">
        <v>0.0</v>
      </c>
      <c r="AC122" s="33">
        <v>0.0</v>
      </c>
      <c r="AD122" s="33">
        <v>0.0</v>
      </c>
      <c r="AE122" s="33">
        <v>0.0</v>
      </c>
      <c r="AF122" s="34">
        <v>0.555202</v>
      </c>
      <c r="AG122" s="33">
        <v>0.190918</v>
      </c>
      <c r="AH122" s="33">
        <v>1.88463</v>
      </c>
      <c r="AI122" s="33">
        <v>5.20387</v>
      </c>
      <c r="AJ122" s="33">
        <v>12.5869</v>
      </c>
      <c r="AK122" s="33">
        <v>32.1055</v>
      </c>
      <c r="AL122" s="33">
        <v>48.0281</v>
      </c>
      <c r="AM122" s="34">
        <v>0.121701</v>
      </c>
      <c r="AN122" s="33">
        <v>0.838674</v>
      </c>
      <c r="AO122" s="33">
        <v>15.9771</v>
      </c>
      <c r="AP122" s="33">
        <v>60.5482</v>
      </c>
      <c r="AQ122" s="33">
        <v>18.4836</v>
      </c>
      <c r="AR122" s="33">
        <v>2.65376</v>
      </c>
      <c r="AS122" s="33">
        <v>1.4987</v>
      </c>
      <c r="AT122" s="33">
        <v>364.773</v>
      </c>
      <c r="AU122" s="34">
        <v>390.038</v>
      </c>
      <c r="AV122" s="34">
        <v>21700.2</v>
      </c>
      <c r="AW122" s="34">
        <v>0.0591565</v>
      </c>
      <c r="AX122" s="33">
        <v>0.0013637</v>
      </c>
      <c r="AY122" s="33">
        <v>0.234556</v>
      </c>
      <c r="AZ122" s="33">
        <v>0.456839</v>
      </c>
      <c r="BA122" s="33">
        <v>16.123</v>
      </c>
      <c r="BB122" s="33">
        <v>77.6626</v>
      </c>
      <c r="BC122" s="33">
        <v>5.52161</v>
      </c>
      <c r="BD122" s="34">
        <v>28.7875</v>
      </c>
      <c r="BE122" s="33">
        <v>0.0</v>
      </c>
      <c r="BF122" s="33">
        <v>40.926</v>
      </c>
      <c r="BG122" s="33">
        <v>53.7243</v>
      </c>
      <c r="BH122" s="33">
        <v>4.32429</v>
      </c>
      <c r="BI122" s="33">
        <v>0.564571</v>
      </c>
      <c r="BJ122" s="33">
        <v>0.46093</v>
      </c>
      <c r="BK122" s="33">
        <v>40.6025</v>
      </c>
      <c r="BL122" s="33">
        <v>73330.0</v>
      </c>
    </row>
    <row r="123" ht="15.75" customHeight="1">
      <c r="A123" s="33" t="s">
        <v>112</v>
      </c>
      <c r="B123" s="33" t="s">
        <v>67</v>
      </c>
      <c r="C123" s="34">
        <v>28725.2</v>
      </c>
      <c r="D123" s="33">
        <v>166.764</v>
      </c>
      <c r="E123" s="33">
        <v>46247.2</v>
      </c>
      <c r="F123" s="33">
        <v>39.7501</v>
      </c>
      <c r="G123" s="33">
        <v>73.7727</v>
      </c>
      <c r="H123" s="33">
        <v>869.259</v>
      </c>
      <c r="I123" s="33">
        <v>313.852</v>
      </c>
      <c r="J123" s="34">
        <v>9244750.0</v>
      </c>
      <c r="K123" s="34">
        <v>0.198425</v>
      </c>
      <c r="L123" s="33">
        <v>0.50864</v>
      </c>
      <c r="M123" s="33">
        <v>3.5882</v>
      </c>
      <c r="N123" s="33">
        <v>25.6945</v>
      </c>
      <c r="O123" s="33">
        <v>53.7561</v>
      </c>
      <c r="P123" s="33">
        <v>16.3596</v>
      </c>
      <c r="Q123" s="33">
        <v>0.0929247</v>
      </c>
      <c r="R123" s="34">
        <v>95.6572</v>
      </c>
      <c r="S123" s="33">
        <v>1.62537</v>
      </c>
      <c r="T123" s="33">
        <v>4.22726</v>
      </c>
      <c r="U123" s="33">
        <v>11.164</v>
      </c>
      <c r="V123" s="33">
        <v>36.9873</v>
      </c>
      <c r="W123" s="33">
        <v>34.7212</v>
      </c>
      <c r="X123" s="33">
        <v>11.2749</v>
      </c>
      <c r="Y123" s="34">
        <v>7.02455</v>
      </c>
      <c r="Z123" s="33">
        <v>0.0</v>
      </c>
      <c r="AA123" s="33">
        <v>99.9967</v>
      </c>
      <c r="AB123" s="33">
        <v>0.00326052</v>
      </c>
      <c r="AC123" s="33">
        <v>0.0</v>
      </c>
      <c r="AD123" s="33">
        <v>0.0</v>
      </c>
      <c r="AE123" s="33">
        <v>0.0</v>
      </c>
      <c r="AF123" s="34">
        <v>0.541907</v>
      </c>
      <c r="AG123" s="33">
        <v>0.264102</v>
      </c>
      <c r="AH123" s="33">
        <v>1.73785</v>
      </c>
      <c r="AI123" s="33">
        <v>5.56896</v>
      </c>
      <c r="AJ123" s="33">
        <v>14.2028</v>
      </c>
      <c r="AK123" s="33">
        <v>35.4532</v>
      </c>
      <c r="AL123" s="33">
        <v>42.7731</v>
      </c>
      <c r="AM123" s="34">
        <v>0.14215</v>
      </c>
      <c r="AN123" s="33">
        <v>0.834692</v>
      </c>
      <c r="AO123" s="33">
        <v>12.866</v>
      </c>
      <c r="AP123" s="33">
        <v>58.5491</v>
      </c>
      <c r="AQ123" s="33">
        <v>22.0916</v>
      </c>
      <c r="AR123" s="33">
        <v>3.72351</v>
      </c>
      <c r="AS123" s="33">
        <v>1.93512</v>
      </c>
      <c r="AT123" s="33">
        <v>321.834</v>
      </c>
      <c r="AU123" s="34">
        <v>339.038</v>
      </c>
      <c r="AV123" s="34">
        <v>18383.3</v>
      </c>
      <c r="AW123" s="34">
        <v>0.0716144</v>
      </c>
      <c r="AX123" s="33">
        <v>0.0293446</v>
      </c>
      <c r="AY123" s="33">
        <v>0.374959</v>
      </c>
      <c r="AZ123" s="33">
        <v>0.392892</v>
      </c>
      <c r="BA123" s="33">
        <v>12.9035</v>
      </c>
      <c r="BB123" s="33">
        <v>78.3225</v>
      </c>
      <c r="BC123" s="33">
        <v>7.97685</v>
      </c>
      <c r="BD123" s="34">
        <v>29.701</v>
      </c>
      <c r="BE123" s="33">
        <v>0.0</v>
      </c>
      <c r="BF123" s="33">
        <v>39.0267</v>
      </c>
      <c r="BG123" s="33">
        <v>54.4294</v>
      </c>
      <c r="BH123" s="33">
        <v>5.32768</v>
      </c>
      <c r="BI123" s="33">
        <v>0.815129</v>
      </c>
      <c r="BJ123" s="33">
        <v>0.401043</v>
      </c>
      <c r="BK123" s="33">
        <v>39.8256</v>
      </c>
      <c r="BL123" s="33">
        <v>61340.0</v>
      </c>
    </row>
    <row r="124" ht="15.75" customHeight="1">
      <c r="A124" s="33" t="s">
        <v>112</v>
      </c>
      <c r="B124" s="33" t="s">
        <v>67</v>
      </c>
      <c r="C124" s="34">
        <v>28475.4</v>
      </c>
      <c r="D124" s="33">
        <v>198.543</v>
      </c>
      <c r="E124" s="33">
        <v>51450.9</v>
      </c>
      <c r="F124" s="33">
        <v>34.7071</v>
      </c>
      <c r="G124" s="33">
        <v>80.2096</v>
      </c>
      <c r="H124" s="33">
        <v>895.435</v>
      </c>
      <c r="I124" s="33">
        <v>306.483</v>
      </c>
      <c r="J124" s="34">
        <v>9553310.0</v>
      </c>
      <c r="K124" s="34">
        <v>0.19688</v>
      </c>
      <c r="L124" s="33">
        <v>0.413986</v>
      </c>
      <c r="M124" s="33">
        <v>3.18054</v>
      </c>
      <c r="N124" s="33">
        <v>26.9523</v>
      </c>
      <c r="O124" s="33">
        <v>53.7234</v>
      </c>
      <c r="P124" s="33">
        <v>15.6616</v>
      </c>
      <c r="Q124" s="33">
        <v>0.0681663</v>
      </c>
      <c r="R124" s="34">
        <v>92.313</v>
      </c>
      <c r="S124" s="33">
        <v>1.48802</v>
      </c>
      <c r="T124" s="33">
        <v>5.10582</v>
      </c>
      <c r="U124" s="33">
        <v>12.6424</v>
      </c>
      <c r="V124" s="33">
        <v>40.8266</v>
      </c>
      <c r="W124" s="33">
        <v>31.9783</v>
      </c>
      <c r="X124" s="33">
        <v>7.95883</v>
      </c>
      <c r="Y124" s="34">
        <v>7.45006</v>
      </c>
      <c r="Z124" s="33">
        <v>0.0</v>
      </c>
      <c r="AA124" s="33">
        <v>100.0</v>
      </c>
      <c r="AB124" s="33">
        <v>0.0</v>
      </c>
      <c r="AC124" s="33">
        <v>0.0</v>
      </c>
      <c r="AD124" s="33">
        <v>0.0</v>
      </c>
      <c r="AE124" s="33">
        <v>0.0</v>
      </c>
      <c r="AF124" s="34">
        <v>0.519333</v>
      </c>
      <c r="AG124" s="33">
        <v>0.259365</v>
      </c>
      <c r="AH124" s="33">
        <v>2.37751</v>
      </c>
      <c r="AI124" s="33">
        <v>7.35531</v>
      </c>
      <c r="AJ124" s="33">
        <v>16.6841</v>
      </c>
      <c r="AK124" s="33">
        <v>38.1349</v>
      </c>
      <c r="AL124" s="33">
        <v>35.1888</v>
      </c>
      <c r="AM124" s="34">
        <v>0.15635</v>
      </c>
      <c r="AN124" s="33">
        <v>0.2311</v>
      </c>
      <c r="AO124" s="33">
        <v>9.60979</v>
      </c>
      <c r="AP124" s="33">
        <v>59.7303</v>
      </c>
      <c r="AQ124" s="33">
        <v>24.8026</v>
      </c>
      <c r="AR124" s="33">
        <v>3.81233</v>
      </c>
      <c r="AS124" s="33">
        <v>1.81389</v>
      </c>
      <c r="AT124" s="33">
        <v>335.494</v>
      </c>
      <c r="AU124" s="34">
        <v>340.538</v>
      </c>
      <c r="AV124" s="34">
        <v>17857.1</v>
      </c>
      <c r="AW124" s="34">
        <v>0.085734</v>
      </c>
      <c r="AX124" s="33">
        <v>0.00166259</v>
      </c>
      <c r="AY124" s="33">
        <v>0.0831297</v>
      </c>
      <c r="AZ124" s="33">
        <v>0.17956</v>
      </c>
      <c r="BA124" s="33">
        <v>9.57654</v>
      </c>
      <c r="BB124" s="33">
        <v>81.1462</v>
      </c>
      <c r="BC124" s="33">
        <v>9.01292</v>
      </c>
      <c r="BD124" s="34">
        <v>29.7516</v>
      </c>
      <c r="BE124" s="33">
        <v>0.0</v>
      </c>
      <c r="BF124" s="33">
        <v>37.8905</v>
      </c>
      <c r="BG124" s="33">
        <v>55.9579</v>
      </c>
      <c r="BH124" s="33">
        <v>5.13575</v>
      </c>
      <c r="BI124" s="33">
        <v>0.651737</v>
      </c>
      <c r="BJ124" s="33">
        <v>0.364108</v>
      </c>
      <c r="BK124" s="33">
        <v>38.87</v>
      </c>
      <c r="BL124" s="33">
        <v>60147.0</v>
      </c>
    </row>
    <row r="125" ht="15.75" customHeight="1">
      <c r="A125" s="33" t="s">
        <v>112</v>
      </c>
      <c r="B125" s="33" t="s">
        <v>67</v>
      </c>
      <c r="C125" s="34">
        <v>27706.4</v>
      </c>
      <c r="D125" s="33">
        <v>206.24</v>
      </c>
      <c r="E125" s="33">
        <v>47110.7</v>
      </c>
      <c r="F125" s="33">
        <v>34.0247</v>
      </c>
      <c r="G125" s="33">
        <v>86.0731</v>
      </c>
      <c r="H125" s="33">
        <v>845.632</v>
      </c>
      <c r="I125" s="33">
        <v>282.398</v>
      </c>
      <c r="J125" s="34">
        <v>9784120.0</v>
      </c>
      <c r="K125" s="34">
        <v>0.206281</v>
      </c>
      <c r="L125" s="33">
        <v>0.428777</v>
      </c>
      <c r="M125" s="33">
        <v>2.85183</v>
      </c>
      <c r="N125" s="33">
        <v>23.7324</v>
      </c>
      <c r="O125" s="33">
        <v>54.8799</v>
      </c>
      <c r="P125" s="33">
        <v>18.0488</v>
      </c>
      <c r="Q125" s="33">
        <v>0.0583867</v>
      </c>
      <c r="R125" s="34">
        <v>92.4594</v>
      </c>
      <c r="S125" s="33">
        <v>1.4177</v>
      </c>
      <c r="T125" s="33">
        <v>4.42097</v>
      </c>
      <c r="U125" s="33">
        <v>12.2046</v>
      </c>
      <c r="V125" s="33">
        <v>42.9088</v>
      </c>
      <c r="W125" s="33">
        <v>31.8645</v>
      </c>
      <c r="X125" s="33">
        <v>7.18339</v>
      </c>
      <c r="Y125" s="34">
        <v>7.40259</v>
      </c>
      <c r="Z125" s="33">
        <v>0.0</v>
      </c>
      <c r="AA125" s="33">
        <v>99.9799</v>
      </c>
      <c r="AB125" s="33">
        <v>0.0200704</v>
      </c>
      <c r="AC125" s="33">
        <v>0.0</v>
      </c>
      <c r="AD125" s="33">
        <v>0.0</v>
      </c>
      <c r="AE125" s="33">
        <v>0.0</v>
      </c>
      <c r="AF125" s="34">
        <v>0.514104</v>
      </c>
      <c r="AG125" s="33">
        <v>0.304706</v>
      </c>
      <c r="AH125" s="33">
        <v>2.41028</v>
      </c>
      <c r="AI125" s="33">
        <v>6.52836</v>
      </c>
      <c r="AJ125" s="33">
        <v>16.7606</v>
      </c>
      <c r="AK125" s="33">
        <v>42.6314</v>
      </c>
      <c r="AL125" s="33">
        <v>31.3646</v>
      </c>
      <c r="AM125" s="34">
        <v>0.168185</v>
      </c>
      <c r="AN125" s="33">
        <v>0.304706</v>
      </c>
      <c r="AO125" s="33">
        <v>8.50986</v>
      </c>
      <c r="AP125" s="33">
        <v>57.031</v>
      </c>
      <c r="AQ125" s="33">
        <v>27.8231</v>
      </c>
      <c r="AR125" s="33">
        <v>4.2823</v>
      </c>
      <c r="AS125" s="33">
        <v>2.04901</v>
      </c>
      <c r="AT125" s="33">
        <v>353.135</v>
      </c>
      <c r="AU125" s="34">
        <v>357.132</v>
      </c>
      <c r="AV125" s="34">
        <v>16029.3</v>
      </c>
      <c r="AW125" s="34">
        <v>0.0909452</v>
      </c>
      <c r="AX125" s="33">
        <v>0.00547375</v>
      </c>
      <c r="AY125" s="33">
        <v>0.13137</v>
      </c>
      <c r="AZ125" s="33">
        <v>0.237196</v>
      </c>
      <c r="BA125" s="33">
        <v>8.44053</v>
      </c>
      <c r="BB125" s="33">
        <v>81.1794</v>
      </c>
      <c r="BC125" s="33">
        <v>10.006</v>
      </c>
      <c r="BD125" s="34">
        <v>31.2717</v>
      </c>
      <c r="BE125" s="33">
        <v>0.0</v>
      </c>
      <c r="BF125" s="33">
        <v>33.4994</v>
      </c>
      <c r="BG125" s="33">
        <v>59.1822</v>
      </c>
      <c r="BH125" s="33">
        <v>6.0485</v>
      </c>
      <c r="BI125" s="33">
        <v>0.760852</v>
      </c>
      <c r="BJ125" s="33">
        <v>0.509059</v>
      </c>
      <c r="BK125" s="33">
        <v>35.3724</v>
      </c>
      <c r="BL125" s="33">
        <v>54807.0</v>
      </c>
    </row>
    <row r="126" ht="15.75" customHeight="1">
      <c r="A126" s="33" t="s">
        <v>113</v>
      </c>
      <c r="B126" s="33" t="s">
        <v>67</v>
      </c>
      <c r="C126" s="34">
        <v>29695.9</v>
      </c>
      <c r="D126" s="33">
        <v>200.551</v>
      </c>
      <c r="E126" s="33">
        <v>47623.1</v>
      </c>
      <c r="F126" s="33">
        <v>39.5344</v>
      </c>
      <c r="G126" s="33">
        <v>80.3372</v>
      </c>
      <c r="H126" s="33">
        <v>892.191</v>
      </c>
      <c r="I126" s="33">
        <v>317.21</v>
      </c>
      <c r="J126" s="34">
        <v>1.12262E7</v>
      </c>
      <c r="K126" s="34">
        <v>0.20208</v>
      </c>
      <c r="L126" s="33">
        <v>0.43354</v>
      </c>
      <c r="M126" s="33">
        <v>2.98137</v>
      </c>
      <c r="N126" s="33">
        <v>23.5274</v>
      </c>
      <c r="O126" s="33">
        <v>57.3922</v>
      </c>
      <c r="P126" s="33">
        <v>15.6121</v>
      </c>
      <c r="Q126" s="33">
        <v>0.0534071</v>
      </c>
      <c r="R126" s="34">
        <v>96.3458</v>
      </c>
      <c r="S126" s="33">
        <v>1.26449</v>
      </c>
      <c r="T126" s="33">
        <v>3.46046</v>
      </c>
      <c r="U126" s="33">
        <v>9.63055</v>
      </c>
      <c r="V126" s="33">
        <v>39.0264</v>
      </c>
      <c r="W126" s="33">
        <v>37.0504</v>
      </c>
      <c r="X126" s="33">
        <v>9.56772</v>
      </c>
      <c r="Y126" s="34">
        <v>7.07406</v>
      </c>
      <c r="Z126" s="33">
        <v>0.0</v>
      </c>
      <c r="AA126" s="33">
        <v>100.0</v>
      </c>
      <c r="AB126" s="33">
        <v>0.0</v>
      </c>
      <c r="AC126" s="33">
        <v>0.0</v>
      </c>
      <c r="AD126" s="33">
        <v>0.0</v>
      </c>
      <c r="AE126" s="33">
        <v>0.0</v>
      </c>
      <c r="AF126" s="34">
        <v>0.544264</v>
      </c>
      <c r="AG126" s="33">
        <v>0.273318</v>
      </c>
      <c r="AH126" s="33">
        <v>1.60064</v>
      </c>
      <c r="AI126" s="33">
        <v>5.0344</v>
      </c>
      <c r="AJ126" s="33">
        <v>13.4916</v>
      </c>
      <c r="AK126" s="33">
        <v>37.0425</v>
      </c>
      <c r="AL126" s="33">
        <v>42.5576</v>
      </c>
      <c r="AM126" s="34">
        <v>0.137146</v>
      </c>
      <c r="AN126" s="33">
        <v>0.623606</v>
      </c>
      <c r="AO126" s="33">
        <v>11.3993</v>
      </c>
      <c r="AP126" s="33">
        <v>62.3072</v>
      </c>
      <c r="AQ126" s="33">
        <v>21.3078</v>
      </c>
      <c r="AR126" s="33">
        <v>2.89969</v>
      </c>
      <c r="AS126" s="33">
        <v>1.46241</v>
      </c>
      <c r="AT126" s="33">
        <v>378.04</v>
      </c>
      <c r="AU126" s="34">
        <v>387.158</v>
      </c>
      <c r="AV126" s="34">
        <v>18827.5</v>
      </c>
      <c r="AW126" s="34">
        <v>0.069451</v>
      </c>
      <c r="AX126" s="33">
        <v>0.00471239</v>
      </c>
      <c r="AY126" s="33">
        <v>0.29688</v>
      </c>
      <c r="AZ126" s="33">
        <v>0.356571</v>
      </c>
      <c r="BA126" s="33">
        <v>11.3647</v>
      </c>
      <c r="BB126" s="33">
        <v>81.2824</v>
      </c>
      <c r="BC126" s="33">
        <v>6.69473</v>
      </c>
      <c r="BD126" s="34">
        <v>29.3227</v>
      </c>
      <c r="BE126" s="33">
        <v>0.0</v>
      </c>
      <c r="BF126" s="33">
        <v>37.9489</v>
      </c>
      <c r="BG126" s="33">
        <v>57.0811</v>
      </c>
      <c r="BH126" s="33">
        <v>4.0448</v>
      </c>
      <c r="BI126" s="33">
        <v>0.601615</v>
      </c>
      <c r="BJ126" s="33">
        <v>0.323584</v>
      </c>
      <c r="BK126" s="33">
        <v>39.3823</v>
      </c>
      <c r="BL126" s="33">
        <v>63662.0</v>
      </c>
    </row>
    <row r="127" ht="15.75" customHeight="1">
      <c r="A127" s="33" t="s">
        <v>113</v>
      </c>
      <c r="B127" s="33" t="s">
        <v>67</v>
      </c>
      <c r="C127" s="34">
        <v>21850.4</v>
      </c>
      <c r="D127" s="33">
        <v>189.427</v>
      </c>
      <c r="E127" s="33">
        <v>38205.8</v>
      </c>
      <c r="F127" s="33">
        <v>35.0275</v>
      </c>
      <c r="G127" s="33">
        <v>76.2266</v>
      </c>
      <c r="H127" s="33">
        <v>772.313</v>
      </c>
      <c r="I127" s="33">
        <v>283.002</v>
      </c>
      <c r="J127" s="34">
        <v>7680610.0</v>
      </c>
      <c r="K127" s="34">
        <v>0.205974</v>
      </c>
      <c r="L127" s="33">
        <v>0.488013</v>
      </c>
      <c r="M127" s="33">
        <v>2.86414</v>
      </c>
      <c r="N127" s="33">
        <v>23.0133</v>
      </c>
      <c r="O127" s="33">
        <v>55.9851</v>
      </c>
      <c r="P127" s="33">
        <v>17.5408</v>
      </c>
      <c r="Q127" s="33">
        <v>0.108684</v>
      </c>
      <c r="R127" s="34">
        <v>93.021</v>
      </c>
      <c r="S127" s="33">
        <v>1.42994</v>
      </c>
      <c r="T127" s="33">
        <v>4.62014</v>
      </c>
      <c r="U127" s="33">
        <v>11.9893</v>
      </c>
      <c r="V127" s="33">
        <v>40.9164</v>
      </c>
      <c r="W127" s="33">
        <v>33.3639</v>
      </c>
      <c r="X127" s="33">
        <v>7.68034</v>
      </c>
      <c r="Y127" s="34">
        <v>7.14386</v>
      </c>
      <c r="Z127" s="33">
        <v>0.0</v>
      </c>
      <c r="AA127" s="33">
        <v>99.9957</v>
      </c>
      <c r="AB127" s="33">
        <v>0.00426212</v>
      </c>
      <c r="AC127" s="33">
        <v>0.0</v>
      </c>
      <c r="AD127" s="33">
        <v>0.0</v>
      </c>
      <c r="AE127" s="33">
        <v>0.0</v>
      </c>
      <c r="AF127" s="34">
        <v>0.527022</v>
      </c>
      <c r="AG127" s="33">
        <v>0.500799</v>
      </c>
      <c r="AH127" s="33">
        <v>2.2163</v>
      </c>
      <c r="AI127" s="33">
        <v>5.8796</v>
      </c>
      <c r="AJ127" s="33">
        <v>15.2541</v>
      </c>
      <c r="AK127" s="33">
        <v>39.512</v>
      </c>
      <c r="AL127" s="33">
        <v>36.6372</v>
      </c>
      <c r="AM127" s="34">
        <v>0.166725</v>
      </c>
      <c r="AN127" s="33">
        <v>0.334576</v>
      </c>
      <c r="AO127" s="33">
        <v>9.15717</v>
      </c>
      <c r="AP127" s="33">
        <v>58.2035</v>
      </c>
      <c r="AQ127" s="33">
        <v>25.3681</v>
      </c>
      <c r="AR127" s="33">
        <v>4.05115</v>
      </c>
      <c r="AS127" s="33">
        <v>2.88546</v>
      </c>
      <c r="AT127" s="33">
        <v>351.509</v>
      </c>
      <c r="AU127" s="34">
        <v>361.092</v>
      </c>
      <c r="AV127" s="34">
        <v>13382.5</v>
      </c>
      <c r="AW127" s="34">
        <v>0.0879803</v>
      </c>
      <c r="AX127" s="33">
        <v>0.00639318</v>
      </c>
      <c r="AY127" s="33">
        <v>0.102291</v>
      </c>
      <c r="AZ127" s="33">
        <v>0.193926</v>
      </c>
      <c r="BA127" s="33">
        <v>9.18913</v>
      </c>
      <c r="BB127" s="33">
        <v>81.0847</v>
      </c>
      <c r="BC127" s="33">
        <v>9.42355</v>
      </c>
      <c r="BD127" s="34">
        <v>31.4178</v>
      </c>
      <c r="BE127" s="33">
        <v>0.0</v>
      </c>
      <c r="BF127" s="33">
        <v>33.4981</v>
      </c>
      <c r="BG127" s="33">
        <v>58.8173</v>
      </c>
      <c r="BH127" s="33">
        <v>5.83484</v>
      </c>
      <c r="BI127" s="33">
        <v>1.0634</v>
      </c>
      <c r="BJ127" s="33">
        <v>0.786361</v>
      </c>
      <c r="BK127" s="33">
        <v>37.7852</v>
      </c>
      <c r="BL127" s="33">
        <v>46925.0</v>
      </c>
    </row>
    <row r="128" ht="15.75" customHeight="1">
      <c r="A128" s="33" t="s">
        <v>113</v>
      </c>
      <c r="B128" s="33" t="s">
        <v>67</v>
      </c>
      <c r="C128" s="34">
        <v>25521.5</v>
      </c>
      <c r="D128" s="33">
        <v>249.845</v>
      </c>
      <c r="E128" s="33">
        <v>46619.6</v>
      </c>
      <c r="F128" s="33">
        <v>33.6027</v>
      </c>
      <c r="G128" s="33">
        <v>87.5841</v>
      </c>
      <c r="H128" s="33">
        <v>822.282</v>
      </c>
      <c r="I128" s="33">
        <v>294.333</v>
      </c>
      <c r="J128" s="34">
        <v>9532060.0</v>
      </c>
      <c r="K128" s="34">
        <v>0.203066</v>
      </c>
      <c r="L128" s="33">
        <v>0.577832</v>
      </c>
      <c r="M128" s="33">
        <v>2.99623</v>
      </c>
      <c r="N128" s="33">
        <v>24.2652</v>
      </c>
      <c r="O128" s="33">
        <v>55.1654</v>
      </c>
      <c r="P128" s="33">
        <v>16.7867</v>
      </c>
      <c r="Q128" s="33">
        <v>0.20861</v>
      </c>
      <c r="R128" s="34">
        <v>92.9517</v>
      </c>
      <c r="S128" s="33">
        <v>1.61165</v>
      </c>
      <c r="T128" s="33">
        <v>4.43066</v>
      </c>
      <c r="U128" s="33">
        <v>12.0754</v>
      </c>
      <c r="V128" s="33">
        <v>41.3067</v>
      </c>
      <c r="W128" s="33">
        <v>32.3549</v>
      </c>
      <c r="X128" s="33">
        <v>8.22072</v>
      </c>
      <c r="Y128" s="34">
        <v>7.2027</v>
      </c>
      <c r="Z128" s="33">
        <v>0.0</v>
      </c>
      <c r="AA128" s="33">
        <v>100.0</v>
      </c>
      <c r="AB128" s="33">
        <v>0.0</v>
      </c>
      <c r="AC128" s="33">
        <v>0.0</v>
      </c>
      <c r="AD128" s="33">
        <v>0.0</v>
      </c>
      <c r="AE128" s="33">
        <v>0.0</v>
      </c>
      <c r="AF128" s="34">
        <v>0.525664</v>
      </c>
      <c r="AG128" s="33">
        <v>0.26584</v>
      </c>
      <c r="AH128" s="33">
        <v>2.0861</v>
      </c>
      <c r="AI128" s="33">
        <v>5.92047</v>
      </c>
      <c r="AJ128" s="33">
        <v>16.5707</v>
      </c>
      <c r="AK128" s="33">
        <v>39.4606</v>
      </c>
      <c r="AL128" s="33">
        <v>35.6964</v>
      </c>
      <c r="AM128" s="34">
        <v>0.163722</v>
      </c>
      <c r="AN128" s="33">
        <v>0.334146</v>
      </c>
      <c r="AO128" s="33">
        <v>9.81576</v>
      </c>
      <c r="AP128" s="33">
        <v>58.3001</v>
      </c>
      <c r="AQ128" s="33">
        <v>24.6511</v>
      </c>
      <c r="AR128" s="33">
        <v>4.27189</v>
      </c>
      <c r="AS128" s="33">
        <v>2.62701</v>
      </c>
      <c r="AT128" s="33">
        <v>373.491</v>
      </c>
      <c r="AU128" s="34">
        <v>377.858</v>
      </c>
      <c r="AV128" s="34">
        <v>15665.4</v>
      </c>
      <c r="AW128" s="34">
        <v>0.0865452</v>
      </c>
      <c r="AX128" s="33">
        <v>0.00553833</v>
      </c>
      <c r="AY128" s="33">
        <v>0.0443066</v>
      </c>
      <c r="AZ128" s="33">
        <v>0.149535</v>
      </c>
      <c r="BA128" s="33">
        <v>9.95052</v>
      </c>
      <c r="BB128" s="33">
        <v>80.7432</v>
      </c>
      <c r="BC128" s="33">
        <v>9.10685</v>
      </c>
      <c r="BD128" s="34">
        <v>31.0169</v>
      </c>
      <c r="BE128" s="33">
        <v>0.0</v>
      </c>
      <c r="BF128" s="33">
        <v>35.4545</v>
      </c>
      <c r="BG128" s="33">
        <v>56.6829</v>
      </c>
      <c r="BH128" s="33">
        <v>6.09031</v>
      </c>
      <c r="BI128" s="33">
        <v>0.906439</v>
      </c>
      <c r="BJ128" s="33">
        <v>0.865825</v>
      </c>
      <c r="BK128" s="33">
        <v>37.892</v>
      </c>
      <c r="BL128" s="33">
        <v>54168.0</v>
      </c>
    </row>
    <row r="129" ht="15.75" customHeight="1">
      <c r="A129" s="33" t="s">
        <v>113</v>
      </c>
      <c r="B129" s="33" t="s">
        <v>67</v>
      </c>
      <c r="C129" s="34">
        <v>29107.9</v>
      </c>
      <c r="D129" s="33">
        <v>214.898</v>
      </c>
      <c r="E129" s="33">
        <v>55523.9</v>
      </c>
      <c r="F129" s="33">
        <v>30.8838</v>
      </c>
      <c r="G129" s="33">
        <v>71.4101</v>
      </c>
      <c r="H129" s="33">
        <v>1037.96</v>
      </c>
      <c r="I129" s="33">
        <v>338.217</v>
      </c>
      <c r="J129" s="34">
        <v>1.23926E7</v>
      </c>
      <c r="K129" s="34">
        <v>0.190306</v>
      </c>
      <c r="L129" s="33">
        <v>0.344874</v>
      </c>
      <c r="M129" s="33">
        <v>2.91636</v>
      </c>
      <c r="N129" s="33">
        <v>28.2997</v>
      </c>
      <c r="O129" s="33">
        <v>56.1458</v>
      </c>
      <c r="P129" s="33">
        <v>12.2564</v>
      </c>
      <c r="Q129" s="33">
        <v>0.0368312</v>
      </c>
      <c r="R129" s="34">
        <v>94.089</v>
      </c>
      <c r="S129" s="33">
        <v>1.37782</v>
      </c>
      <c r="T129" s="33">
        <v>4.5587</v>
      </c>
      <c r="U129" s="33">
        <v>12.1777</v>
      </c>
      <c r="V129" s="33">
        <v>38.4132</v>
      </c>
      <c r="W129" s="33">
        <v>34.3283</v>
      </c>
      <c r="X129" s="33">
        <v>9.14418</v>
      </c>
      <c r="Y129" s="34">
        <v>7.21644</v>
      </c>
      <c r="Z129" s="33">
        <v>0.0</v>
      </c>
      <c r="AA129" s="33">
        <v>99.9916</v>
      </c>
      <c r="AB129" s="33">
        <v>0.00837072</v>
      </c>
      <c r="AC129" s="33">
        <v>0.0</v>
      </c>
      <c r="AD129" s="33">
        <v>0.0</v>
      </c>
      <c r="AE129" s="33">
        <v>0.0</v>
      </c>
      <c r="AF129" s="34">
        <v>0.513318</v>
      </c>
      <c r="AG129" s="33">
        <v>0.369986</v>
      </c>
      <c r="AH129" s="33">
        <v>2.92306</v>
      </c>
      <c r="AI129" s="33">
        <v>6.82214</v>
      </c>
      <c r="AJ129" s="33">
        <v>16.5707</v>
      </c>
      <c r="AK129" s="33">
        <v>40.3871</v>
      </c>
      <c r="AL129" s="33">
        <v>32.9271</v>
      </c>
      <c r="AM129" s="34">
        <v>0.141688</v>
      </c>
      <c r="AN129" s="33">
        <v>0.210942</v>
      </c>
      <c r="AO129" s="33">
        <v>11.2804</v>
      </c>
      <c r="AP129" s="33">
        <v>62.2129</v>
      </c>
      <c r="AQ129" s="33">
        <v>21.3135</v>
      </c>
      <c r="AR129" s="33">
        <v>3.49227</v>
      </c>
      <c r="AS129" s="33">
        <v>1.48999</v>
      </c>
      <c r="AT129" s="33">
        <v>425.747</v>
      </c>
      <c r="AU129" s="34">
        <v>432.758</v>
      </c>
      <c r="AV129" s="34">
        <v>17147.9</v>
      </c>
      <c r="AW129" s="34">
        <v>0.0829767</v>
      </c>
      <c r="AX129" s="33">
        <v>0.00334829</v>
      </c>
      <c r="AY129" s="33">
        <v>0.0485502</v>
      </c>
      <c r="AZ129" s="33">
        <v>0.169089</v>
      </c>
      <c r="BA129" s="33">
        <v>11.2703</v>
      </c>
      <c r="BB129" s="33">
        <v>79.1485</v>
      </c>
      <c r="BC129" s="33">
        <v>9.36014</v>
      </c>
      <c r="BD129" s="34">
        <v>28.2697</v>
      </c>
      <c r="BE129" s="33">
        <v>0.0</v>
      </c>
      <c r="BF129" s="33">
        <v>42.2303</v>
      </c>
      <c r="BG129" s="33">
        <v>53.0871</v>
      </c>
      <c r="BH129" s="33">
        <v>3.84049</v>
      </c>
      <c r="BI129" s="33">
        <v>0.542423</v>
      </c>
      <c r="BJ129" s="33">
        <v>0.299672</v>
      </c>
      <c r="BK129" s="33">
        <v>36.1222</v>
      </c>
      <c r="BL129" s="33">
        <v>59732.0</v>
      </c>
    </row>
    <row r="130" ht="15.75" customHeight="1">
      <c r="A130" s="35"/>
      <c r="B130" s="35"/>
      <c r="C130" s="36"/>
      <c r="D130" s="35"/>
      <c r="E130" s="35"/>
      <c r="F130" s="35"/>
      <c r="G130" s="35"/>
      <c r="H130" s="35"/>
      <c r="I130" s="35"/>
      <c r="J130" s="36"/>
      <c r="K130" s="36"/>
      <c r="L130" s="35"/>
      <c r="M130" s="35"/>
      <c r="N130" s="35"/>
      <c r="O130" s="35"/>
      <c r="P130" s="35"/>
      <c r="Q130" s="35"/>
      <c r="R130" s="36"/>
      <c r="S130" s="35"/>
      <c r="T130" s="35"/>
      <c r="U130" s="35"/>
      <c r="V130" s="35"/>
      <c r="W130" s="35"/>
      <c r="X130" s="35"/>
      <c r="Y130" s="36"/>
      <c r="Z130" s="35"/>
      <c r="AA130" s="35"/>
      <c r="AB130" s="35"/>
      <c r="AC130" s="35"/>
      <c r="AD130" s="35"/>
      <c r="AE130" s="35"/>
      <c r="AF130" s="36"/>
      <c r="AG130" s="35"/>
      <c r="AH130" s="35"/>
      <c r="AI130" s="35"/>
      <c r="AJ130" s="35"/>
      <c r="AK130" s="35"/>
      <c r="AL130" s="35"/>
      <c r="AM130" s="36"/>
      <c r="AN130" s="35"/>
      <c r="AO130" s="35"/>
      <c r="AP130" s="35"/>
      <c r="AQ130" s="35"/>
      <c r="AR130" s="35"/>
      <c r="AS130" s="35"/>
      <c r="AT130" s="35"/>
      <c r="AU130" s="36"/>
      <c r="AV130" s="36"/>
      <c r="AW130" s="36"/>
      <c r="AX130" s="35"/>
      <c r="AY130" s="35"/>
      <c r="AZ130" s="35"/>
      <c r="BA130" s="35"/>
      <c r="BB130" s="35"/>
      <c r="BC130" s="35"/>
      <c r="BD130" s="36"/>
      <c r="BE130" s="35"/>
      <c r="BF130" s="35"/>
      <c r="BG130" s="35"/>
      <c r="BH130" s="35"/>
      <c r="BI130" s="35"/>
      <c r="BJ130" s="35"/>
      <c r="BK130" s="35"/>
      <c r="BL130" s="35"/>
    </row>
    <row r="131" ht="15.75" customHeight="1">
      <c r="A131" s="35"/>
      <c r="B131" s="35"/>
      <c r="C131" s="36"/>
      <c r="D131" s="35"/>
      <c r="E131" s="35"/>
      <c r="F131" s="35"/>
      <c r="G131" s="35"/>
      <c r="H131" s="35"/>
      <c r="I131" s="35"/>
      <c r="J131" s="36"/>
      <c r="K131" s="36"/>
      <c r="L131" s="35"/>
      <c r="M131" s="35"/>
      <c r="N131" s="35"/>
      <c r="O131" s="35"/>
      <c r="P131" s="35"/>
      <c r="Q131" s="35"/>
      <c r="R131" s="36"/>
      <c r="S131" s="35"/>
      <c r="T131" s="35"/>
      <c r="U131" s="35"/>
      <c r="V131" s="35"/>
      <c r="W131" s="35"/>
      <c r="X131" s="35"/>
      <c r="Y131" s="36"/>
      <c r="Z131" s="35"/>
      <c r="AA131" s="35"/>
      <c r="AB131" s="35"/>
      <c r="AC131" s="35"/>
      <c r="AD131" s="35"/>
      <c r="AE131" s="35"/>
      <c r="AF131" s="36"/>
      <c r="AG131" s="35"/>
      <c r="AH131" s="35"/>
      <c r="AI131" s="35"/>
      <c r="AJ131" s="35"/>
      <c r="AK131" s="35"/>
      <c r="AL131" s="35"/>
      <c r="AM131" s="36"/>
      <c r="AN131" s="35"/>
      <c r="AO131" s="35"/>
      <c r="AP131" s="35"/>
      <c r="AQ131" s="35"/>
      <c r="AR131" s="35"/>
      <c r="AS131" s="35"/>
      <c r="AT131" s="35"/>
      <c r="AU131" s="36"/>
      <c r="AV131" s="36"/>
      <c r="AW131" s="36"/>
      <c r="AX131" s="35"/>
      <c r="AY131" s="35"/>
      <c r="AZ131" s="35"/>
      <c r="BA131" s="35"/>
      <c r="BB131" s="35"/>
      <c r="BC131" s="35"/>
      <c r="BD131" s="36"/>
      <c r="BE131" s="35"/>
      <c r="BF131" s="35"/>
      <c r="BG131" s="35"/>
      <c r="BH131" s="35"/>
      <c r="BI131" s="35"/>
      <c r="BJ131" s="35"/>
      <c r="BK131" s="35"/>
      <c r="BL131" s="35"/>
    </row>
    <row r="132" ht="15.75" customHeight="1">
      <c r="A132" s="35"/>
      <c r="B132" s="35"/>
      <c r="C132" s="36"/>
      <c r="D132" s="35"/>
      <c r="E132" s="35"/>
      <c r="F132" s="35"/>
      <c r="G132" s="35"/>
      <c r="H132" s="35"/>
      <c r="I132" s="35"/>
      <c r="J132" s="36"/>
      <c r="K132" s="36"/>
      <c r="L132" s="35"/>
      <c r="M132" s="35"/>
      <c r="N132" s="35"/>
      <c r="O132" s="35"/>
      <c r="P132" s="35"/>
      <c r="Q132" s="35"/>
      <c r="R132" s="36"/>
      <c r="S132" s="35"/>
      <c r="T132" s="35"/>
      <c r="U132" s="35"/>
      <c r="V132" s="35"/>
      <c r="W132" s="35"/>
      <c r="X132" s="35"/>
      <c r="Y132" s="36"/>
      <c r="Z132" s="35"/>
      <c r="AA132" s="35"/>
      <c r="AB132" s="35"/>
      <c r="AC132" s="35"/>
      <c r="AD132" s="35"/>
      <c r="AE132" s="35"/>
      <c r="AF132" s="36"/>
      <c r="AG132" s="35"/>
      <c r="AH132" s="35"/>
      <c r="AI132" s="35"/>
      <c r="AJ132" s="35"/>
      <c r="AK132" s="35"/>
      <c r="AL132" s="35"/>
      <c r="AM132" s="36"/>
      <c r="AN132" s="35"/>
      <c r="AO132" s="35"/>
      <c r="AP132" s="35"/>
      <c r="AQ132" s="35"/>
      <c r="AR132" s="35"/>
      <c r="AS132" s="35"/>
      <c r="AT132" s="35"/>
      <c r="AU132" s="36"/>
      <c r="AV132" s="36"/>
      <c r="AW132" s="36"/>
      <c r="AX132" s="35"/>
      <c r="AY132" s="35"/>
      <c r="AZ132" s="35"/>
      <c r="BA132" s="35"/>
      <c r="BB132" s="35"/>
      <c r="BC132" s="35"/>
      <c r="BD132" s="36"/>
      <c r="BE132" s="35"/>
      <c r="BF132" s="35"/>
      <c r="BG132" s="35"/>
      <c r="BH132" s="35"/>
      <c r="BI132" s="35"/>
      <c r="BJ132" s="35"/>
      <c r="BK132" s="35"/>
      <c r="BL132" s="35"/>
    </row>
    <row r="133" ht="15.75" customHeight="1">
      <c r="A133" s="35" t="s">
        <v>94</v>
      </c>
      <c r="B133" s="35" t="s">
        <v>53</v>
      </c>
      <c r="C133" s="37">
        <f>AVERAGE(C2,C3,C4,C5)</f>
        <v>6642.11</v>
      </c>
      <c r="D133" s="37"/>
      <c r="E133" s="37"/>
      <c r="F133" s="37"/>
      <c r="G133" s="37"/>
      <c r="H133" s="37"/>
      <c r="I133" s="37"/>
      <c r="J133" s="37">
        <f t="shared" ref="J133:K133" si="1">AVERAGE(J2,J3,J4,J5)</f>
        <v>1535090</v>
      </c>
      <c r="K133" s="37">
        <f t="shared" si="1"/>
        <v>0.2311575</v>
      </c>
      <c r="L133" s="37"/>
      <c r="M133" s="37"/>
      <c r="N133" s="37"/>
      <c r="O133" s="37"/>
      <c r="P133" s="37"/>
      <c r="Q133" s="37"/>
      <c r="R133" s="37">
        <f>AVERAGE(R2,R3,R4,R5)</f>
        <v>80.328575</v>
      </c>
      <c r="S133" s="37"/>
      <c r="T133" s="37"/>
      <c r="U133" s="37"/>
      <c r="V133" s="37"/>
      <c r="W133" s="37"/>
      <c r="X133" s="37"/>
      <c r="Y133" s="37">
        <f>AVERAGE(Y2,Y3,Y4,Y5)</f>
        <v>9.8716025</v>
      </c>
      <c r="Z133" s="37"/>
      <c r="AA133" s="37"/>
      <c r="AB133" s="37"/>
      <c r="AC133" s="37"/>
      <c r="AD133" s="37"/>
      <c r="AE133" s="37"/>
      <c r="AF133" s="37">
        <f>AVERAGE(AF2,AF3,AF4,AF5)</f>
        <v>0.42479425</v>
      </c>
      <c r="AG133" s="37"/>
      <c r="AH133" s="37"/>
      <c r="AI133" s="37"/>
      <c r="AJ133" s="37"/>
      <c r="AK133" s="37"/>
      <c r="AL133" s="37"/>
      <c r="AM133" s="37">
        <f>AVERAGE(AM2,AM3,AM4,AM5)</f>
        <v>0.3022035</v>
      </c>
      <c r="AN133" s="37"/>
      <c r="AO133" s="37"/>
      <c r="AP133" s="37"/>
      <c r="AQ133" s="37"/>
      <c r="AR133" s="37"/>
      <c r="AS133" s="37"/>
      <c r="AT133" s="37"/>
      <c r="AU133" s="37">
        <f t="shared" ref="AU133:AW133" si="2">AVERAGE(AU2,AU3,AU4,AU5)</f>
        <v>237.901</v>
      </c>
      <c r="AV133" s="37">
        <f t="shared" si="2"/>
        <v>4083.0225</v>
      </c>
      <c r="AW133" s="37">
        <f t="shared" si="2"/>
        <v>0.188323</v>
      </c>
      <c r="AX133" s="37"/>
      <c r="AY133" s="37"/>
      <c r="AZ133" s="37"/>
      <c r="BA133" s="37"/>
      <c r="BB133" s="37"/>
      <c r="BC133" s="37"/>
      <c r="BD133" s="37">
        <f>AVERAGE(BD2,BD3,BD4,BD5)</f>
        <v>41.290275</v>
      </c>
      <c r="BE133" s="37"/>
      <c r="BF133" s="37"/>
      <c r="BG133" s="37"/>
      <c r="BH133" s="37"/>
      <c r="BI133" s="37"/>
      <c r="BJ133" s="37"/>
      <c r="BK133" s="37"/>
      <c r="BL133" s="37"/>
    </row>
    <row r="134" ht="15.75" customHeight="1">
      <c r="A134" s="35" t="s">
        <v>111</v>
      </c>
      <c r="B134" s="35" t="s">
        <v>53</v>
      </c>
      <c r="C134" s="37">
        <f>(AVERAGE(C6,C7,C8,C9))</f>
        <v>6571.9725</v>
      </c>
      <c r="D134" s="37"/>
      <c r="E134" s="37"/>
      <c r="F134" s="37"/>
      <c r="G134" s="37"/>
      <c r="H134" s="37"/>
      <c r="I134" s="37"/>
      <c r="J134" s="37">
        <f t="shared" ref="J134:K134" si="3">(AVERAGE(J6,J7,J8,J9))</f>
        <v>1503967.5</v>
      </c>
      <c r="K134" s="37">
        <f t="shared" si="3"/>
        <v>0.23009225</v>
      </c>
      <c r="L134" s="37"/>
      <c r="M134" s="37"/>
      <c r="N134" s="37"/>
      <c r="O134" s="37"/>
      <c r="P134" s="37"/>
      <c r="Q134" s="37"/>
      <c r="R134" s="37">
        <f>(AVERAGE(R6,R7,R8,R9))</f>
        <v>79.9275</v>
      </c>
      <c r="S134" s="37"/>
      <c r="T134" s="37"/>
      <c r="U134" s="37"/>
      <c r="V134" s="37"/>
      <c r="W134" s="37"/>
      <c r="X134" s="37"/>
      <c r="Y134" s="37">
        <f>(AVERAGE(Y6,Y7,Y8,Y9))</f>
        <v>9.8788825</v>
      </c>
      <c r="Z134" s="37"/>
      <c r="AA134" s="37"/>
      <c r="AB134" s="37"/>
      <c r="AC134" s="37"/>
      <c r="AD134" s="37"/>
      <c r="AE134" s="37"/>
      <c r="AF134" s="37">
        <f>(AVERAGE(AF6,AF7,AF8,AF9))</f>
        <v>0.41823</v>
      </c>
      <c r="AG134" s="37"/>
      <c r="AH134" s="37"/>
      <c r="AI134" s="37"/>
      <c r="AJ134" s="37"/>
      <c r="AK134" s="37"/>
      <c r="AL134" s="37"/>
      <c r="AM134" s="37">
        <f>(AVERAGE(AM6,AM7,AM8,AM9))</f>
        <v>0.30472</v>
      </c>
      <c r="AN134" s="37"/>
      <c r="AO134" s="37"/>
      <c r="AP134" s="37"/>
      <c r="AQ134" s="37"/>
      <c r="AR134" s="37"/>
      <c r="AS134" s="37"/>
      <c r="AT134" s="37"/>
      <c r="AU134" s="37">
        <f t="shared" ref="AU134:AW134" si="4">(AVERAGE(AU6,AU7,AU8,AU9))</f>
        <v>239.34275</v>
      </c>
      <c r="AV134" s="37">
        <f t="shared" si="4"/>
        <v>3934.88</v>
      </c>
      <c r="AW134" s="37">
        <f t="shared" si="4"/>
        <v>0.19291475</v>
      </c>
      <c r="AX134" s="37"/>
      <c r="AY134" s="37"/>
      <c r="AZ134" s="37"/>
      <c r="BA134" s="37"/>
      <c r="BB134" s="37"/>
      <c r="BC134" s="37"/>
      <c r="BD134" s="37">
        <f>(AVERAGE(BD6,BD7,BD8,BD9))</f>
        <v>41.292825</v>
      </c>
      <c r="BE134" s="37"/>
      <c r="BF134" s="37"/>
      <c r="BG134" s="37"/>
      <c r="BH134" s="37"/>
      <c r="BI134" s="37"/>
      <c r="BJ134" s="37"/>
      <c r="BK134" s="37"/>
      <c r="BL134" s="37"/>
    </row>
    <row r="135" ht="15.75" customHeight="1">
      <c r="A135" s="35" t="s">
        <v>112</v>
      </c>
      <c r="B135" s="35" t="s">
        <v>53</v>
      </c>
      <c r="C135" s="37">
        <f>(AVERAGE(C10,C11,C12,C13))</f>
        <v>5736.945</v>
      </c>
      <c r="D135" s="37"/>
      <c r="E135" s="37"/>
      <c r="F135" s="37"/>
      <c r="G135" s="37"/>
      <c r="H135" s="37"/>
      <c r="I135" s="37"/>
      <c r="J135" s="37">
        <f t="shared" ref="J135:K135" si="5">(AVERAGE(J10,J11,J12,J13))</f>
        <v>1252692.5</v>
      </c>
      <c r="K135" s="37">
        <f t="shared" si="5"/>
        <v>0.22774675</v>
      </c>
      <c r="L135" s="37"/>
      <c r="M135" s="37"/>
      <c r="N135" s="37"/>
      <c r="O135" s="37"/>
      <c r="P135" s="37"/>
      <c r="Q135" s="37"/>
      <c r="R135" s="37">
        <f>(AVERAGE(R10,R11,R12,R13))</f>
        <v>81.18005</v>
      </c>
      <c r="S135" s="37"/>
      <c r="T135" s="37"/>
      <c r="U135" s="37"/>
      <c r="V135" s="37"/>
      <c r="W135" s="37"/>
      <c r="X135" s="37"/>
      <c r="Y135" s="37">
        <f>(AVERAGE(Y10,Y11,Y12,Y13))</f>
        <v>9.61878</v>
      </c>
      <c r="Z135" s="37"/>
      <c r="AA135" s="37"/>
      <c r="AB135" s="37"/>
      <c r="AC135" s="37"/>
      <c r="AD135" s="37"/>
      <c r="AE135" s="37"/>
      <c r="AF135" s="37">
        <f>(AVERAGE(AF10,AF11,AF12,AF13))</f>
        <v>0.43602175</v>
      </c>
      <c r="AG135" s="37"/>
      <c r="AH135" s="37"/>
      <c r="AI135" s="37"/>
      <c r="AJ135" s="37"/>
      <c r="AK135" s="37"/>
      <c r="AL135" s="37"/>
      <c r="AM135" s="37">
        <f>(AVERAGE(AM10,AM11,AM12,AM13))</f>
        <v>0.2883385</v>
      </c>
      <c r="AN135" s="37"/>
      <c r="AO135" s="37"/>
      <c r="AP135" s="37"/>
      <c r="AQ135" s="37"/>
      <c r="AR135" s="37"/>
      <c r="AS135" s="37"/>
      <c r="AT135" s="37"/>
      <c r="AU135" s="37">
        <f t="shared" ref="AU135:AW135" si="6">(AVERAGE(AU10,AU11,AU12,AU13))</f>
        <v>226.278</v>
      </c>
      <c r="AV135" s="37">
        <f t="shared" si="6"/>
        <v>3734.885</v>
      </c>
      <c r="AW135" s="37">
        <f t="shared" si="6"/>
        <v>0.1770505</v>
      </c>
      <c r="AX135" s="37"/>
      <c r="AY135" s="37"/>
      <c r="AZ135" s="37"/>
      <c r="BA135" s="37"/>
      <c r="BB135" s="37"/>
      <c r="BC135" s="37"/>
      <c r="BD135" s="37">
        <f>(AVERAGE(BD10,BD11,BD12,BD13))</f>
        <v>40.302725</v>
      </c>
      <c r="BE135" s="37"/>
      <c r="BF135" s="37"/>
      <c r="BG135" s="37"/>
      <c r="BH135" s="37"/>
      <c r="BI135" s="37"/>
      <c r="BJ135" s="37"/>
      <c r="BK135" s="37"/>
      <c r="BL135" s="37"/>
    </row>
    <row r="136" ht="15.75" customHeight="1">
      <c r="A136" s="35" t="s">
        <v>113</v>
      </c>
      <c r="B136" s="35" t="s">
        <v>53</v>
      </c>
      <c r="C136" s="37">
        <f>AVERAGE(C14,C15,C16,C17)</f>
        <v>6906.415</v>
      </c>
      <c r="D136" s="37"/>
      <c r="E136" s="37"/>
      <c r="F136" s="37"/>
      <c r="G136" s="37"/>
      <c r="H136" s="37"/>
      <c r="I136" s="37"/>
      <c r="J136" s="37">
        <f t="shared" ref="J136:K136" si="7">AVERAGE(J14,J15,J16,J17)</f>
        <v>1701890</v>
      </c>
      <c r="K136" s="37">
        <f t="shared" si="7"/>
        <v>0.236643</v>
      </c>
      <c r="L136" s="37"/>
      <c r="M136" s="37"/>
      <c r="N136" s="37"/>
      <c r="O136" s="37"/>
      <c r="P136" s="37"/>
      <c r="Q136" s="37"/>
      <c r="R136" s="37">
        <f>AVERAGE(R14,R15,R16,R17)</f>
        <v>82.5116</v>
      </c>
      <c r="S136" s="37"/>
      <c r="T136" s="37"/>
      <c r="U136" s="37"/>
      <c r="V136" s="37"/>
      <c r="W136" s="37"/>
      <c r="X136" s="37"/>
      <c r="Y136" s="37">
        <f>AVERAGE(Y14,Y15,Y16,Y17)</f>
        <v>9.2295025</v>
      </c>
      <c r="Z136" s="37"/>
      <c r="AA136" s="37"/>
      <c r="AB136" s="37"/>
      <c r="AC136" s="37"/>
      <c r="AD136" s="37"/>
      <c r="AE136" s="37"/>
      <c r="AF136" s="37">
        <f>AVERAGE(AF14,AF15,AF16,AF17)</f>
        <v>0.4484325</v>
      </c>
      <c r="AG136" s="37"/>
      <c r="AH136" s="37"/>
      <c r="AI136" s="37"/>
      <c r="AJ136" s="37"/>
      <c r="AK136" s="37"/>
      <c r="AL136" s="37"/>
      <c r="AM136" s="37">
        <f>AVERAGE(AM14,AM15,AM16,AM17)</f>
        <v>0.2883945</v>
      </c>
      <c r="AN136" s="37"/>
      <c r="AO136" s="37"/>
      <c r="AP136" s="37"/>
      <c r="AQ136" s="37"/>
      <c r="AR136" s="37"/>
      <c r="AS136" s="37"/>
      <c r="AT136" s="37"/>
      <c r="AU136" s="37">
        <f t="shared" ref="AU136:AW136" si="8">AVERAGE(AU14,AU15,AU16,AU17)</f>
        <v>252.61</v>
      </c>
      <c r="AV136" s="37">
        <f t="shared" si="8"/>
        <v>4424.615</v>
      </c>
      <c r="AW136" s="37">
        <f t="shared" si="8"/>
        <v>0.16978775</v>
      </c>
      <c r="AX136" s="37"/>
      <c r="AY136" s="37"/>
      <c r="AZ136" s="37"/>
      <c r="BA136" s="37"/>
      <c r="BB136" s="37"/>
      <c r="BC136" s="37"/>
      <c r="BD136" s="37">
        <f>AVERAGE(BD14,BD15,BD16,BD17)</f>
        <v>40.8323</v>
      </c>
      <c r="BE136" s="37"/>
      <c r="BF136" s="37"/>
      <c r="BG136" s="37"/>
      <c r="BH136" s="37"/>
      <c r="BI136" s="37"/>
      <c r="BJ136" s="37"/>
      <c r="BK136" s="37"/>
      <c r="BL136" s="37"/>
    </row>
    <row r="137" ht="15.75" customHeight="1">
      <c r="A137" s="35" t="s">
        <v>94</v>
      </c>
      <c r="B137" s="35" t="s">
        <v>57</v>
      </c>
      <c r="C137" s="37">
        <f>AVERAGE(C18:C21)</f>
        <v>10677.1475</v>
      </c>
      <c r="D137" s="37"/>
      <c r="E137" s="37"/>
      <c r="F137" s="37"/>
      <c r="G137" s="37"/>
      <c r="H137" s="37"/>
      <c r="I137" s="37"/>
      <c r="J137" s="37">
        <f t="shared" ref="J137:K137" si="9">AVERAGE(J18:J21)</f>
        <v>2683747.5</v>
      </c>
      <c r="K137" s="37">
        <f t="shared" si="9"/>
        <v>0.24710525</v>
      </c>
      <c r="L137" s="37"/>
      <c r="M137" s="37"/>
      <c r="N137" s="37"/>
      <c r="O137" s="37"/>
      <c r="P137" s="37"/>
      <c r="Q137" s="37"/>
      <c r="R137" s="37">
        <f>AVERAGE(R18:R21)</f>
        <v>88.13545</v>
      </c>
      <c r="S137" s="37"/>
      <c r="T137" s="37"/>
      <c r="U137" s="37"/>
      <c r="V137" s="37"/>
      <c r="W137" s="37"/>
      <c r="X137" s="37"/>
      <c r="Y137" s="37">
        <f>AVERAGE(Y18:Y21)</f>
        <v>8.256235</v>
      </c>
      <c r="Z137" s="37"/>
      <c r="AA137" s="37"/>
      <c r="AB137" s="37"/>
      <c r="AC137" s="37"/>
      <c r="AD137" s="37"/>
      <c r="AE137" s="37"/>
      <c r="AF137" s="37">
        <f>AVERAGE(AF18:AF21)</f>
        <v>0.49944925</v>
      </c>
      <c r="AG137" s="37"/>
      <c r="AH137" s="37"/>
      <c r="AI137" s="37"/>
      <c r="AJ137" s="37"/>
      <c r="AK137" s="37"/>
      <c r="AL137" s="37"/>
      <c r="AM137" s="37">
        <f>AVERAGE(AM18:AM21)</f>
        <v>0.2451205</v>
      </c>
      <c r="AN137" s="37"/>
      <c r="AO137" s="37"/>
      <c r="AP137" s="37"/>
      <c r="AQ137" s="37"/>
      <c r="AR137" s="37"/>
      <c r="AS137" s="37"/>
      <c r="AT137" s="37"/>
      <c r="AU137" s="37">
        <f t="shared" ref="AU137:AW137" si="10">AVERAGE(AU18:AU21)</f>
        <v>253.92975</v>
      </c>
      <c r="AV137" s="37">
        <f t="shared" si="10"/>
        <v>7168.6775</v>
      </c>
      <c r="AW137" s="37">
        <f t="shared" si="10"/>
        <v>0.130851</v>
      </c>
      <c r="AX137" s="37"/>
      <c r="AY137" s="37"/>
      <c r="AZ137" s="37"/>
      <c r="BA137" s="37"/>
      <c r="BB137" s="37"/>
      <c r="BC137" s="37"/>
      <c r="BD137" s="37">
        <f>AVERAGE(BD18:BD21)</f>
        <v>39.180675</v>
      </c>
      <c r="BE137" s="37"/>
      <c r="BF137" s="37"/>
      <c r="BG137" s="37"/>
      <c r="BH137" s="37"/>
      <c r="BI137" s="37"/>
      <c r="BJ137" s="37"/>
      <c r="BK137" s="37"/>
      <c r="BL137" s="37"/>
    </row>
    <row r="138" ht="15.75" customHeight="1">
      <c r="A138" s="35" t="s">
        <v>111</v>
      </c>
      <c r="B138" s="35" t="s">
        <v>57</v>
      </c>
      <c r="C138" s="37">
        <f>AVERAGE(C22:C25)</f>
        <v>10937.715</v>
      </c>
      <c r="D138" s="37"/>
      <c r="E138" s="37"/>
      <c r="F138" s="37"/>
      <c r="G138" s="37"/>
      <c r="H138" s="37"/>
      <c r="I138" s="37"/>
      <c r="J138" s="37">
        <f t="shared" ref="J138:K138" si="11">AVERAGE(J22:J25)</f>
        <v>2720090</v>
      </c>
      <c r="K138" s="37">
        <f t="shared" si="11"/>
        <v>0.25907425</v>
      </c>
      <c r="L138" s="37"/>
      <c r="M138" s="37"/>
      <c r="N138" s="37"/>
      <c r="O138" s="37"/>
      <c r="P138" s="37"/>
      <c r="Q138" s="37"/>
      <c r="R138" s="37">
        <f>AVERAGE(R22:R25)</f>
        <v>89.5467</v>
      </c>
      <c r="S138" s="37"/>
      <c r="T138" s="37"/>
      <c r="U138" s="37"/>
      <c r="V138" s="37"/>
      <c r="W138" s="37"/>
      <c r="X138" s="37"/>
      <c r="Y138" s="37">
        <f>AVERAGE(Y22:Y25)</f>
        <v>8.595445</v>
      </c>
      <c r="Z138" s="37"/>
      <c r="AA138" s="37"/>
      <c r="AB138" s="37"/>
      <c r="AC138" s="37"/>
      <c r="AD138" s="37"/>
      <c r="AE138" s="37"/>
      <c r="AF138" s="37">
        <f>AVERAGE(AF22:AF25)</f>
        <v>0.51015575</v>
      </c>
      <c r="AG138" s="37"/>
      <c r="AH138" s="37"/>
      <c r="AI138" s="37"/>
      <c r="AJ138" s="37"/>
      <c r="AK138" s="37"/>
      <c r="AL138" s="37"/>
      <c r="AM138" s="37">
        <f>AVERAGE(AM22:AM25)</f>
        <v>0.24107925</v>
      </c>
      <c r="AN138" s="37"/>
      <c r="AO138" s="37"/>
      <c r="AP138" s="37"/>
      <c r="AQ138" s="37"/>
      <c r="AR138" s="37"/>
      <c r="AS138" s="37"/>
      <c r="AT138" s="37"/>
      <c r="AU138" s="37">
        <f t="shared" ref="AU138:AW138" si="12">AVERAGE(AU22:AU25)</f>
        <v>248.635</v>
      </c>
      <c r="AV138" s="37">
        <f t="shared" si="12"/>
        <v>7457.2975</v>
      </c>
      <c r="AW138" s="37">
        <f t="shared" si="12"/>
        <v>0.12495725</v>
      </c>
      <c r="AX138" s="37"/>
      <c r="AY138" s="37"/>
      <c r="AZ138" s="37"/>
      <c r="BA138" s="37"/>
      <c r="BB138" s="37"/>
      <c r="BC138" s="37"/>
      <c r="BD138" s="37">
        <f>AVERAGE(BD22:BD25)</f>
        <v>39.47295</v>
      </c>
      <c r="BE138" s="37"/>
      <c r="BF138" s="37"/>
      <c r="BG138" s="37"/>
      <c r="BH138" s="37"/>
      <c r="BI138" s="37"/>
      <c r="BJ138" s="37"/>
      <c r="BK138" s="37"/>
      <c r="BL138" s="37"/>
    </row>
    <row r="139" ht="15.75" customHeight="1">
      <c r="A139" s="35" t="s">
        <v>112</v>
      </c>
      <c r="B139" s="35" t="s">
        <v>57</v>
      </c>
      <c r="C139" s="37">
        <f>AVERAGE(C26:C29)</f>
        <v>11915.9675</v>
      </c>
      <c r="D139" s="37"/>
      <c r="E139" s="37"/>
      <c r="F139" s="37"/>
      <c r="G139" s="37"/>
      <c r="H139" s="37"/>
      <c r="I139" s="37"/>
      <c r="J139" s="37">
        <f t="shared" ref="J139:K139" si="13">AVERAGE(J26:J29)</f>
        <v>3179310</v>
      </c>
      <c r="K139" s="37">
        <f t="shared" si="13"/>
        <v>0.24658075</v>
      </c>
      <c r="L139" s="37"/>
      <c r="M139" s="37"/>
      <c r="N139" s="37"/>
      <c r="O139" s="37"/>
      <c r="P139" s="37"/>
      <c r="Q139" s="37"/>
      <c r="R139" s="37">
        <f>AVERAGE(R26:R29)</f>
        <v>88.040875</v>
      </c>
      <c r="S139" s="37"/>
      <c r="T139" s="37"/>
      <c r="U139" s="37"/>
      <c r="V139" s="37"/>
      <c r="W139" s="37"/>
      <c r="X139" s="37"/>
      <c r="Y139" s="37">
        <f>AVERAGE(Y26:Y29)</f>
        <v>8.508385</v>
      </c>
      <c r="Z139" s="37"/>
      <c r="AA139" s="37"/>
      <c r="AB139" s="37"/>
      <c r="AC139" s="37"/>
      <c r="AD139" s="37"/>
      <c r="AE139" s="37"/>
      <c r="AF139" s="37">
        <f>AVERAGE(AF26:AF29)</f>
        <v>0.495066</v>
      </c>
      <c r="AG139" s="37"/>
      <c r="AH139" s="37"/>
      <c r="AI139" s="37"/>
      <c r="AJ139" s="37"/>
      <c r="AK139" s="37"/>
      <c r="AL139" s="37"/>
      <c r="AM139" s="37">
        <f>AVERAGE(AM26:AM29)</f>
        <v>0.24468575</v>
      </c>
      <c r="AN139" s="37"/>
      <c r="AO139" s="37"/>
      <c r="AP139" s="37"/>
      <c r="AQ139" s="37"/>
      <c r="AR139" s="37"/>
      <c r="AS139" s="37"/>
      <c r="AT139" s="37"/>
      <c r="AU139" s="37">
        <f t="shared" ref="AU139:AW139" si="14">AVERAGE(AU26:AU29)</f>
        <v>269.715</v>
      </c>
      <c r="AV139" s="37">
        <f t="shared" si="14"/>
        <v>7978.5275</v>
      </c>
      <c r="AW139" s="37">
        <f t="shared" si="14"/>
        <v>0.13184975</v>
      </c>
      <c r="AX139" s="37"/>
      <c r="AY139" s="37"/>
      <c r="AZ139" s="37"/>
      <c r="BA139" s="37"/>
      <c r="BB139" s="37"/>
      <c r="BC139" s="37"/>
      <c r="BD139" s="37">
        <f>AVERAGE(BD26:BD29)</f>
        <v>39.074925</v>
      </c>
      <c r="BE139" s="37"/>
      <c r="BF139" s="37"/>
      <c r="BG139" s="37"/>
      <c r="BH139" s="37"/>
      <c r="BI139" s="37"/>
      <c r="BJ139" s="37"/>
      <c r="BK139" s="37"/>
      <c r="BL139" s="37"/>
    </row>
    <row r="140" ht="15.75" customHeight="1">
      <c r="A140" s="35" t="s">
        <v>113</v>
      </c>
      <c r="B140" s="35" t="s">
        <v>57</v>
      </c>
      <c r="C140" s="37">
        <f>AVERAGE(C30:C33)</f>
        <v>12293.145</v>
      </c>
      <c r="D140" s="37"/>
      <c r="E140" s="37"/>
      <c r="F140" s="37"/>
      <c r="G140" s="37"/>
      <c r="H140" s="37"/>
      <c r="I140" s="37"/>
      <c r="J140" s="37">
        <f t="shared" ref="J140:K140" si="15">AVERAGE(J30:J33)</f>
        <v>3499712.5</v>
      </c>
      <c r="K140" s="37">
        <f t="shared" si="15"/>
        <v>0.23902525</v>
      </c>
      <c r="L140" s="37"/>
      <c r="M140" s="37"/>
      <c r="N140" s="37"/>
      <c r="O140" s="37"/>
      <c r="P140" s="37"/>
      <c r="Q140" s="37"/>
      <c r="R140" s="37">
        <f>AVERAGE(R30:R33)</f>
        <v>87.38275</v>
      </c>
      <c r="S140" s="37"/>
      <c r="T140" s="37"/>
      <c r="U140" s="37"/>
      <c r="V140" s="37"/>
      <c r="W140" s="37"/>
      <c r="X140" s="37"/>
      <c r="Y140" s="37">
        <f>AVERAGE(Y30:Y33)</f>
        <v>8.8345425</v>
      </c>
      <c r="Z140" s="37"/>
      <c r="AA140" s="37"/>
      <c r="AB140" s="37"/>
      <c r="AC140" s="37"/>
      <c r="AD140" s="37"/>
      <c r="AE140" s="37"/>
      <c r="AF140" s="37">
        <f>AVERAGE(AF30:AF33)</f>
        <v>0.47833525</v>
      </c>
      <c r="AG140" s="37"/>
      <c r="AH140" s="37"/>
      <c r="AI140" s="37"/>
      <c r="AJ140" s="37"/>
      <c r="AK140" s="37"/>
      <c r="AL140" s="37"/>
      <c r="AM140" s="37">
        <f>AVERAGE(AM30:AM33)</f>
        <v>0.24109075</v>
      </c>
      <c r="AN140" s="37"/>
      <c r="AO140" s="37"/>
      <c r="AP140" s="37"/>
      <c r="AQ140" s="37"/>
      <c r="AR140" s="37"/>
      <c r="AS140" s="37"/>
      <c r="AT140" s="37"/>
      <c r="AU140" s="37">
        <f t="shared" ref="AU140:AW140" si="16">AVERAGE(AU30:AU33)</f>
        <v>288.149</v>
      </c>
      <c r="AV140" s="37">
        <f t="shared" si="16"/>
        <v>8132.2225</v>
      </c>
      <c r="AW140" s="37">
        <f t="shared" si="16"/>
        <v>0.13601175</v>
      </c>
      <c r="AX140" s="37"/>
      <c r="AY140" s="37"/>
      <c r="AZ140" s="37"/>
      <c r="BA140" s="37"/>
      <c r="BB140" s="37"/>
      <c r="BC140" s="37"/>
      <c r="BD140" s="37">
        <f>AVERAGE(BD30:BD33)</f>
        <v>38.223725</v>
      </c>
      <c r="BE140" s="37"/>
      <c r="BF140" s="37"/>
      <c r="BG140" s="37"/>
      <c r="BH140" s="37"/>
      <c r="BI140" s="37"/>
      <c r="BJ140" s="37"/>
      <c r="BK140" s="37"/>
      <c r="BL140" s="37"/>
    </row>
    <row r="141" ht="15.75" customHeight="1">
      <c r="A141" s="35" t="s">
        <v>94</v>
      </c>
      <c r="B141" s="35" t="s">
        <v>59</v>
      </c>
      <c r="C141" s="37">
        <f>AVERAGE(C34:C37)</f>
        <v>17518.8</v>
      </c>
      <c r="D141" s="37"/>
      <c r="E141" s="37"/>
      <c r="F141" s="37"/>
      <c r="G141" s="37"/>
      <c r="H141" s="37"/>
      <c r="I141" s="37"/>
      <c r="J141" s="37">
        <f t="shared" ref="J141:K141" si="17">AVERAGE(J34:J37)</f>
        <v>5661035</v>
      </c>
      <c r="K141" s="37">
        <f t="shared" si="17"/>
        <v>0.2059805</v>
      </c>
      <c r="L141" s="37"/>
      <c r="M141" s="37"/>
      <c r="N141" s="37"/>
      <c r="O141" s="37"/>
      <c r="P141" s="37"/>
      <c r="Q141" s="37"/>
      <c r="R141" s="37">
        <f>AVERAGE(R34:R37)</f>
        <v>93.876375</v>
      </c>
      <c r="S141" s="37"/>
      <c r="T141" s="37"/>
      <c r="U141" s="37"/>
      <c r="V141" s="37"/>
      <c r="W141" s="37"/>
      <c r="X141" s="37"/>
      <c r="Y141" s="37">
        <f>AVERAGE(Y34:Y37)</f>
        <v>6.1392925</v>
      </c>
      <c r="Z141" s="37"/>
      <c r="AA141" s="37"/>
      <c r="AB141" s="37"/>
      <c r="AC141" s="37"/>
      <c r="AD141" s="37"/>
      <c r="AE141" s="37"/>
      <c r="AF141" s="37">
        <f>AVERAGE(AF34:AF37)</f>
        <v>0.5726065</v>
      </c>
      <c r="AG141" s="37"/>
      <c r="AH141" s="37"/>
      <c r="AI141" s="37"/>
      <c r="AJ141" s="37"/>
      <c r="AK141" s="37"/>
      <c r="AL141" s="37"/>
      <c r="AM141" s="37">
        <f>AVERAGE(AM34:AM37)</f>
        <v>0.161238</v>
      </c>
      <c r="AN141" s="37"/>
      <c r="AO141" s="37"/>
      <c r="AP141" s="37"/>
      <c r="AQ141" s="37"/>
      <c r="AR141" s="37"/>
      <c r="AS141" s="37"/>
      <c r="AT141" s="37"/>
      <c r="AU141" s="37">
        <f t="shared" ref="AU141:AW141" si="18">AVERAGE(AU34:AU37)</f>
        <v>329.539</v>
      </c>
      <c r="AV141" s="37">
        <f t="shared" si="18"/>
        <v>11902.275</v>
      </c>
      <c r="AW141" s="37">
        <f t="shared" si="18"/>
        <v>0.076804225</v>
      </c>
      <c r="AX141" s="37"/>
      <c r="AY141" s="37"/>
      <c r="AZ141" s="37"/>
      <c r="BA141" s="37"/>
      <c r="BB141" s="37"/>
      <c r="BC141" s="37"/>
      <c r="BD141" s="37">
        <f>AVERAGE(BD34:BD37)</f>
        <v>31.814475</v>
      </c>
      <c r="BE141" s="37"/>
      <c r="BF141" s="37"/>
      <c r="BG141" s="37"/>
      <c r="BH141" s="37"/>
      <c r="BI141" s="37"/>
      <c r="BJ141" s="37"/>
      <c r="BK141" s="37"/>
      <c r="BL141" s="37"/>
    </row>
    <row r="142" ht="15.75" customHeight="1">
      <c r="A142" s="35" t="s">
        <v>111</v>
      </c>
      <c r="B142" s="35" t="s">
        <v>59</v>
      </c>
      <c r="C142" s="37">
        <f>AVERAGE(C38:C41)</f>
        <v>17725.625</v>
      </c>
      <c r="D142" s="37"/>
      <c r="E142" s="37"/>
      <c r="F142" s="37"/>
      <c r="G142" s="37"/>
      <c r="H142" s="37"/>
      <c r="I142" s="37"/>
      <c r="J142" s="37">
        <f t="shared" ref="J142:K142" si="19">AVERAGE(J38:J41)</f>
        <v>5769245</v>
      </c>
      <c r="K142" s="37">
        <f t="shared" si="19"/>
        <v>0.1992615</v>
      </c>
      <c r="L142" s="37"/>
      <c r="M142" s="37"/>
      <c r="N142" s="37"/>
      <c r="O142" s="37"/>
      <c r="P142" s="37"/>
      <c r="Q142" s="37"/>
      <c r="R142" s="37">
        <f>AVERAGE(R38:R41)</f>
        <v>91.355675</v>
      </c>
      <c r="S142" s="37"/>
      <c r="T142" s="37"/>
      <c r="U142" s="37"/>
      <c r="V142" s="37"/>
      <c r="W142" s="37"/>
      <c r="X142" s="37"/>
      <c r="Y142" s="37">
        <f>AVERAGE(Y38:Y41)</f>
        <v>6.6567875</v>
      </c>
      <c r="Z142" s="37"/>
      <c r="AA142" s="37"/>
      <c r="AB142" s="37"/>
      <c r="AC142" s="37"/>
      <c r="AD142" s="37"/>
      <c r="AE142" s="37"/>
      <c r="AF142" s="37">
        <f>AVERAGE(AF38:AF41)</f>
        <v>0.5413325</v>
      </c>
      <c r="AG142" s="37"/>
      <c r="AH142" s="37"/>
      <c r="AI142" s="37"/>
      <c r="AJ142" s="37"/>
      <c r="AK142" s="37"/>
      <c r="AL142" s="37"/>
      <c r="AM142" s="37">
        <f>AVERAGE(AM38:AM41)</f>
        <v>0.174662</v>
      </c>
      <c r="AN142" s="37"/>
      <c r="AO142" s="37"/>
      <c r="AP142" s="37"/>
      <c r="AQ142" s="37"/>
      <c r="AR142" s="37"/>
      <c r="AS142" s="37"/>
      <c r="AT142" s="37"/>
      <c r="AU142" s="37">
        <f t="shared" ref="AU142:AW142" si="20">AVERAGE(AU38:AU41)</f>
        <v>328.96075</v>
      </c>
      <c r="AV142" s="37">
        <f t="shared" si="20"/>
        <v>11547.6725</v>
      </c>
      <c r="AW142" s="37">
        <f t="shared" si="20"/>
        <v>0.090318825</v>
      </c>
      <c r="AX142" s="37"/>
      <c r="AY142" s="37"/>
      <c r="AZ142" s="37"/>
      <c r="BA142" s="37"/>
      <c r="BB142" s="37"/>
      <c r="BC142" s="37"/>
      <c r="BD142" s="37">
        <f>AVERAGE(BD38:BD41)</f>
        <v>31.88005</v>
      </c>
      <c r="BE142" s="37"/>
      <c r="BF142" s="37"/>
      <c r="BG142" s="37"/>
      <c r="BH142" s="37"/>
      <c r="BI142" s="37"/>
      <c r="BJ142" s="37"/>
      <c r="BK142" s="37"/>
      <c r="BL142" s="37"/>
    </row>
    <row r="143" ht="15.75" customHeight="1">
      <c r="A143" s="35" t="s">
        <v>112</v>
      </c>
      <c r="B143" s="35" t="s">
        <v>59</v>
      </c>
      <c r="C143" s="37">
        <f>AVERAGE(C42:C45)</f>
        <v>21497.75</v>
      </c>
      <c r="D143" s="37"/>
      <c r="E143" s="37"/>
      <c r="F143" s="37"/>
      <c r="G143" s="37"/>
      <c r="H143" s="37"/>
      <c r="I143" s="37"/>
      <c r="J143" s="37">
        <f t="shared" ref="J143:K143" si="21">AVERAGE(J42:J45)</f>
        <v>7662807.5</v>
      </c>
      <c r="K143" s="37">
        <f t="shared" si="21"/>
        <v>0.19851475</v>
      </c>
      <c r="L143" s="37"/>
      <c r="M143" s="37"/>
      <c r="N143" s="37"/>
      <c r="O143" s="37"/>
      <c r="P143" s="37"/>
      <c r="Q143" s="37"/>
      <c r="R143" s="37">
        <f>AVERAGE(R42:R45)</f>
        <v>94.55735</v>
      </c>
      <c r="S143" s="37"/>
      <c r="T143" s="37"/>
      <c r="U143" s="37"/>
      <c r="V143" s="37"/>
      <c r="W143" s="37"/>
      <c r="X143" s="37"/>
      <c r="Y143" s="37">
        <f>AVERAGE(Y42:Y45)</f>
        <v>6.17625</v>
      </c>
      <c r="Z143" s="37"/>
      <c r="AA143" s="37"/>
      <c r="AB143" s="37"/>
      <c r="AC143" s="37"/>
      <c r="AD143" s="37"/>
      <c r="AE143" s="37"/>
      <c r="AF143" s="37">
        <f>AVERAGE(AF42:AF45)</f>
        <v>0.56928125</v>
      </c>
      <c r="AG143" s="37"/>
      <c r="AH143" s="37"/>
      <c r="AI143" s="37"/>
      <c r="AJ143" s="37"/>
      <c r="AK143" s="37"/>
      <c r="AL143" s="37"/>
      <c r="AM143" s="37">
        <f>AVERAGE(AM42:AM45)</f>
        <v>0.15176</v>
      </c>
      <c r="AN143" s="37"/>
      <c r="AO143" s="37"/>
      <c r="AP143" s="37"/>
      <c r="AQ143" s="37"/>
      <c r="AR143" s="37"/>
      <c r="AS143" s="37"/>
      <c r="AT143" s="37"/>
      <c r="AU143" s="37">
        <f t="shared" ref="AU143:AW143" si="22">AVERAGE(AU42:AU45)</f>
        <v>365.06025</v>
      </c>
      <c r="AV143" s="37">
        <f t="shared" si="22"/>
        <v>14177.225</v>
      </c>
      <c r="AW143" s="37">
        <f t="shared" si="22"/>
        <v>0.0728525</v>
      </c>
      <c r="AX143" s="37"/>
      <c r="AY143" s="37"/>
      <c r="AZ143" s="37"/>
      <c r="BA143" s="37"/>
      <c r="BB143" s="37"/>
      <c r="BC143" s="37"/>
      <c r="BD143" s="37">
        <f>AVERAGE(BD42:BD45)</f>
        <v>30.613375</v>
      </c>
      <c r="BE143" s="37"/>
      <c r="BF143" s="37"/>
      <c r="BG143" s="37"/>
      <c r="BH143" s="37"/>
      <c r="BI143" s="37"/>
      <c r="BJ143" s="37"/>
      <c r="BK143" s="37"/>
      <c r="BL143" s="37"/>
    </row>
    <row r="144" ht="15.75" customHeight="1">
      <c r="A144" s="35" t="s">
        <v>113</v>
      </c>
      <c r="B144" s="35" t="s">
        <v>59</v>
      </c>
      <c r="C144" s="37">
        <f>AVERAGE(C46:C49)</f>
        <v>22204.85</v>
      </c>
      <c r="D144" s="37"/>
      <c r="E144" s="37"/>
      <c r="F144" s="37"/>
      <c r="G144" s="37"/>
      <c r="H144" s="37"/>
      <c r="I144" s="37"/>
      <c r="J144" s="37">
        <f t="shared" ref="J144:K144" si="23">AVERAGE(J46:J49)</f>
        <v>7885642.5</v>
      </c>
      <c r="K144" s="37">
        <f t="shared" si="23"/>
        <v>0.20103625</v>
      </c>
      <c r="L144" s="37"/>
      <c r="M144" s="37"/>
      <c r="N144" s="37"/>
      <c r="O144" s="37"/>
      <c r="P144" s="37"/>
      <c r="Q144" s="37"/>
      <c r="R144" s="37">
        <f>AVERAGE(R46:R49)</f>
        <v>93.64405</v>
      </c>
      <c r="S144" s="37"/>
      <c r="T144" s="37"/>
      <c r="U144" s="37"/>
      <c r="V144" s="37"/>
      <c r="W144" s="37"/>
      <c r="X144" s="37"/>
      <c r="Y144" s="37">
        <f>AVERAGE(Y46:Y49)</f>
        <v>6.2890975</v>
      </c>
      <c r="Z144" s="37"/>
      <c r="AA144" s="37"/>
      <c r="AB144" s="37"/>
      <c r="AC144" s="37"/>
      <c r="AD144" s="37"/>
      <c r="AE144" s="37"/>
      <c r="AF144" s="37">
        <f>AVERAGE(AF46:AF49)</f>
        <v>0.55914</v>
      </c>
      <c r="AG144" s="37"/>
      <c r="AH144" s="37"/>
      <c r="AI144" s="37"/>
      <c r="AJ144" s="37"/>
      <c r="AK144" s="37"/>
      <c r="AL144" s="37"/>
      <c r="AM144" s="37">
        <f>AVERAGE(AM46:AM49)</f>
        <v>0.15758675</v>
      </c>
      <c r="AN144" s="37"/>
      <c r="AO144" s="37"/>
      <c r="AP144" s="37"/>
      <c r="AQ144" s="37"/>
      <c r="AR144" s="37"/>
      <c r="AS144" s="37"/>
      <c r="AT144" s="37"/>
      <c r="AU144" s="37">
        <f t="shared" ref="AU144:AW144" si="24">AVERAGE(AU46:AU49)</f>
        <v>361.126</v>
      </c>
      <c r="AV144" s="37">
        <f t="shared" si="24"/>
        <v>14595.7</v>
      </c>
      <c r="AW144" s="37">
        <f t="shared" si="24"/>
        <v>0.07822735</v>
      </c>
      <c r="AX144" s="37"/>
      <c r="AY144" s="37"/>
      <c r="AZ144" s="37"/>
      <c r="BA144" s="37"/>
      <c r="BB144" s="37"/>
      <c r="BC144" s="37"/>
      <c r="BD144" s="37">
        <f>AVERAGE(BD46:BD49)</f>
        <v>31.03315</v>
      </c>
      <c r="BE144" s="37"/>
      <c r="BF144" s="37"/>
      <c r="BG144" s="37"/>
      <c r="BH144" s="37"/>
      <c r="BI144" s="37"/>
      <c r="BJ144" s="37"/>
      <c r="BK144" s="37"/>
      <c r="BL144" s="37"/>
    </row>
    <row r="145" ht="15.75" customHeight="1">
      <c r="A145" s="35" t="s">
        <v>94</v>
      </c>
      <c r="B145" s="35" t="s">
        <v>61</v>
      </c>
      <c r="C145" s="37">
        <f>AVERAGE(C50:C53)</f>
        <v>23375.05</v>
      </c>
      <c r="D145" s="37"/>
      <c r="E145" s="37"/>
      <c r="F145" s="37"/>
      <c r="G145" s="37"/>
      <c r="H145" s="37"/>
      <c r="I145" s="37"/>
      <c r="J145" s="37">
        <f t="shared" ref="J145:K145" si="25">AVERAGE(J50:J53)</f>
        <v>8148965</v>
      </c>
      <c r="K145" s="37">
        <f t="shared" si="25"/>
        <v>0.2087435</v>
      </c>
      <c r="L145" s="37"/>
      <c r="M145" s="37"/>
      <c r="N145" s="37"/>
      <c r="O145" s="37"/>
      <c r="P145" s="37"/>
      <c r="Q145" s="37"/>
      <c r="R145" s="37">
        <f>AVERAGE(R50:R53)</f>
        <v>94.562775</v>
      </c>
      <c r="S145" s="37"/>
      <c r="T145" s="37"/>
      <c r="U145" s="37"/>
      <c r="V145" s="37"/>
      <c r="W145" s="37"/>
      <c r="X145" s="37"/>
      <c r="Y145" s="37">
        <f>AVERAGE(Y50:Y53)</f>
        <v>6.78862</v>
      </c>
      <c r="Z145" s="37"/>
      <c r="AA145" s="37"/>
      <c r="AB145" s="37"/>
      <c r="AC145" s="37"/>
      <c r="AD145" s="37"/>
      <c r="AE145" s="37"/>
      <c r="AF145" s="37">
        <f>AVERAGE(AF50:AF53)</f>
        <v>0.5532295</v>
      </c>
      <c r="AG145" s="37"/>
      <c r="AH145" s="37"/>
      <c r="AI145" s="37"/>
      <c r="AJ145" s="37"/>
      <c r="AK145" s="37"/>
      <c r="AL145" s="37"/>
      <c r="AM145" s="37">
        <f>AVERAGE(AM50:AM53)</f>
        <v>0.153712</v>
      </c>
      <c r="AN145" s="37"/>
      <c r="AO145" s="37"/>
      <c r="AP145" s="37"/>
      <c r="AQ145" s="37"/>
      <c r="AR145" s="37"/>
      <c r="AS145" s="37"/>
      <c r="AT145" s="37"/>
      <c r="AU145" s="37">
        <f t="shared" ref="AU145:AW145" si="26">AVERAGE(AU50:AU53)</f>
        <v>356.1535</v>
      </c>
      <c r="AV145" s="37">
        <f t="shared" si="26"/>
        <v>15461.175</v>
      </c>
      <c r="AW145" s="37">
        <f t="shared" si="26"/>
        <v>0.0753529</v>
      </c>
      <c r="AX145" s="37"/>
      <c r="AY145" s="37"/>
      <c r="AZ145" s="37"/>
      <c r="BA145" s="37"/>
      <c r="BB145" s="37"/>
      <c r="BC145" s="37"/>
      <c r="BD145" s="37">
        <f>AVERAGE(BD50:BD53)</f>
        <v>31.0605</v>
      </c>
      <c r="BE145" s="37"/>
      <c r="BF145" s="37"/>
      <c r="BG145" s="37"/>
      <c r="BH145" s="37"/>
      <c r="BI145" s="37"/>
      <c r="BJ145" s="37"/>
      <c r="BK145" s="37"/>
      <c r="BL145" s="37"/>
    </row>
    <row r="146" ht="15.75" customHeight="1">
      <c r="A146" s="35" t="s">
        <v>111</v>
      </c>
      <c r="B146" s="35" t="s">
        <v>61</v>
      </c>
      <c r="C146" s="37">
        <f>AVERAGE(C54:C57)</f>
        <v>26270.15</v>
      </c>
      <c r="D146" s="37"/>
      <c r="E146" s="37"/>
      <c r="F146" s="37"/>
      <c r="G146" s="37"/>
      <c r="H146" s="37"/>
      <c r="I146" s="37"/>
      <c r="J146" s="37">
        <f t="shared" ref="J146:K146" si="27">AVERAGE(J54:J57)</f>
        <v>8874035</v>
      </c>
      <c r="K146" s="37">
        <f t="shared" si="27"/>
        <v>0.20973875</v>
      </c>
      <c r="L146" s="37"/>
      <c r="M146" s="37"/>
      <c r="N146" s="37"/>
      <c r="O146" s="37"/>
      <c r="P146" s="37"/>
      <c r="Q146" s="37"/>
      <c r="R146" s="37">
        <f>AVERAGE(R54:R57)</f>
        <v>93.887125</v>
      </c>
      <c r="S146" s="37"/>
      <c r="T146" s="37"/>
      <c r="U146" s="37"/>
      <c r="V146" s="37"/>
      <c r="W146" s="37"/>
      <c r="X146" s="37"/>
      <c r="Y146" s="37">
        <f>AVERAGE(Y54:Y57)</f>
        <v>6.8880875</v>
      </c>
      <c r="Z146" s="37"/>
      <c r="AA146" s="37"/>
      <c r="AB146" s="37"/>
      <c r="AC146" s="37"/>
      <c r="AD146" s="37"/>
      <c r="AE146" s="37"/>
      <c r="AF146" s="37">
        <f>AVERAGE(AF54:AF57)</f>
        <v>0.5496915</v>
      </c>
      <c r="AG146" s="37"/>
      <c r="AH146" s="37"/>
      <c r="AI146" s="37"/>
      <c r="AJ146" s="37"/>
      <c r="AK146" s="37"/>
      <c r="AL146" s="37"/>
      <c r="AM146" s="37">
        <f>AVERAGE(AM54:AM57)</f>
        <v>0.15904725</v>
      </c>
      <c r="AN146" s="37"/>
      <c r="AO146" s="37"/>
      <c r="AP146" s="37"/>
      <c r="AQ146" s="37"/>
      <c r="AR146" s="37"/>
      <c r="AS146" s="37"/>
      <c r="AT146" s="37"/>
      <c r="AU146" s="37">
        <f t="shared" ref="AU146:AW146" si="28">AVERAGE(AU54:AU57)</f>
        <v>348.777</v>
      </c>
      <c r="AV146" s="37">
        <f t="shared" si="28"/>
        <v>17804.925</v>
      </c>
      <c r="AW146" s="37">
        <f t="shared" si="28"/>
        <v>0.0810149</v>
      </c>
      <c r="AX146" s="37"/>
      <c r="AY146" s="37"/>
      <c r="AZ146" s="37"/>
      <c r="BA146" s="37"/>
      <c r="BB146" s="37"/>
      <c r="BC146" s="37"/>
      <c r="BD146" s="37">
        <f>AVERAGE(BD54:BD57)</f>
        <v>31.388075</v>
      </c>
      <c r="BE146" s="37"/>
      <c r="BF146" s="37"/>
      <c r="BG146" s="37"/>
      <c r="BH146" s="37"/>
      <c r="BI146" s="37"/>
      <c r="BJ146" s="37"/>
      <c r="BK146" s="37"/>
      <c r="BL146" s="37"/>
    </row>
    <row r="147" ht="15.75" customHeight="1">
      <c r="A147" s="35" t="s">
        <v>112</v>
      </c>
      <c r="B147" s="35" t="s">
        <v>61</v>
      </c>
      <c r="C147" s="37">
        <f>AVERAGE(C58:C61)</f>
        <v>22648.45</v>
      </c>
      <c r="D147" s="37"/>
      <c r="E147" s="37"/>
      <c r="F147" s="37"/>
      <c r="G147" s="37"/>
      <c r="H147" s="37"/>
      <c r="I147" s="37"/>
      <c r="J147" s="37">
        <f t="shared" ref="J147:K147" si="29">AVERAGE(J58:J61)</f>
        <v>8145790</v>
      </c>
      <c r="K147" s="37">
        <f t="shared" si="29"/>
        <v>0.2063845</v>
      </c>
      <c r="L147" s="37"/>
      <c r="M147" s="37"/>
      <c r="N147" s="37"/>
      <c r="O147" s="37"/>
      <c r="P147" s="37"/>
      <c r="Q147" s="37"/>
      <c r="R147" s="37">
        <f>AVERAGE(R58:R61)</f>
        <v>95.36985</v>
      </c>
      <c r="S147" s="37"/>
      <c r="T147" s="37"/>
      <c r="U147" s="37"/>
      <c r="V147" s="37"/>
      <c r="W147" s="37"/>
      <c r="X147" s="37"/>
      <c r="Y147" s="37">
        <f>AVERAGE(Y58:Y61)</f>
        <v>6.70908</v>
      </c>
      <c r="Z147" s="37"/>
      <c r="AA147" s="37"/>
      <c r="AB147" s="37"/>
      <c r="AC147" s="37"/>
      <c r="AD147" s="37"/>
      <c r="AE147" s="37"/>
      <c r="AF147" s="37">
        <f>AVERAGE(AF58:AF61)</f>
        <v>0.55261475</v>
      </c>
      <c r="AG147" s="37"/>
      <c r="AH147" s="37"/>
      <c r="AI147" s="37"/>
      <c r="AJ147" s="37"/>
      <c r="AK147" s="37"/>
      <c r="AL147" s="37"/>
      <c r="AM147" s="37">
        <f>AVERAGE(AM58:AM61)</f>
        <v>0.14549975</v>
      </c>
      <c r="AN147" s="37"/>
      <c r="AO147" s="37"/>
      <c r="AP147" s="37"/>
      <c r="AQ147" s="37"/>
      <c r="AR147" s="37"/>
      <c r="AS147" s="37"/>
      <c r="AT147" s="37"/>
      <c r="AU147" s="37">
        <f t="shared" ref="AU147:AW147" si="30">AVERAGE(AU58:AU61)</f>
        <v>369.2395</v>
      </c>
      <c r="AV147" s="37">
        <f t="shared" si="30"/>
        <v>15040.025</v>
      </c>
      <c r="AW147" s="37">
        <f t="shared" si="30"/>
        <v>0.0736887</v>
      </c>
      <c r="AX147" s="37"/>
      <c r="AY147" s="37"/>
      <c r="AZ147" s="37"/>
      <c r="BA147" s="37"/>
      <c r="BB147" s="37"/>
      <c r="BC147" s="37"/>
      <c r="BD147" s="37">
        <f>AVERAGE(BD58:BD61)</f>
        <v>30.3293</v>
      </c>
      <c r="BE147" s="37"/>
      <c r="BF147" s="37"/>
      <c r="BG147" s="37"/>
      <c r="BH147" s="37"/>
      <c r="BI147" s="37"/>
      <c r="BJ147" s="37"/>
      <c r="BK147" s="37"/>
      <c r="BL147" s="37"/>
    </row>
    <row r="148" ht="15.75" customHeight="1">
      <c r="A148" s="35" t="s">
        <v>113</v>
      </c>
      <c r="B148" s="35" t="s">
        <v>61</v>
      </c>
      <c r="C148" s="37">
        <f>AVERAGE(C62:C65)</f>
        <v>22067.525</v>
      </c>
      <c r="D148" s="37"/>
      <c r="E148" s="37"/>
      <c r="F148" s="37"/>
      <c r="G148" s="37"/>
      <c r="H148" s="37"/>
      <c r="I148" s="37"/>
      <c r="J148" s="37">
        <f t="shared" ref="J148:K148" si="31">AVERAGE(J62:J65)</f>
        <v>7234800</v>
      </c>
      <c r="K148" s="37">
        <f t="shared" si="31"/>
        <v>0.2071435</v>
      </c>
      <c r="L148" s="37"/>
      <c r="M148" s="37"/>
      <c r="N148" s="37"/>
      <c r="O148" s="37"/>
      <c r="P148" s="37"/>
      <c r="Q148" s="37"/>
      <c r="R148" s="37">
        <f>AVERAGE(R62:R65)</f>
        <v>94.461175</v>
      </c>
      <c r="S148" s="37"/>
      <c r="T148" s="37"/>
      <c r="U148" s="37"/>
      <c r="V148" s="37"/>
      <c r="W148" s="37"/>
      <c r="X148" s="37"/>
      <c r="Y148" s="37">
        <f>AVERAGE(Y62:Y65)</f>
        <v>6.78457</v>
      </c>
      <c r="Z148" s="37"/>
      <c r="AA148" s="37"/>
      <c r="AB148" s="37"/>
      <c r="AC148" s="37"/>
      <c r="AD148" s="37"/>
      <c r="AE148" s="37"/>
      <c r="AF148" s="37">
        <f>AVERAGE(AF62:AF65)</f>
        <v>0.545826</v>
      </c>
      <c r="AG148" s="37"/>
      <c r="AH148" s="37"/>
      <c r="AI148" s="37"/>
      <c r="AJ148" s="37"/>
      <c r="AK148" s="37"/>
      <c r="AL148" s="37"/>
      <c r="AM148" s="37">
        <f>AVERAGE(AM62:AM65)</f>
        <v>0.15544375</v>
      </c>
      <c r="AN148" s="37"/>
      <c r="AO148" s="37"/>
      <c r="AP148" s="37"/>
      <c r="AQ148" s="37"/>
      <c r="AR148" s="37"/>
      <c r="AS148" s="37"/>
      <c r="AT148" s="37"/>
      <c r="AU148" s="37">
        <f t="shared" ref="AU148:AW148" si="32">AVERAGE(AU62:AU65)</f>
        <v>337.10875</v>
      </c>
      <c r="AV148" s="37">
        <f t="shared" si="32"/>
        <v>14522.925</v>
      </c>
      <c r="AW148" s="37">
        <f t="shared" si="32"/>
        <v>0.07775785</v>
      </c>
      <c r="AX148" s="37"/>
      <c r="AY148" s="37"/>
      <c r="AZ148" s="37"/>
      <c r="BA148" s="37"/>
      <c r="BB148" s="37"/>
      <c r="BC148" s="37"/>
      <c r="BD148" s="37">
        <f>AVERAGE(BD62:BD65)</f>
        <v>31.143975</v>
      </c>
      <c r="BE148" s="37"/>
      <c r="BF148" s="37"/>
      <c r="BG148" s="37"/>
      <c r="BH148" s="37"/>
      <c r="BI148" s="37"/>
      <c r="BJ148" s="37"/>
      <c r="BK148" s="37"/>
      <c r="BL148" s="37"/>
    </row>
    <row r="149" ht="15.75" customHeight="1">
      <c r="A149" s="35" t="s">
        <v>94</v>
      </c>
      <c r="B149" s="35" t="s">
        <v>62</v>
      </c>
      <c r="C149" s="37">
        <f>AVERAGE(C66:C69)</f>
        <v>26096.175</v>
      </c>
      <c r="D149" s="37"/>
      <c r="E149" s="37"/>
      <c r="F149" s="37"/>
      <c r="G149" s="37"/>
      <c r="H149" s="37"/>
      <c r="I149" s="37"/>
      <c r="J149" s="37">
        <f t="shared" ref="J149:K149" si="33">AVERAGE(J66:J69)</f>
        <v>9443457.5</v>
      </c>
      <c r="K149" s="37">
        <f t="shared" si="33"/>
        <v>0.19521375</v>
      </c>
      <c r="L149" s="37"/>
      <c r="M149" s="37"/>
      <c r="N149" s="37"/>
      <c r="O149" s="37"/>
      <c r="P149" s="37"/>
      <c r="Q149" s="37"/>
      <c r="R149" s="37">
        <f>AVERAGE(R66:R69)</f>
        <v>93.82265</v>
      </c>
      <c r="S149" s="37"/>
      <c r="T149" s="37"/>
      <c r="U149" s="37"/>
      <c r="V149" s="37"/>
      <c r="W149" s="37"/>
      <c r="X149" s="37"/>
      <c r="Y149" s="37">
        <f>AVERAGE(Y66:Y69)</f>
        <v>6.5791625</v>
      </c>
      <c r="Z149" s="37"/>
      <c r="AA149" s="37"/>
      <c r="AB149" s="37"/>
      <c r="AC149" s="37"/>
      <c r="AD149" s="37"/>
      <c r="AE149" s="37"/>
      <c r="AF149" s="37">
        <f>AVERAGE(AF66:AF69)</f>
        <v>0.54739975</v>
      </c>
      <c r="AG149" s="37"/>
      <c r="AH149" s="37"/>
      <c r="AI149" s="37"/>
      <c r="AJ149" s="37"/>
      <c r="AK149" s="37"/>
      <c r="AL149" s="37"/>
      <c r="AM149" s="37">
        <f>AVERAGE(AM66:AM69)</f>
        <v>0.1540305</v>
      </c>
      <c r="AN149" s="37"/>
      <c r="AO149" s="37"/>
      <c r="AP149" s="37"/>
      <c r="AQ149" s="37"/>
      <c r="AR149" s="37"/>
      <c r="AS149" s="37"/>
      <c r="AT149" s="37"/>
      <c r="AU149" s="37">
        <f t="shared" ref="AU149:AW149" si="34">AVERAGE(AU66:AU69)</f>
        <v>369.606</v>
      </c>
      <c r="AV149" s="37">
        <f t="shared" si="34"/>
        <v>16916.75</v>
      </c>
      <c r="AW149" s="37">
        <f t="shared" si="34"/>
        <v>0.0784619</v>
      </c>
      <c r="AX149" s="37"/>
      <c r="AY149" s="37"/>
      <c r="AZ149" s="37"/>
      <c r="BA149" s="37"/>
      <c r="BB149" s="37"/>
      <c r="BC149" s="37"/>
      <c r="BD149" s="37">
        <f>AVERAGE(BD66:BD69)</f>
        <v>30.380075</v>
      </c>
      <c r="BE149" s="37"/>
      <c r="BF149" s="37"/>
      <c r="BG149" s="37"/>
      <c r="BH149" s="37"/>
      <c r="BI149" s="37"/>
      <c r="BJ149" s="37"/>
      <c r="BK149" s="37"/>
      <c r="BL149" s="37"/>
    </row>
    <row r="150" ht="15.75" customHeight="1">
      <c r="A150" s="35" t="s">
        <v>111</v>
      </c>
      <c r="B150" s="35" t="s">
        <v>62</v>
      </c>
      <c r="C150" s="37">
        <f>AVERAGE(C70:C73)</f>
        <v>25929.425</v>
      </c>
      <c r="D150" s="37"/>
      <c r="E150" s="37"/>
      <c r="F150" s="37"/>
      <c r="G150" s="37"/>
      <c r="H150" s="37"/>
      <c r="I150" s="37"/>
      <c r="J150" s="37">
        <f t="shared" ref="J150:K150" si="35">AVERAGE(J70:J73)</f>
        <v>9328765</v>
      </c>
      <c r="K150" s="37">
        <f t="shared" si="35"/>
        <v>0.199115</v>
      </c>
      <c r="L150" s="37"/>
      <c r="M150" s="37"/>
      <c r="N150" s="37"/>
      <c r="O150" s="37"/>
      <c r="P150" s="37"/>
      <c r="Q150" s="37"/>
      <c r="R150" s="37">
        <f>AVERAGE(R70:R73)</f>
        <v>94.984225</v>
      </c>
      <c r="S150" s="37"/>
      <c r="T150" s="37"/>
      <c r="U150" s="37"/>
      <c r="V150" s="37"/>
      <c r="W150" s="37"/>
      <c r="X150" s="37"/>
      <c r="Y150" s="37">
        <f>AVERAGE(Y70:Y73)</f>
        <v>6.4671325</v>
      </c>
      <c r="Z150" s="37"/>
      <c r="AA150" s="37"/>
      <c r="AB150" s="37"/>
      <c r="AC150" s="37"/>
      <c r="AD150" s="37"/>
      <c r="AE150" s="37"/>
      <c r="AF150" s="37">
        <f>AVERAGE(AF70:AF73)</f>
        <v>0.556274</v>
      </c>
      <c r="AG150" s="37"/>
      <c r="AH150" s="37"/>
      <c r="AI150" s="37"/>
      <c r="AJ150" s="37"/>
      <c r="AK150" s="37"/>
      <c r="AL150" s="37"/>
      <c r="AM150" s="37">
        <f>AVERAGE(AM70:AM73)</f>
        <v>0.147354</v>
      </c>
      <c r="AN150" s="37"/>
      <c r="AO150" s="37"/>
      <c r="AP150" s="37"/>
      <c r="AQ150" s="37"/>
      <c r="AR150" s="37"/>
      <c r="AS150" s="37"/>
      <c r="AT150" s="37"/>
      <c r="AU150" s="37">
        <f t="shared" ref="AU150:AW150" si="36">AVERAGE(AU70:AU73)</f>
        <v>372.854</v>
      </c>
      <c r="AV150" s="37">
        <f t="shared" si="36"/>
        <v>16976.75</v>
      </c>
      <c r="AW150" s="37">
        <f t="shared" si="36"/>
        <v>0.072776225</v>
      </c>
      <c r="AX150" s="37"/>
      <c r="AY150" s="37"/>
      <c r="AZ150" s="37"/>
      <c r="BA150" s="37"/>
      <c r="BB150" s="37"/>
      <c r="BC150" s="37"/>
      <c r="BD150" s="37">
        <f>AVERAGE(BD70:BD73)</f>
        <v>30.282625</v>
      </c>
      <c r="BE150" s="37"/>
      <c r="BF150" s="37"/>
      <c r="BG150" s="37"/>
      <c r="BH150" s="37"/>
      <c r="BI150" s="37"/>
      <c r="BJ150" s="37"/>
      <c r="BK150" s="37"/>
      <c r="BL150" s="37"/>
    </row>
    <row r="151" ht="15.75" customHeight="1">
      <c r="A151" s="35" t="s">
        <v>112</v>
      </c>
      <c r="B151" s="35" t="s">
        <v>62</v>
      </c>
      <c r="C151" s="37">
        <f>AVERAGE(C74:C77)</f>
        <v>20159.575</v>
      </c>
      <c r="D151" s="37"/>
      <c r="E151" s="37"/>
      <c r="F151" s="37"/>
      <c r="G151" s="37"/>
      <c r="H151" s="37"/>
      <c r="I151" s="37"/>
      <c r="J151" s="37">
        <f t="shared" ref="J151:K151" si="37">AVERAGE(J74:J77)</f>
        <v>6841332.5</v>
      </c>
      <c r="K151" s="37">
        <f t="shared" si="37"/>
        <v>0.188691</v>
      </c>
      <c r="L151" s="37"/>
      <c r="M151" s="37"/>
      <c r="N151" s="37"/>
      <c r="O151" s="37"/>
      <c r="P151" s="37"/>
      <c r="Q151" s="37"/>
      <c r="R151" s="37">
        <f>AVERAGE(R74:R77)</f>
        <v>93.060275</v>
      </c>
      <c r="S151" s="37"/>
      <c r="T151" s="37"/>
      <c r="U151" s="37"/>
      <c r="V151" s="37"/>
      <c r="W151" s="37"/>
      <c r="X151" s="37"/>
      <c r="Y151" s="37">
        <f>AVERAGE(Y74:Y77)</f>
        <v>6.4641475</v>
      </c>
      <c r="Z151" s="37"/>
      <c r="AA151" s="37"/>
      <c r="AB151" s="37"/>
      <c r="AC151" s="37"/>
      <c r="AD151" s="37"/>
      <c r="AE151" s="37"/>
      <c r="AF151" s="37">
        <f>AVERAGE(AF74:AF77)</f>
        <v>0.5492085</v>
      </c>
      <c r="AG151" s="37"/>
      <c r="AH151" s="37"/>
      <c r="AI151" s="37"/>
      <c r="AJ151" s="37"/>
      <c r="AK151" s="37"/>
      <c r="AL151" s="37"/>
      <c r="AM151" s="37">
        <f>AVERAGE(AM74:AM77)</f>
        <v>0.159447</v>
      </c>
      <c r="AN151" s="37"/>
      <c r="AO151" s="37"/>
      <c r="AP151" s="37"/>
      <c r="AQ151" s="37"/>
      <c r="AR151" s="37"/>
      <c r="AS151" s="37"/>
      <c r="AT151" s="37"/>
      <c r="AU151" s="37">
        <f t="shared" ref="AU151:AW151" si="38">AVERAGE(AU74:AU77)</f>
        <v>344.17175</v>
      </c>
      <c r="AV151" s="37">
        <f t="shared" si="38"/>
        <v>13342.55</v>
      </c>
      <c r="AW151" s="37">
        <f t="shared" si="38"/>
        <v>0.08143205</v>
      </c>
      <c r="AX151" s="37"/>
      <c r="AY151" s="37"/>
      <c r="AZ151" s="37"/>
      <c r="BA151" s="37"/>
      <c r="BB151" s="37"/>
      <c r="BC151" s="37"/>
      <c r="BD151" s="37">
        <f>AVERAGE(BD74:BD77)</f>
        <v>30.6959</v>
      </c>
      <c r="BE151" s="37"/>
      <c r="BF151" s="37"/>
      <c r="BG151" s="37"/>
      <c r="BH151" s="37"/>
      <c r="BI151" s="37"/>
      <c r="BJ151" s="37"/>
      <c r="BK151" s="37"/>
      <c r="BL151" s="37"/>
    </row>
    <row r="152" ht="15.75" customHeight="1">
      <c r="A152" s="35" t="s">
        <v>113</v>
      </c>
      <c r="B152" s="35" t="s">
        <v>62</v>
      </c>
      <c r="C152" s="37">
        <f>AVERAGE(C78:C81)</f>
        <v>24252.55</v>
      </c>
      <c r="D152" s="37"/>
      <c r="E152" s="37"/>
      <c r="F152" s="37"/>
      <c r="G152" s="37"/>
      <c r="H152" s="37"/>
      <c r="I152" s="37"/>
      <c r="J152" s="37">
        <f t="shared" ref="J152:K152" si="39">AVERAGE(J78:J81)</f>
        <v>8531297.5</v>
      </c>
      <c r="K152" s="37">
        <f t="shared" si="39"/>
        <v>0.1943835</v>
      </c>
      <c r="L152" s="37"/>
      <c r="M152" s="37"/>
      <c r="N152" s="37"/>
      <c r="O152" s="37"/>
      <c r="P152" s="37"/>
      <c r="Q152" s="37"/>
      <c r="R152" s="37">
        <f>AVERAGE(R78:R81)</f>
        <v>93.386925</v>
      </c>
      <c r="S152" s="37"/>
      <c r="T152" s="37"/>
      <c r="U152" s="37"/>
      <c r="V152" s="37"/>
      <c r="W152" s="37"/>
      <c r="X152" s="37"/>
      <c r="Y152" s="37">
        <f>AVERAGE(Y78:Y81)</f>
        <v>6.7361875</v>
      </c>
      <c r="Z152" s="37"/>
      <c r="AA152" s="37"/>
      <c r="AB152" s="37"/>
      <c r="AC152" s="37"/>
      <c r="AD152" s="37"/>
      <c r="AE152" s="37"/>
      <c r="AF152" s="37">
        <f>AVERAGE(AF78:AF81)</f>
        <v>0.54077675</v>
      </c>
      <c r="AG152" s="37"/>
      <c r="AH152" s="37"/>
      <c r="AI152" s="37"/>
      <c r="AJ152" s="37"/>
      <c r="AK152" s="37"/>
      <c r="AL152" s="37"/>
      <c r="AM152" s="37">
        <f>AVERAGE(AM78:AM81)</f>
        <v>0.15533775</v>
      </c>
      <c r="AN152" s="37"/>
      <c r="AO152" s="37"/>
      <c r="AP152" s="37"/>
      <c r="AQ152" s="37"/>
      <c r="AR152" s="37"/>
      <c r="AS152" s="37"/>
      <c r="AT152" s="37"/>
      <c r="AU152" s="37">
        <f t="shared" ref="AU152:AW152" si="40">AVERAGE(AU78:AU81)</f>
        <v>358.487</v>
      </c>
      <c r="AV152" s="37">
        <f t="shared" si="40"/>
        <v>15251.7</v>
      </c>
      <c r="AW152" s="37">
        <f t="shared" si="40"/>
        <v>0.0812775</v>
      </c>
      <c r="AX152" s="37"/>
      <c r="AY152" s="37"/>
      <c r="AZ152" s="37"/>
      <c r="BA152" s="37"/>
      <c r="BB152" s="37"/>
      <c r="BC152" s="37"/>
      <c r="BD152" s="37">
        <f>AVERAGE(BD78:BD81)</f>
        <v>30.236725</v>
      </c>
      <c r="BE152" s="37"/>
      <c r="BF152" s="37"/>
      <c r="BG152" s="37"/>
      <c r="BH152" s="37"/>
      <c r="BI152" s="37"/>
      <c r="BJ152" s="37"/>
      <c r="BK152" s="37"/>
      <c r="BL152" s="37"/>
    </row>
    <row r="153" ht="15.75" customHeight="1">
      <c r="A153" s="35" t="s">
        <v>94</v>
      </c>
      <c r="B153" s="35" t="s">
        <v>64</v>
      </c>
      <c r="C153" s="37">
        <f>AVERAGE(C82:C85)</f>
        <v>24108.8</v>
      </c>
      <c r="D153" s="37"/>
      <c r="E153" s="37"/>
      <c r="F153" s="37"/>
      <c r="G153" s="37"/>
      <c r="H153" s="37"/>
      <c r="I153" s="37"/>
      <c r="J153" s="37">
        <f t="shared" ref="J153:K153" si="41">AVERAGE(J82:J85)</f>
        <v>8936127.5</v>
      </c>
      <c r="K153" s="37">
        <f t="shared" si="41"/>
        <v>0.209265</v>
      </c>
      <c r="L153" s="37"/>
      <c r="M153" s="37"/>
      <c r="N153" s="37"/>
      <c r="O153" s="37"/>
      <c r="P153" s="37"/>
      <c r="Q153" s="37"/>
      <c r="R153" s="37">
        <f>AVERAGE(R82:R85)</f>
        <v>94.52235</v>
      </c>
      <c r="S153" s="37"/>
      <c r="T153" s="37"/>
      <c r="U153" s="37"/>
      <c r="V153" s="37"/>
      <c r="W153" s="37"/>
      <c r="X153" s="37"/>
      <c r="Y153" s="37">
        <f>AVERAGE(Y82:Y85)</f>
        <v>6.817915</v>
      </c>
      <c r="Z153" s="37"/>
      <c r="AA153" s="37"/>
      <c r="AB153" s="37"/>
      <c r="AC153" s="37"/>
      <c r="AD153" s="37"/>
      <c r="AE153" s="37"/>
      <c r="AF153" s="37">
        <f>AVERAGE(AF82:AF85)</f>
        <v>0.54762825</v>
      </c>
      <c r="AG153" s="37"/>
      <c r="AH153" s="37"/>
      <c r="AI153" s="37"/>
      <c r="AJ153" s="37"/>
      <c r="AK153" s="37"/>
      <c r="AL153" s="37"/>
      <c r="AM153" s="37">
        <f>AVERAGE(AM82:AM85)</f>
        <v>0.16082375</v>
      </c>
      <c r="AN153" s="37"/>
      <c r="AO153" s="37"/>
      <c r="AP153" s="37"/>
      <c r="AQ153" s="37"/>
      <c r="AR153" s="37"/>
      <c r="AS153" s="37"/>
      <c r="AT153" s="37"/>
      <c r="AU153" s="37">
        <f t="shared" ref="AU153:AW153" si="42">AVERAGE(AU82:AU85)</f>
        <v>384.40125</v>
      </c>
      <c r="AV153" s="37">
        <f t="shared" si="42"/>
        <v>15622.5</v>
      </c>
      <c r="AW153" s="37">
        <f t="shared" si="42"/>
        <v>0.081635825</v>
      </c>
      <c r="AX153" s="37"/>
      <c r="AY153" s="37"/>
      <c r="AZ153" s="37"/>
      <c r="BA153" s="37"/>
      <c r="BB153" s="37"/>
      <c r="BC153" s="37"/>
      <c r="BD153" s="37">
        <f>AVERAGE(BD82:BD85)</f>
        <v>31.627925</v>
      </c>
      <c r="BE153" s="37"/>
      <c r="BF153" s="37"/>
      <c r="BG153" s="37"/>
      <c r="BH153" s="37"/>
      <c r="BI153" s="37"/>
      <c r="BJ153" s="37"/>
      <c r="BK153" s="37"/>
      <c r="BL153" s="37"/>
    </row>
    <row r="154" ht="15.75" customHeight="1">
      <c r="A154" s="35" t="s">
        <v>111</v>
      </c>
      <c r="B154" s="35" t="s">
        <v>64</v>
      </c>
      <c r="C154" s="37">
        <f>AVERAGE(C86:C89)</f>
        <v>27191.25</v>
      </c>
      <c r="D154" s="37"/>
      <c r="E154" s="37"/>
      <c r="F154" s="37"/>
      <c r="G154" s="37"/>
      <c r="H154" s="37"/>
      <c r="I154" s="37"/>
      <c r="J154" s="37">
        <f t="shared" ref="J154:K154" si="43">AVERAGE(J86:J89)</f>
        <v>10391077.5</v>
      </c>
      <c r="K154" s="37">
        <f t="shared" si="43"/>
        <v>0.20493225</v>
      </c>
      <c r="L154" s="37"/>
      <c r="M154" s="37"/>
      <c r="N154" s="37"/>
      <c r="O154" s="37"/>
      <c r="P154" s="37"/>
      <c r="Q154" s="37"/>
      <c r="R154" s="37">
        <f>AVERAGE(R86:R89)</f>
        <v>94.553975</v>
      </c>
      <c r="S154" s="37"/>
      <c r="T154" s="37"/>
      <c r="U154" s="37"/>
      <c r="V154" s="37"/>
      <c r="W154" s="37"/>
      <c r="X154" s="37"/>
      <c r="Y154" s="37">
        <f>AVERAGE(Y86:Y89)</f>
        <v>6.868945</v>
      </c>
      <c r="Z154" s="37"/>
      <c r="AA154" s="37"/>
      <c r="AB154" s="37"/>
      <c r="AC154" s="37"/>
      <c r="AD154" s="37"/>
      <c r="AE154" s="37"/>
      <c r="AF154" s="37">
        <f>AVERAGE(AF86:AF89)</f>
        <v>0.546601</v>
      </c>
      <c r="AG154" s="37"/>
      <c r="AH154" s="37"/>
      <c r="AI154" s="37"/>
      <c r="AJ154" s="37"/>
      <c r="AK154" s="37"/>
      <c r="AL154" s="37"/>
      <c r="AM154" s="37">
        <f>AVERAGE(AM86:AM89)</f>
        <v>0.15468475</v>
      </c>
      <c r="AN154" s="37"/>
      <c r="AO154" s="37"/>
      <c r="AP154" s="37"/>
      <c r="AQ154" s="37"/>
      <c r="AR154" s="37"/>
      <c r="AS154" s="37"/>
      <c r="AT154" s="37"/>
      <c r="AU154" s="37">
        <f t="shared" ref="AU154:AW154" si="44">AVERAGE(AU86:AU89)</f>
        <v>395.05075</v>
      </c>
      <c r="AV154" s="37">
        <f t="shared" si="44"/>
        <v>17512.45</v>
      </c>
      <c r="AW154" s="37">
        <f t="shared" si="44"/>
        <v>0.078682275</v>
      </c>
      <c r="AX154" s="37"/>
      <c r="AY154" s="37"/>
      <c r="AZ154" s="37"/>
      <c r="BA154" s="37"/>
      <c r="BB154" s="37"/>
      <c r="BC154" s="37"/>
      <c r="BD154" s="37">
        <f>AVERAGE(BD86:BD89)</f>
        <v>30.7811</v>
      </c>
      <c r="BE154" s="37"/>
      <c r="BF154" s="37"/>
      <c r="BG154" s="37"/>
      <c r="BH154" s="37"/>
      <c r="BI154" s="37"/>
      <c r="BJ154" s="37"/>
      <c r="BK154" s="37"/>
      <c r="BL154" s="37"/>
    </row>
    <row r="155" ht="15.75" customHeight="1">
      <c r="A155" s="35" t="s">
        <v>112</v>
      </c>
      <c r="B155" s="35" t="s">
        <v>64</v>
      </c>
      <c r="C155" s="37">
        <f>AVERAGE(C90:C93)</f>
        <v>26267.075</v>
      </c>
      <c r="D155" s="37"/>
      <c r="E155" s="37"/>
      <c r="F155" s="37"/>
      <c r="G155" s="37"/>
      <c r="H155" s="37"/>
      <c r="I155" s="37"/>
      <c r="J155" s="37">
        <f t="shared" ref="J155:K155" si="45">AVERAGE(J90:J93)</f>
        <v>10140845</v>
      </c>
      <c r="K155" s="37">
        <f t="shared" si="45"/>
        <v>0.1874555</v>
      </c>
      <c r="L155" s="37"/>
      <c r="M155" s="37"/>
      <c r="N155" s="37"/>
      <c r="O155" s="37"/>
      <c r="P155" s="37"/>
      <c r="Q155" s="37"/>
      <c r="R155" s="37">
        <f>AVERAGE(R90:R93)</f>
        <v>95.900425</v>
      </c>
      <c r="S155" s="37"/>
      <c r="T155" s="37"/>
      <c r="U155" s="37"/>
      <c r="V155" s="37"/>
      <c r="W155" s="37"/>
      <c r="X155" s="37"/>
      <c r="Y155" s="37">
        <f>AVERAGE(Y90:Y93)</f>
        <v>6.644475</v>
      </c>
      <c r="Z155" s="37"/>
      <c r="AA155" s="37"/>
      <c r="AB155" s="37"/>
      <c r="AC155" s="37"/>
      <c r="AD155" s="37"/>
      <c r="AE155" s="37"/>
      <c r="AF155" s="37">
        <f>AVERAGE(AF90:AF93)</f>
        <v>0.545149</v>
      </c>
      <c r="AG155" s="37"/>
      <c r="AH155" s="37"/>
      <c r="AI155" s="37"/>
      <c r="AJ155" s="37"/>
      <c r="AK155" s="37"/>
      <c r="AL155" s="37"/>
      <c r="AM155" s="37">
        <f>AVERAGE(AM90:AM93)</f>
        <v>0.1352705</v>
      </c>
      <c r="AN155" s="37"/>
      <c r="AO155" s="37"/>
      <c r="AP155" s="37"/>
      <c r="AQ155" s="37"/>
      <c r="AR155" s="37"/>
      <c r="AS155" s="37"/>
      <c r="AT155" s="37"/>
      <c r="AU155" s="37">
        <f t="shared" ref="AU155:AW155" si="46">AVERAGE(AU90:AU93)</f>
        <v>393.084</v>
      </c>
      <c r="AV155" s="37">
        <f t="shared" si="46"/>
        <v>16641.525</v>
      </c>
      <c r="AW155" s="37">
        <f t="shared" si="46"/>
        <v>0.0694735</v>
      </c>
      <c r="AX155" s="37"/>
      <c r="AY155" s="37"/>
      <c r="AZ155" s="37"/>
      <c r="BA155" s="37"/>
      <c r="BB155" s="37"/>
      <c r="BC155" s="37"/>
      <c r="BD155" s="37">
        <f>AVERAGE(BD90:BD93)</f>
        <v>28.738425</v>
      </c>
      <c r="BE155" s="37"/>
      <c r="BF155" s="37"/>
      <c r="BG155" s="37"/>
      <c r="BH155" s="37"/>
      <c r="BI155" s="37"/>
      <c r="BJ155" s="37"/>
      <c r="BK155" s="37"/>
      <c r="BL155" s="37"/>
    </row>
    <row r="156" ht="15.75" customHeight="1">
      <c r="A156" s="35" t="s">
        <v>113</v>
      </c>
      <c r="B156" s="35" t="s">
        <v>64</v>
      </c>
      <c r="C156" s="37">
        <f>AVERAGE(C94:C97)</f>
        <v>23737.3</v>
      </c>
      <c r="D156" s="37"/>
      <c r="E156" s="37"/>
      <c r="F156" s="37"/>
      <c r="G156" s="37"/>
      <c r="H156" s="37"/>
      <c r="I156" s="37"/>
      <c r="J156" s="37">
        <f t="shared" ref="J156:K156" si="47">AVERAGE(J94:J97)</f>
        <v>8740072.5</v>
      </c>
      <c r="K156" s="37">
        <f t="shared" si="47"/>
        <v>0.19848525</v>
      </c>
      <c r="L156" s="37"/>
      <c r="M156" s="37"/>
      <c r="N156" s="37"/>
      <c r="O156" s="37"/>
      <c r="P156" s="37"/>
      <c r="Q156" s="37"/>
      <c r="R156" s="37">
        <f>AVERAGE(R94:R97)</f>
        <v>94.160575</v>
      </c>
      <c r="S156" s="37"/>
      <c r="T156" s="37"/>
      <c r="U156" s="37"/>
      <c r="V156" s="37"/>
      <c r="W156" s="37"/>
      <c r="X156" s="37"/>
      <c r="Y156" s="37">
        <f>AVERAGE(Y94:Y97)</f>
        <v>7.06766</v>
      </c>
      <c r="Z156" s="37"/>
      <c r="AA156" s="37"/>
      <c r="AB156" s="37"/>
      <c r="AC156" s="37"/>
      <c r="AD156" s="37"/>
      <c r="AE156" s="37"/>
      <c r="AF156" s="37">
        <f>AVERAGE(AF94:AF97)</f>
        <v>0.53872925</v>
      </c>
      <c r="AG156" s="37"/>
      <c r="AH156" s="37"/>
      <c r="AI156" s="37"/>
      <c r="AJ156" s="37"/>
      <c r="AK156" s="37"/>
      <c r="AL156" s="37"/>
      <c r="AM156" s="37">
        <f>AVERAGE(AM94:AM97)</f>
        <v>0.15259125</v>
      </c>
      <c r="AN156" s="37"/>
      <c r="AO156" s="37"/>
      <c r="AP156" s="37"/>
      <c r="AQ156" s="37"/>
      <c r="AR156" s="37"/>
      <c r="AS156" s="37"/>
      <c r="AT156" s="37"/>
      <c r="AU156" s="37">
        <f t="shared" ref="AU156:AW156" si="48">AVERAGE(AU94:AU97)</f>
        <v>376.43425</v>
      </c>
      <c r="AV156" s="37">
        <f t="shared" si="48"/>
        <v>14967</v>
      </c>
      <c r="AW156" s="37">
        <f t="shared" si="48"/>
        <v>0.079692225</v>
      </c>
      <c r="AX156" s="37"/>
      <c r="AY156" s="37"/>
      <c r="AZ156" s="37"/>
      <c r="BA156" s="37"/>
      <c r="BB156" s="37"/>
      <c r="BC156" s="37"/>
      <c r="BD156" s="37">
        <f>AVERAGE(BD94:BD97)</f>
        <v>30.2171</v>
      </c>
      <c r="BE156" s="37"/>
      <c r="BF156" s="37"/>
      <c r="BG156" s="37"/>
      <c r="BH156" s="37"/>
      <c r="BI156" s="37"/>
      <c r="BJ156" s="37"/>
      <c r="BK156" s="37"/>
      <c r="BL156" s="37"/>
    </row>
    <row r="157" ht="15.75" customHeight="1">
      <c r="A157" s="35" t="s">
        <v>94</v>
      </c>
      <c r="B157" s="35" t="s">
        <v>66</v>
      </c>
      <c r="C157" s="37">
        <f>AVERAGE(C98:C101)</f>
        <v>33372.175</v>
      </c>
      <c r="D157" s="37"/>
      <c r="E157" s="37"/>
      <c r="F157" s="37"/>
      <c r="G157" s="37"/>
      <c r="H157" s="37"/>
      <c r="I157" s="37"/>
      <c r="J157" s="37">
        <f t="shared" ref="J157:K157" si="49">AVERAGE(J98:J101)</f>
        <v>13071725</v>
      </c>
      <c r="K157" s="37">
        <f t="shared" si="49"/>
        <v>0.20889075</v>
      </c>
      <c r="L157" s="37"/>
      <c r="M157" s="37"/>
      <c r="N157" s="37"/>
      <c r="O157" s="37"/>
      <c r="P157" s="37"/>
      <c r="Q157" s="37"/>
      <c r="R157" s="37">
        <f>AVERAGE(R98:R101)</f>
        <v>97.20835</v>
      </c>
      <c r="S157" s="37"/>
      <c r="T157" s="37"/>
      <c r="U157" s="37"/>
      <c r="V157" s="37"/>
      <c r="W157" s="37"/>
      <c r="X157" s="37"/>
      <c r="Y157" s="37">
        <f>AVERAGE(Y98:Y101)</f>
        <v>6.949355</v>
      </c>
      <c r="Z157" s="37"/>
      <c r="AA157" s="37"/>
      <c r="AB157" s="37"/>
      <c r="AC157" s="37"/>
      <c r="AD157" s="37"/>
      <c r="AE157" s="37"/>
      <c r="AF157" s="37">
        <f>AVERAGE(AF98:AF101)</f>
        <v>0.555966</v>
      </c>
      <c r="AG157" s="37"/>
      <c r="AH157" s="37"/>
      <c r="AI157" s="37"/>
      <c r="AJ157" s="37"/>
      <c r="AK157" s="37"/>
      <c r="AL157" s="37"/>
      <c r="AM157" s="37">
        <f>AVERAGE(AM98:AM101)</f>
        <v>0.13744325</v>
      </c>
      <c r="AN157" s="37"/>
      <c r="AO157" s="37"/>
      <c r="AP157" s="37"/>
      <c r="AQ157" s="37"/>
      <c r="AR157" s="37"/>
      <c r="AS157" s="37"/>
      <c r="AT157" s="37"/>
      <c r="AU157" s="37">
        <f t="shared" ref="AU157:AW157" si="50">AVERAGE(AU98:AU101)</f>
        <v>400.35075</v>
      </c>
      <c r="AV157" s="37">
        <f t="shared" si="50"/>
        <v>21548.4</v>
      </c>
      <c r="AW157" s="37">
        <f t="shared" si="50"/>
        <v>0.0676551</v>
      </c>
      <c r="AX157" s="37"/>
      <c r="AY157" s="37"/>
      <c r="AZ157" s="37"/>
      <c r="BA157" s="37"/>
      <c r="BB157" s="37"/>
      <c r="BC157" s="37"/>
      <c r="BD157" s="37">
        <f>AVERAGE(BD98:BD101)</f>
        <v>30.008625</v>
      </c>
      <c r="BE157" s="37"/>
      <c r="BF157" s="37"/>
      <c r="BG157" s="37"/>
      <c r="BH157" s="37"/>
      <c r="BI157" s="37"/>
      <c r="BJ157" s="37"/>
      <c r="BK157" s="37"/>
      <c r="BL157" s="37"/>
    </row>
    <row r="158" ht="15.75" customHeight="1">
      <c r="A158" s="35" t="s">
        <v>111</v>
      </c>
      <c r="B158" s="35" t="s">
        <v>66</v>
      </c>
      <c r="C158" s="37">
        <f>AVERAGE(C102:C105)</f>
        <v>29930.3</v>
      </c>
      <c r="D158" s="37"/>
      <c r="E158" s="37"/>
      <c r="F158" s="37"/>
      <c r="G158" s="37"/>
      <c r="H158" s="37"/>
      <c r="I158" s="37"/>
      <c r="J158" s="37">
        <f t="shared" ref="J158:K158" si="51">AVERAGE(J102:J105)</f>
        <v>11540575</v>
      </c>
      <c r="K158" s="37">
        <f t="shared" si="51"/>
        <v>0.2070165</v>
      </c>
      <c r="L158" s="37"/>
      <c r="M158" s="37"/>
      <c r="N158" s="37"/>
      <c r="O158" s="37"/>
      <c r="P158" s="37"/>
      <c r="Q158" s="37"/>
      <c r="R158" s="37">
        <f>AVERAGE(R102:R105)</f>
        <v>96.314675</v>
      </c>
      <c r="S158" s="37"/>
      <c r="T158" s="37"/>
      <c r="U158" s="37"/>
      <c r="V158" s="37"/>
      <c r="W158" s="37"/>
      <c r="X158" s="37"/>
      <c r="Y158" s="37">
        <f>AVERAGE(Y102:Y105)</f>
        <v>7.0965</v>
      </c>
      <c r="Z158" s="37"/>
      <c r="AA158" s="37"/>
      <c r="AB158" s="37"/>
      <c r="AC158" s="37"/>
      <c r="AD158" s="37"/>
      <c r="AE158" s="37"/>
      <c r="AF158" s="37">
        <f>AVERAGE(AF102:AF105)</f>
        <v>0.548638</v>
      </c>
      <c r="AG158" s="37"/>
      <c r="AH158" s="37"/>
      <c r="AI158" s="37"/>
      <c r="AJ158" s="37"/>
      <c r="AK158" s="37"/>
      <c r="AL158" s="37"/>
      <c r="AM158" s="37">
        <f>AVERAGE(AM102:AM105)</f>
        <v>0.141589</v>
      </c>
      <c r="AN158" s="37"/>
      <c r="AO158" s="37"/>
      <c r="AP158" s="37"/>
      <c r="AQ158" s="37"/>
      <c r="AR158" s="37"/>
      <c r="AS158" s="37"/>
      <c r="AT158" s="37"/>
      <c r="AU158" s="37">
        <f t="shared" ref="AU158:AW158" si="52">AVERAGE(AU102:AU105)</f>
        <v>392.28075</v>
      </c>
      <c r="AV158" s="37">
        <f t="shared" si="52"/>
        <v>19544.925</v>
      </c>
      <c r="AW158" s="37">
        <f t="shared" si="52"/>
        <v>0.071489725</v>
      </c>
      <c r="AX158" s="37"/>
      <c r="AY158" s="37"/>
      <c r="AZ158" s="37"/>
      <c r="BA158" s="37"/>
      <c r="BB158" s="37"/>
      <c r="BC158" s="37"/>
      <c r="BD158" s="37">
        <f>AVERAGE(BD102:BD105)</f>
        <v>30.08315</v>
      </c>
      <c r="BE158" s="37"/>
      <c r="BF158" s="37"/>
      <c r="BG158" s="37"/>
      <c r="BH158" s="37"/>
      <c r="BI158" s="37"/>
      <c r="BJ158" s="37"/>
      <c r="BK158" s="37"/>
      <c r="BL158" s="37"/>
    </row>
    <row r="159" ht="15.75" customHeight="1">
      <c r="A159" s="35" t="s">
        <v>112</v>
      </c>
      <c r="B159" s="35" t="s">
        <v>66</v>
      </c>
      <c r="C159" s="37">
        <f>AVERAGE(C106:C109)</f>
        <v>33688.025</v>
      </c>
      <c r="D159" s="37"/>
      <c r="E159" s="37"/>
      <c r="F159" s="37"/>
      <c r="G159" s="37"/>
      <c r="H159" s="37"/>
      <c r="I159" s="37"/>
      <c r="J159" s="37">
        <f t="shared" ref="J159:K159" si="53">AVERAGE(J106:J109)</f>
        <v>12493685</v>
      </c>
      <c r="K159" s="37">
        <f t="shared" si="53"/>
        <v>0.20317275</v>
      </c>
      <c r="L159" s="37"/>
      <c r="M159" s="37"/>
      <c r="N159" s="37"/>
      <c r="O159" s="37"/>
      <c r="P159" s="37"/>
      <c r="Q159" s="37"/>
      <c r="R159" s="37">
        <f>AVERAGE(R106:R109)</f>
        <v>95.618275</v>
      </c>
      <c r="S159" s="37"/>
      <c r="T159" s="37"/>
      <c r="U159" s="37"/>
      <c r="V159" s="37"/>
      <c r="W159" s="37"/>
      <c r="X159" s="37"/>
      <c r="Y159" s="37">
        <f>AVERAGE(Y106:Y109)</f>
        <v>7.2160875</v>
      </c>
      <c r="Z159" s="37"/>
      <c r="AA159" s="37"/>
      <c r="AB159" s="37"/>
      <c r="AC159" s="37"/>
      <c r="AD159" s="37"/>
      <c r="AE159" s="37"/>
      <c r="AF159" s="37">
        <f>AVERAGE(AF106:AF109)</f>
        <v>0.531403</v>
      </c>
      <c r="AG159" s="37"/>
      <c r="AH159" s="37"/>
      <c r="AI159" s="37"/>
      <c r="AJ159" s="37"/>
      <c r="AK159" s="37"/>
      <c r="AL159" s="37"/>
      <c r="AM159" s="37">
        <f>AVERAGE(AM106:AM109)</f>
        <v>0.14384225</v>
      </c>
      <c r="AN159" s="37"/>
      <c r="AO159" s="37"/>
      <c r="AP159" s="37"/>
      <c r="AQ159" s="37"/>
      <c r="AR159" s="37"/>
      <c r="AS159" s="37"/>
      <c r="AT159" s="37"/>
      <c r="AU159" s="37">
        <f t="shared" ref="AU159:AW159" si="54">AVERAGE(AU106:AU109)</f>
        <v>381.31</v>
      </c>
      <c r="AV159" s="37">
        <f t="shared" si="54"/>
        <v>21200.65</v>
      </c>
      <c r="AW159" s="37">
        <f t="shared" si="54"/>
        <v>0.07568405</v>
      </c>
      <c r="AX159" s="37"/>
      <c r="AY159" s="37"/>
      <c r="AZ159" s="37"/>
      <c r="BA159" s="37"/>
      <c r="BB159" s="37"/>
      <c r="BC159" s="37"/>
      <c r="BD159" s="37">
        <f>AVERAGE(BD106:BD109)</f>
        <v>30.042275</v>
      </c>
      <c r="BE159" s="37"/>
      <c r="BF159" s="37"/>
      <c r="BG159" s="37"/>
      <c r="BH159" s="37"/>
      <c r="BI159" s="37"/>
      <c r="BJ159" s="37"/>
      <c r="BK159" s="37"/>
      <c r="BL159" s="37"/>
    </row>
    <row r="160" ht="15.75" customHeight="1">
      <c r="A160" s="35" t="s">
        <v>113</v>
      </c>
      <c r="B160" s="35" t="s">
        <v>66</v>
      </c>
      <c r="C160" s="37">
        <f>AVERAGE(C110:C113)</f>
        <v>31253.95</v>
      </c>
      <c r="D160" s="37"/>
      <c r="E160" s="37"/>
      <c r="F160" s="37"/>
      <c r="G160" s="37"/>
      <c r="H160" s="37"/>
      <c r="I160" s="37"/>
      <c r="J160" s="37">
        <f t="shared" ref="J160:K160" si="55">AVERAGE(J110:J113)</f>
        <v>12411275</v>
      </c>
      <c r="K160" s="37">
        <f t="shared" si="55"/>
        <v>0.2078695</v>
      </c>
      <c r="L160" s="37"/>
      <c r="M160" s="37"/>
      <c r="N160" s="37"/>
      <c r="O160" s="37"/>
      <c r="P160" s="37"/>
      <c r="Q160" s="37"/>
      <c r="R160" s="37">
        <f>AVERAGE(R110:R113)</f>
        <v>96.382675</v>
      </c>
      <c r="S160" s="37"/>
      <c r="T160" s="37"/>
      <c r="U160" s="37"/>
      <c r="V160" s="37"/>
      <c r="W160" s="37"/>
      <c r="X160" s="37"/>
      <c r="Y160" s="37">
        <f>AVERAGE(Y110:Y113)</f>
        <v>6.9964225</v>
      </c>
      <c r="Z160" s="37"/>
      <c r="AA160" s="37"/>
      <c r="AB160" s="37"/>
      <c r="AC160" s="37"/>
      <c r="AD160" s="37"/>
      <c r="AE160" s="37"/>
      <c r="AF160" s="37">
        <f>AVERAGE(AF110:AF113)</f>
        <v>0.54649725</v>
      </c>
      <c r="AG160" s="37"/>
      <c r="AH160" s="37"/>
      <c r="AI160" s="37"/>
      <c r="AJ160" s="37"/>
      <c r="AK160" s="37"/>
      <c r="AL160" s="37"/>
      <c r="AM160" s="37">
        <f>AVERAGE(AM110:AM113)</f>
        <v>0.14076125</v>
      </c>
      <c r="AN160" s="37"/>
      <c r="AO160" s="37"/>
      <c r="AP160" s="37"/>
      <c r="AQ160" s="37"/>
      <c r="AR160" s="37"/>
      <c r="AS160" s="37"/>
      <c r="AT160" s="37"/>
      <c r="AU160" s="37">
        <f t="shared" ref="AU160:AW160" si="56">AVERAGE(AU110:AU113)</f>
        <v>401.774</v>
      </c>
      <c r="AV160" s="37">
        <f t="shared" si="56"/>
        <v>19996.45</v>
      </c>
      <c r="AW160" s="37">
        <f t="shared" si="56"/>
        <v>0.07237835</v>
      </c>
      <c r="AX160" s="37"/>
      <c r="AY160" s="37"/>
      <c r="AZ160" s="37"/>
      <c r="BA160" s="37"/>
      <c r="BB160" s="37"/>
      <c r="BC160" s="37"/>
      <c r="BD160" s="37">
        <f>AVERAGE(BD110:BD113)</f>
        <v>29.990825</v>
      </c>
      <c r="BE160" s="37"/>
      <c r="BF160" s="37"/>
      <c r="BG160" s="37"/>
      <c r="BH160" s="37"/>
      <c r="BI160" s="37"/>
      <c r="BJ160" s="37"/>
      <c r="BK160" s="37"/>
      <c r="BL160" s="37"/>
    </row>
    <row r="161" ht="15.75" customHeight="1">
      <c r="A161" s="35" t="s">
        <v>94</v>
      </c>
      <c r="B161" s="35" t="s">
        <v>67</v>
      </c>
      <c r="C161" s="37">
        <f>AVERAGE(C114:C117)</f>
        <v>21441.175</v>
      </c>
      <c r="D161" s="37"/>
      <c r="E161" s="37"/>
      <c r="F161" s="37"/>
      <c r="G161" s="37"/>
      <c r="H161" s="37"/>
      <c r="I161" s="37"/>
      <c r="J161" s="37">
        <f t="shared" ref="J161:K161" si="57">AVERAGE(J114:J117)</f>
        <v>7611892.5</v>
      </c>
      <c r="K161" s="37">
        <f t="shared" si="57"/>
        <v>0.1949825</v>
      </c>
      <c r="L161" s="37"/>
      <c r="M161" s="37"/>
      <c r="N161" s="37"/>
      <c r="O161" s="37"/>
      <c r="P161" s="37"/>
      <c r="Q161" s="37"/>
      <c r="R161" s="37">
        <f>AVERAGE(R114:R117)</f>
        <v>94.584275</v>
      </c>
      <c r="S161" s="37"/>
      <c r="T161" s="37"/>
      <c r="U161" s="37"/>
      <c r="V161" s="37"/>
      <c r="W161" s="37"/>
      <c r="X161" s="37"/>
      <c r="Y161" s="37">
        <f>AVERAGE(Y114:Y117)</f>
        <v>7.237525</v>
      </c>
      <c r="Z161" s="37"/>
      <c r="AA161" s="37"/>
      <c r="AB161" s="37"/>
      <c r="AC161" s="37"/>
      <c r="AD161" s="37"/>
      <c r="AE161" s="37"/>
      <c r="AF161" s="37">
        <f>AVERAGE(AF114:AF117)</f>
        <v>0.525172</v>
      </c>
      <c r="AG161" s="37"/>
      <c r="AH161" s="37"/>
      <c r="AI161" s="37"/>
      <c r="AJ161" s="37"/>
      <c r="AK161" s="37"/>
      <c r="AL161" s="37"/>
      <c r="AM161" s="37">
        <f>AVERAGE(AM114:AM117)</f>
        <v>0.14308475</v>
      </c>
      <c r="AN161" s="37"/>
      <c r="AO161" s="37"/>
      <c r="AP161" s="37"/>
      <c r="AQ161" s="37"/>
      <c r="AR161" s="37"/>
      <c r="AS161" s="37"/>
      <c r="AT161" s="37"/>
      <c r="AU161" s="37">
        <f t="shared" ref="AU161:AW161" si="58">AVERAGE(AU114:AU117)</f>
        <v>360.88175</v>
      </c>
      <c r="AV161" s="37">
        <f t="shared" si="58"/>
        <v>14056.1</v>
      </c>
      <c r="AW161" s="37">
        <f t="shared" si="58"/>
        <v>0.0781632</v>
      </c>
      <c r="AX161" s="37"/>
      <c r="AY161" s="37"/>
      <c r="AZ161" s="37"/>
      <c r="BA161" s="37"/>
      <c r="BB161" s="37"/>
      <c r="BC161" s="37"/>
      <c r="BD161" s="37">
        <f>AVERAGE(BD114:BD117)</f>
        <v>29.270075</v>
      </c>
      <c r="BE161" s="37"/>
      <c r="BF161" s="37"/>
      <c r="BG161" s="37"/>
      <c r="BH161" s="37"/>
      <c r="BI161" s="37"/>
      <c r="BJ161" s="37"/>
      <c r="BK161" s="37"/>
      <c r="BL161" s="37"/>
    </row>
    <row r="162" ht="15.75" customHeight="1">
      <c r="A162" s="35" t="s">
        <v>111</v>
      </c>
      <c r="B162" s="35" t="s">
        <v>67</v>
      </c>
      <c r="C162" s="37">
        <f>AVERAGE(C118:C121)</f>
        <v>30881.175</v>
      </c>
      <c r="D162" s="37"/>
      <c r="E162" s="37"/>
      <c r="F162" s="37"/>
      <c r="G162" s="37"/>
      <c r="H162" s="37"/>
      <c r="I162" s="37"/>
      <c r="J162" s="37">
        <f t="shared" ref="J162:K162" si="59">AVERAGE(J118:J121)</f>
        <v>10564440</v>
      </c>
      <c r="K162" s="37">
        <f t="shared" si="59"/>
        <v>0.20379425</v>
      </c>
      <c r="L162" s="37"/>
      <c r="M162" s="37"/>
      <c r="N162" s="37"/>
      <c r="O162" s="37"/>
      <c r="P162" s="37"/>
      <c r="Q162" s="37"/>
      <c r="R162" s="37">
        <f>AVERAGE(R118:R121)</f>
        <v>93.917475</v>
      </c>
      <c r="S162" s="37"/>
      <c r="T162" s="37"/>
      <c r="U162" s="37"/>
      <c r="V162" s="37"/>
      <c r="W162" s="37"/>
      <c r="X162" s="37"/>
      <c r="Y162" s="37">
        <f>AVERAGE(Y118:Y121)</f>
        <v>7.6959025</v>
      </c>
      <c r="Z162" s="37"/>
      <c r="AA162" s="37"/>
      <c r="AB162" s="37"/>
      <c r="AC162" s="37"/>
      <c r="AD162" s="37"/>
      <c r="AE162" s="37"/>
      <c r="AF162" s="37">
        <f>AVERAGE(AF118:AF121)</f>
        <v>0.5120325</v>
      </c>
      <c r="AG162" s="37"/>
      <c r="AH162" s="37"/>
      <c r="AI162" s="37"/>
      <c r="AJ162" s="37"/>
      <c r="AK162" s="37"/>
      <c r="AL162" s="37"/>
      <c r="AM162" s="37">
        <f>AVERAGE(AM118:AM121)</f>
        <v>0.15080775</v>
      </c>
      <c r="AN162" s="37"/>
      <c r="AO162" s="37"/>
      <c r="AP162" s="37"/>
      <c r="AQ162" s="37"/>
      <c r="AR162" s="37"/>
      <c r="AS162" s="37"/>
      <c r="AT162" s="37"/>
      <c r="AU162" s="37">
        <f t="shared" ref="AU162:AW162" si="60">AVERAGE(AU118:AU121)</f>
        <v>352.859</v>
      </c>
      <c r="AV162" s="37">
        <f t="shared" si="60"/>
        <v>18371.25</v>
      </c>
      <c r="AW162" s="37">
        <f t="shared" si="60"/>
        <v>0.08310725</v>
      </c>
      <c r="AX162" s="37"/>
      <c r="AY162" s="37"/>
      <c r="AZ162" s="37"/>
      <c r="BA162" s="37"/>
      <c r="BB162" s="37"/>
      <c r="BC162" s="37"/>
      <c r="BD162" s="37">
        <f>AVERAGE(BD118:BD121)</f>
        <v>30.0106</v>
      </c>
      <c r="BE162" s="37"/>
      <c r="BF162" s="37"/>
      <c r="BG162" s="37"/>
      <c r="BH162" s="37"/>
      <c r="BI162" s="37"/>
      <c r="BJ162" s="37"/>
      <c r="BK162" s="37"/>
      <c r="BL162" s="37"/>
    </row>
    <row r="163" ht="15.75" customHeight="1">
      <c r="A163" s="35" t="s">
        <v>112</v>
      </c>
      <c r="B163" s="35" t="s">
        <v>67</v>
      </c>
      <c r="C163" s="37">
        <f>AVERAGE(C122:C125)</f>
        <v>29570.05</v>
      </c>
      <c r="D163" s="37"/>
      <c r="E163" s="37"/>
      <c r="F163" s="37"/>
      <c r="G163" s="37"/>
      <c r="H163" s="37"/>
      <c r="I163" s="37"/>
      <c r="J163" s="37">
        <f t="shared" ref="J163:K163" si="61">AVERAGE(J122:J125)</f>
        <v>10188945</v>
      </c>
      <c r="K163" s="37">
        <f t="shared" si="61"/>
        <v>0.200508</v>
      </c>
      <c r="L163" s="37"/>
      <c r="M163" s="37"/>
      <c r="N163" s="37"/>
      <c r="O163" s="37"/>
      <c r="P163" s="37"/>
      <c r="Q163" s="37"/>
      <c r="R163" s="37">
        <f>AVERAGE(R122:R125)</f>
        <v>94.7792</v>
      </c>
      <c r="S163" s="37"/>
      <c r="T163" s="37"/>
      <c r="U163" s="37"/>
      <c r="V163" s="37"/>
      <c r="W163" s="37"/>
      <c r="X163" s="37"/>
      <c r="Y163" s="37">
        <f>AVERAGE(Y122:Y125)</f>
        <v>7.14239</v>
      </c>
      <c r="Z163" s="37"/>
      <c r="AA163" s="37"/>
      <c r="AB163" s="37"/>
      <c r="AC163" s="37"/>
      <c r="AD163" s="37"/>
      <c r="AE163" s="37"/>
      <c r="AF163" s="37">
        <f>AVERAGE(AF122:AF125)</f>
        <v>0.5326365</v>
      </c>
      <c r="AG163" s="37"/>
      <c r="AH163" s="37"/>
      <c r="AI163" s="37"/>
      <c r="AJ163" s="37"/>
      <c r="AK163" s="37"/>
      <c r="AL163" s="37"/>
      <c r="AM163" s="37">
        <f>AVERAGE(AM122:AM125)</f>
        <v>0.1470965</v>
      </c>
      <c r="AN163" s="37"/>
      <c r="AO163" s="37"/>
      <c r="AP163" s="37"/>
      <c r="AQ163" s="37"/>
      <c r="AR163" s="37"/>
      <c r="AS163" s="37"/>
      <c r="AT163" s="37"/>
      <c r="AU163" s="37">
        <f t="shared" ref="AU163:AW163" si="62">AVERAGE(AU122:AU125)</f>
        <v>356.6865</v>
      </c>
      <c r="AV163" s="37">
        <f t="shared" si="62"/>
        <v>18492.475</v>
      </c>
      <c r="AW163" s="37">
        <f t="shared" si="62"/>
        <v>0.076862525</v>
      </c>
      <c r="AX163" s="37"/>
      <c r="AY163" s="37"/>
      <c r="AZ163" s="37"/>
      <c r="BA163" s="37"/>
      <c r="BB163" s="37"/>
      <c r="BC163" s="37"/>
      <c r="BD163" s="37">
        <f>AVERAGE(BD122:BD125)</f>
        <v>29.87795</v>
      </c>
      <c r="BE163" s="37"/>
      <c r="BF163" s="37"/>
      <c r="BG163" s="37"/>
      <c r="BH163" s="37"/>
      <c r="BI163" s="37"/>
      <c r="BJ163" s="37"/>
      <c r="BK163" s="37"/>
      <c r="BL163" s="37"/>
    </row>
    <row r="164" ht="15.75" customHeight="1">
      <c r="A164" s="35" t="s">
        <v>113</v>
      </c>
      <c r="B164" s="35" t="s">
        <v>67</v>
      </c>
      <c r="C164" s="37">
        <f>AVERAGE(C126:C129)</f>
        <v>26543.925</v>
      </c>
      <c r="D164" s="37"/>
      <c r="E164" s="37"/>
      <c r="F164" s="37"/>
      <c r="G164" s="37"/>
      <c r="H164" s="37"/>
      <c r="I164" s="37"/>
      <c r="J164" s="37">
        <f t="shared" ref="J164:K164" si="63">AVERAGE(J126:J129)</f>
        <v>10207867.5</v>
      </c>
      <c r="K164" s="37">
        <f t="shared" si="63"/>
        <v>0.2003565</v>
      </c>
      <c r="L164" s="37"/>
      <c r="M164" s="37"/>
      <c r="N164" s="37"/>
      <c r="O164" s="37"/>
      <c r="P164" s="37"/>
      <c r="Q164" s="37"/>
      <c r="R164" s="37">
        <f>AVERAGE(R126:R129)</f>
        <v>94.101875</v>
      </c>
      <c r="S164" s="37"/>
      <c r="T164" s="37"/>
      <c r="U164" s="37"/>
      <c r="V164" s="37"/>
      <c r="W164" s="37"/>
      <c r="X164" s="37"/>
      <c r="Y164" s="37">
        <f>AVERAGE(Y126:Y129)</f>
        <v>7.159265</v>
      </c>
      <c r="Z164" s="37"/>
      <c r="AA164" s="37"/>
      <c r="AB164" s="37"/>
      <c r="AC164" s="37"/>
      <c r="AD164" s="37"/>
      <c r="AE164" s="37"/>
      <c r="AF164" s="37">
        <f>AVERAGE(AF126:AF129)</f>
        <v>0.527567</v>
      </c>
      <c r="AG164" s="37"/>
      <c r="AH164" s="37"/>
      <c r="AI164" s="37"/>
      <c r="AJ164" s="37"/>
      <c r="AK164" s="37"/>
      <c r="AL164" s="37"/>
      <c r="AM164" s="37">
        <f>AVERAGE(AM126:AM129)</f>
        <v>0.15232025</v>
      </c>
      <c r="AN164" s="37"/>
      <c r="AO164" s="37"/>
      <c r="AP164" s="37"/>
      <c r="AQ164" s="37"/>
      <c r="AR164" s="37"/>
      <c r="AS164" s="37"/>
      <c r="AT164" s="37"/>
      <c r="AU164" s="37">
        <f t="shared" ref="AU164:AW164" si="64">AVERAGE(AU126:AU129)</f>
        <v>389.7165</v>
      </c>
      <c r="AV164" s="37">
        <f t="shared" si="64"/>
        <v>16255.825</v>
      </c>
      <c r="AW164" s="37">
        <f t="shared" si="64"/>
        <v>0.0817383</v>
      </c>
      <c r="AX164" s="37"/>
      <c r="AY164" s="37"/>
      <c r="AZ164" s="37"/>
      <c r="BA164" s="37"/>
      <c r="BB164" s="37"/>
      <c r="BC164" s="37"/>
      <c r="BD164" s="37">
        <f>AVERAGE(BD126:BD129)</f>
        <v>30.006775</v>
      </c>
      <c r="BE164" s="37"/>
      <c r="BF164" s="37"/>
      <c r="BG164" s="37"/>
      <c r="BH164" s="37"/>
      <c r="BI164" s="37"/>
      <c r="BJ164" s="37"/>
      <c r="BK164" s="37"/>
      <c r="BL164" s="37"/>
    </row>
    <row r="165" ht="15.75" customHeight="1">
      <c r="A165" s="37"/>
      <c r="B165" s="37"/>
      <c r="C165" s="38"/>
      <c r="D165" s="37"/>
      <c r="E165" s="37"/>
      <c r="F165" s="37"/>
      <c r="G165" s="37"/>
      <c r="H165" s="37"/>
      <c r="I165" s="37"/>
      <c r="J165" s="38"/>
      <c r="K165" s="38"/>
      <c r="L165" s="37"/>
      <c r="M165" s="37"/>
      <c r="N165" s="37"/>
      <c r="O165" s="37"/>
      <c r="P165" s="37"/>
      <c r="Q165" s="37"/>
      <c r="R165" s="38"/>
      <c r="S165" s="37"/>
      <c r="T165" s="37"/>
      <c r="U165" s="37"/>
      <c r="V165" s="37"/>
      <c r="W165" s="37"/>
      <c r="X165" s="37"/>
      <c r="Y165" s="38"/>
      <c r="Z165" s="37"/>
      <c r="AA165" s="37"/>
      <c r="AB165" s="37"/>
      <c r="AC165" s="37"/>
      <c r="AD165" s="37"/>
      <c r="AE165" s="37"/>
      <c r="AF165" s="38"/>
      <c r="AG165" s="37"/>
      <c r="AH165" s="37"/>
      <c r="AI165" s="37"/>
      <c r="AJ165" s="37"/>
      <c r="AK165" s="37"/>
      <c r="AL165" s="37"/>
      <c r="AM165" s="38"/>
      <c r="AN165" s="37"/>
      <c r="AO165" s="37"/>
      <c r="AP165" s="37"/>
      <c r="AQ165" s="37"/>
      <c r="AR165" s="37"/>
      <c r="AS165" s="37"/>
      <c r="AT165" s="37"/>
      <c r="AU165" s="38"/>
      <c r="AV165" s="38"/>
      <c r="AW165" s="38"/>
      <c r="AX165" s="37"/>
      <c r="AY165" s="37"/>
      <c r="AZ165" s="37"/>
      <c r="BA165" s="37"/>
      <c r="BB165" s="37"/>
      <c r="BC165" s="37"/>
      <c r="BD165" s="38"/>
      <c r="BE165" s="37"/>
      <c r="BF165" s="37"/>
      <c r="BG165" s="37"/>
      <c r="BH165" s="37"/>
      <c r="BI165" s="37"/>
      <c r="BJ165" s="37"/>
      <c r="BK165" s="37"/>
      <c r="BL165" s="37"/>
    </row>
    <row r="166" ht="15.75" customHeight="1">
      <c r="A166" s="37"/>
      <c r="B166" s="35" t="s">
        <v>53</v>
      </c>
      <c r="C166" s="37">
        <f>(AVERAGE(C133:C136))</f>
        <v>6464.360625</v>
      </c>
      <c r="D166" s="37"/>
      <c r="E166" s="37"/>
      <c r="F166" s="37"/>
      <c r="G166" s="37"/>
      <c r="H166" s="37"/>
      <c r="I166" s="37"/>
      <c r="J166" s="37">
        <f t="shared" ref="J166:K166" si="65">(AVERAGE(J133:J136))</f>
        <v>1498410</v>
      </c>
      <c r="K166" s="37">
        <f t="shared" si="65"/>
        <v>0.231409875</v>
      </c>
      <c r="L166" s="37"/>
      <c r="M166" s="37"/>
      <c r="N166" s="37"/>
      <c r="O166" s="37"/>
      <c r="P166" s="37"/>
      <c r="Q166" s="37"/>
      <c r="R166" s="37">
        <f>(AVERAGE(R133:R136))</f>
        <v>80.98693125</v>
      </c>
      <c r="S166" s="37"/>
      <c r="T166" s="37"/>
      <c r="U166" s="37"/>
      <c r="V166" s="37"/>
      <c r="W166" s="37"/>
      <c r="X166" s="37"/>
      <c r="Y166" s="37">
        <f>(AVERAGE(Y133:Y136))</f>
        <v>9.649691875</v>
      </c>
      <c r="Z166" s="37"/>
      <c r="AA166" s="37"/>
      <c r="AB166" s="37"/>
      <c r="AC166" s="37"/>
      <c r="AD166" s="37"/>
      <c r="AE166" s="37"/>
      <c r="AF166" s="37">
        <f>(AVERAGE(AF133:AF136))</f>
        <v>0.431869625</v>
      </c>
      <c r="AG166" s="37"/>
      <c r="AH166" s="37"/>
      <c r="AI166" s="37"/>
      <c r="AJ166" s="37"/>
      <c r="AK166" s="37"/>
      <c r="AL166" s="37"/>
      <c r="AM166" s="37">
        <f>(AVERAGE(AM133:AM136))</f>
        <v>0.295914125</v>
      </c>
      <c r="AN166" s="37"/>
      <c r="AO166" s="37"/>
      <c r="AP166" s="37"/>
      <c r="AQ166" s="37"/>
      <c r="AR166" s="37"/>
      <c r="AS166" s="37"/>
      <c r="AT166" s="37"/>
      <c r="AU166" s="37">
        <f t="shared" ref="AU166:AW166" si="66">(AVERAGE(AU133:AU136))</f>
        <v>239.0329375</v>
      </c>
      <c r="AV166" s="37">
        <f t="shared" si="66"/>
        <v>4044.350625</v>
      </c>
      <c r="AW166" s="37">
        <f t="shared" si="66"/>
        <v>0.182019</v>
      </c>
      <c r="AX166" s="37"/>
      <c r="AY166" s="37"/>
      <c r="AZ166" s="37"/>
      <c r="BA166" s="37"/>
      <c r="BB166" s="37"/>
      <c r="BC166" s="37"/>
      <c r="BD166" s="37">
        <f>(AVERAGE(BD133:BD136))</f>
        <v>40.92953125</v>
      </c>
      <c r="BE166" s="37"/>
      <c r="BF166" s="37"/>
      <c r="BG166" s="37"/>
      <c r="BH166" s="37"/>
      <c r="BI166" s="37"/>
      <c r="BJ166" s="37"/>
      <c r="BK166" s="37"/>
      <c r="BL166" s="37"/>
    </row>
    <row r="167" ht="15.75" customHeight="1">
      <c r="A167" s="37"/>
      <c r="B167" s="35" t="s">
        <v>57</v>
      </c>
      <c r="C167" s="37">
        <f>AVERAGE(C137:C140)</f>
        <v>11455.99375</v>
      </c>
      <c r="D167" s="37"/>
      <c r="E167" s="37"/>
      <c r="F167" s="37"/>
      <c r="G167" s="37"/>
      <c r="H167" s="37"/>
      <c r="I167" s="37"/>
      <c r="J167" s="37">
        <f t="shared" ref="J167:K167" si="67">AVERAGE(J137:J140)</f>
        <v>3020715</v>
      </c>
      <c r="K167" s="37">
        <f t="shared" si="67"/>
        <v>0.247946375</v>
      </c>
      <c r="L167" s="37"/>
      <c r="M167" s="37"/>
      <c r="N167" s="37"/>
      <c r="O167" s="37"/>
      <c r="P167" s="37"/>
      <c r="Q167" s="37"/>
      <c r="R167" s="37">
        <f>AVERAGE(R137:R140)</f>
        <v>88.27644375</v>
      </c>
      <c r="S167" s="37"/>
      <c r="T167" s="37"/>
      <c r="U167" s="37"/>
      <c r="V167" s="37"/>
      <c r="W167" s="37"/>
      <c r="X167" s="37"/>
      <c r="Y167" s="37">
        <f>AVERAGE(Y137:Y140)</f>
        <v>8.548651875</v>
      </c>
      <c r="Z167" s="37"/>
      <c r="AA167" s="37"/>
      <c r="AB167" s="37"/>
      <c r="AC167" s="37"/>
      <c r="AD167" s="37"/>
      <c r="AE167" s="37"/>
      <c r="AF167" s="37">
        <f>AVERAGE(AF137:AF140)</f>
        <v>0.4957515625</v>
      </c>
      <c r="AG167" s="37"/>
      <c r="AH167" s="37"/>
      <c r="AI167" s="37"/>
      <c r="AJ167" s="37"/>
      <c r="AK167" s="37"/>
      <c r="AL167" s="37"/>
      <c r="AM167" s="37">
        <f>AVERAGE(AM137:AM140)</f>
        <v>0.2429940625</v>
      </c>
      <c r="AN167" s="37"/>
      <c r="AO167" s="37"/>
      <c r="AP167" s="37"/>
      <c r="AQ167" s="37"/>
      <c r="AR167" s="37"/>
      <c r="AS167" s="37"/>
      <c r="AT167" s="37"/>
      <c r="AU167" s="37">
        <f t="shared" ref="AU167:AW167" si="68">AVERAGE(AU137:AU140)</f>
        <v>265.1071875</v>
      </c>
      <c r="AV167" s="37">
        <f t="shared" si="68"/>
        <v>7684.18125</v>
      </c>
      <c r="AW167" s="37">
        <f t="shared" si="68"/>
        <v>0.1309174375</v>
      </c>
      <c r="AX167" s="37"/>
      <c r="AY167" s="37"/>
      <c r="AZ167" s="37"/>
      <c r="BA167" s="37"/>
      <c r="BB167" s="37"/>
      <c r="BC167" s="37"/>
      <c r="BD167" s="37">
        <f>AVERAGE(BD137:BD140)</f>
        <v>38.98806875</v>
      </c>
      <c r="BE167" s="37"/>
      <c r="BF167" s="37"/>
      <c r="BG167" s="37"/>
      <c r="BH167" s="37"/>
      <c r="BI167" s="37"/>
      <c r="BJ167" s="37"/>
      <c r="BK167" s="37"/>
      <c r="BL167" s="37"/>
    </row>
    <row r="168" ht="15.75" customHeight="1">
      <c r="A168" s="37"/>
      <c r="B168" s="35" t="s">
        <v>59</v>
      </c>
      <c r="C168" s="37">
        <f>AVERAGE(C141:C144)</f>
        <v>19736.75625</v>
      </c>
      <c r="D168" s="37"/>
      <c r="E168" s="37"/>
      <c r="F168" s="37"/>
      <c r="G168" s="37"/>
      <c r="H168" s="37"/>
      <c r="I168" s="37"/>
      <c r="J168" s="37">
        <f t="shared" ref="J168:K168" si="69">AVERAGE(J141:J144)</f>
        <v>6744682.5</v>
      </c>
      <c r="K168" s="37">
        <f t="shared" si="69"/>
        <v>0.20119825</v>
      </c>
      <c r="L168" s="37"/>
      <c r="M168" s="37"/>
      <c r="N168" s="37"/>
      <c r="O168" s="37"/>
      <c r="P168" s="37"/>
      <c r="Q168" s="37"/>
      <c r="R168" s="37">
        <f>AVERAGE(R141:R144)</f>
        <v>93.3583625</v>
      </c>
      <c r="S168" s="37"/>
      <c r="T168" s="37"/>
      <c r="U168" s="37"/>
      <c r="V168" s="37"/>
      <c r="W168" s="37"/>
      <c r="X168" s="37"/>
      <c r="Y168" s="37">
        <f>AVERAGE(Y141:Y144)</f>
        <v>6.315356875</v>
      </c>
      <c r="Z168" s="37"/>
      <c r="AA168" s="37"/>
      <c r="AB168" s="37"/>
      <c r="AC168" s="37"/>
      <c r="AD168" s="37"/>
      <c r="AE168" s="37"/>
      <c r="AF168" s="37">
        <f>AVERAGE(AF141:AF144)</f>
        <v>0.5605900625</v>
      </c>
      <c r="AG168" s="37"/>
      <c r="AH168" s="37"/>
      <c r="AI168" s="37"/>
      <c r="AJ168" s="37"/>
      <c r="AK168" s="37"/>
      <c r="AL168" s="37"/>
      <c r="AM168" s="37">
        <f>AVERAGE(AM141:AM144)</f>
        <v>0.1613116875</v>
      </c>
      <c r="AN168" s="37"/>
      <c r="AO168" s="37"/>
      <c r="AP168" s="37"/>
      <c r="AQ168" s="37"/>
      <c r="AR168" s="37"/>
      <c r="AS168" s="37"/>
      <c r="AT168" s="37"/>
      <c r="AU168" s="37">
        <f t="shared" ref="AU168:AW168" si="70">AVERAGE(AU141:AU144)</f>
        <v>346.1715</v>
      </c>
      <c r="AV168" s="37">
        <f t="shared" si="70"/>
        <v>13055.71813</v>
      </c>
      <c r="AW168" s="37">
        <f t="shared" si="70"/>
        <v>0.079550725</v>
      </c>
      <c r="AX168" s="37"/>
      <c r="AY168" s="37"/>
      <c r="AZ168" s="37"/>
      <c r="BA168" s="37"/>
      <c r="BB168" s="37"/>
      <c r="BC168" s="37"/>
      <c r="BD168" s="37">
        <f>AVERAGE(BD141:BD144)</f>
        <v>31.3352625</v>
      </c>
      <c r="BE168" s="37"/>
      <c r="BF168" s="37"/>
      <c r="BG168" s="37"/>
      <c r="BH168" s="37"/>
      <c r="BI168" s="37"/>
      <c r="BJ168" s="37"/>
      <c r="BK168" s="37"/>
      <c r="BL168" s="37"/>
    </row>
    <row r="169" ht="15.75" customHeight="1">
      <c r="A169" s="37"/>
      <c r="B169" s="35" t="s">
        <v>61</v>
      </c>
      <c r="C169" s="37">
        <f>AVERAGE(C145:C148)</f>
        <v>23590.29375</v>
      </c>
      <c r="D169" s="37"/>
      <c r="E169" s="37"/>
      <c r="F169" s="37"/>
      <c r="G169" s="37"/>
      <c r="H169" s="37"/>
      <c r="I169" s="37"/>
      <c r="J169" s="37">
        <f t="shared" ref="J169:K169" si="71">AVERAGE(J145:J148)</f>
        <v>8100897.5</v>
      </c>
      <c r="K169" s="37">
        <f t="shared" si="71"/>
        <v>0.2080025625</v>
      </c>
      <c r="L169" s="37"/>
      <c r="M169" s="37"/>
      <c r="N169" s="37"/>
      <c r="O169" s="37"/>
      <c r="P169" s="37"/>
      <c r="Q169" s="37"/>
      <c r="R169" s="37">
        <f>AVERAGE(R145:R148)</f>
        <v>94.57023125</v>
      </c>
      <c r="S169" s="37"/>
      <c r="T169" s="37"/>
      <c r="U169" s="37"/>
      <c r="V169" s="37"/>
      <c r="W169" s="37"/>
      <c r="X169" s="37"/>
      <c r="Y169" s="37">
        <f>AVERAGE(Y145:Y148)</f>
        <v>6.792589375</v>
      </c>
      <c r="Z169" s="37"/>
      <c r="AA169" s="37"/>
      <c r="AB169" s="37"/>
      <c r="AC169" s="37"/>
      <c r="AD169" s="37"/>
      <c r="AE169" s="37"/>
      <c r="AF169" s="37">
        <f>AVERAGE(AF145:AF148)</f>
        <v>0.5503404375</v>
      </c>
      <c r="AG169" s="37"/>
      <c r="AH169" s="37"/>
      <c r="AI169" s="37"/>
      <c r="AJ169" s="37"/>
      <c r="AK169" s="37"/>
      <c r="AL169" s="37"/>
      <c r="AM169" s="37">
        <f>AVERAGE(AM145:AM148)</f>
        <v>0.1534256875</v>
      </c>
      <c r="AN169" s="37"/>
      <c r="AO169" s="37"/>
      <c r="AP169" s="37"/>
      <c r="AQ169" s="37"/>
      <c r="AR169" s="37"/>
      <c r="AS169" s="37"/>
      <c r="AT169" s="37"/>
      <c r="AU169" s="37">
        <f t="shared" ref="AU169:AW169" si="72">AVERAGE(AU145:AU148)</f>
        <v>352.8196875</v>
      </c>
      <c r="AV169" s="37">
        <f t="shared" si="72"/>
        <v>15707.2625</v>
      </c>
      <c r="AW169" s="37">
        <f t="shared" si="72"/>
        <v>0.0769535875</v>
      </c>
      <c r="AX169" s="37"/>
      <c r="AY169" s="37"/>
      <c r="AZ169" s="37"/>
      <c r="BA169" s="37"/>
      <c r="BB169" s="37"/>
      <c r="BC169" s="37"/>
      <c r="BD169" s="37">
        <f>AVERAGE(BD145:BD148)</f>
        <v>30.9804625</v>
      </c>
      <c r="BE169" s="37"/>
      <c r="BF169" s="37"/>
      <c r="BG169" s="37"/>
      <c r="BH169" s="37"/>
      <c r="BI169" s="37"/>
      <c r="BJ169" s="37"/>
      <c r="BK169" s="37"/>
      <c r="BL169" s="37"/>
    </row>
    <row r="170" ht="15.75" customHeight="1">
      <c r="A170" s="37"/>
      <c r="B170" s="35" t="s">
        <v>62</v>
      </c>
      <c r="C170" s="37">
        <f>AVERAGE(C149:C152)</f>
        <v>24109.43125</v>
      </c>
      <c r="D170" s="37"/>
      <c r="E170" s="37"/>
      <c r="F170" s="37"/>
      <c r="G170" s="37"/>
      <c r="H170" s="37"/>
      <c r="I170" s="37"/>
      <c r="J170" s="37">
        <f t="shared" ref="J170:K170" si="73">AVERAGE(J149:J152)</f>
        <v>8536213.125</v>
      </c>
      <c r="K170" s="37">
        <f t="shared" si="73"/>
        <v>0.1943508125</v>
      </c>
      <c r="L170" s="37"/>
      <c r="M170" s="37"/>
      <c r="N170" s="37"/>
      <c r="O170" s="37"/>
      <c r="P170" s="37"/>
      <c r="Q170" s="37"/>
      <c r="R170" s="37">
        <f>AVERAGE(R149:R152)</f>
        <v>93.81351875</v>
      </c>
      <c r="S170" s="37"/>
      <c r="T170" s="37"/>
      <c r="U170" s="37"/>
      <c r="V170" s="37"/>
      <c r="W170" s="37"/>
      <c r="X170" s="37"/>
      <c r="Y170" s="37">
        <f>AVERAGE(Y149:Y152)</f>
        <v>6.5616575</v>
      </c>
      <c r="Z170" s="37"/>
      <c r="AA170" s="37"/>
      <c r="AB170" s="37"/>
      <c r="AC170" s="37"/>
      <c r="AD170" s="37"/>
      <c r="AE170" s="37"/>
      <c r="AF170" s="37">
        <f>AVERAGE(AF149:AF152)</f>
        <v>0.54841475</v>
      </c>
      <c r="AG170" s="37"/>
      <c r="AH170" s="37"/>
      <c r="AI170" s="37"/>
      <c r="AJ170" s="37"/>
      <c r="AK170" s="37"/>
      <c r="AL170" s="37"/>
      <c r="AM170" s="37">
        <f>AVERAGE(AM149:AM152)</f>
        <v>0.1540423125</v>
      </c>
      <c r="AN170" s="37"/>
      <c r="AO170" s="37"/>
      <c r="AP170" s="37"/>
      <c r="AQ170" s="37"/>
      <c r="AR170" s="37"/>
      <c r="AS170" s="37"/>
      <c r="AT170" s="37"/>
      <c r="AU170" s="37">
        <f t="shared" ref="AU170:AW170" si="74">AVERAGE(AU149:AU152)</f>
        <v>361.2796875</v>
      </c>
      <c r="AV170" s="37">
        <f t="shared" si="74"/>
        <v>15621.9375</v>
      </c>
      <c r="AW170" s="37">
        <f t="shared" si="74"/>
        <v>0.07848691875</v>
      </c>
      <c r="AX170" s="37"/>
      <c r="AY170" s="37"/>
      <c r="AZ170" s="37"/>
      <c r="BA170" s="37"/>
      <c r="BB170" s="37"/>
      <c r="BC170" s="37"/>
      <c r="BD170" s="37">
        <f>AVERAGE(BD149:BD152)</f>
        <v>30.39883125</v>
      </c>
      <c r="BE170" s="37"/>
      <c r="BF170" s="37"/>
      <c r="BG170" s="37"/>
      <c r="BH170" s="37"/>
      <c r="BI170" s="37"/>
      <c r="BJ170" s="37"/>
      <c r="BK170" s="37"/>
      <c r="BL170" s="37"/>
    </row>
    <row r="171" ht="15.75" customHeight="1">
      <c r="A171" s="37"/>
      <c r="B171" s="35" t="s">
        <v>64</v>
      </c>
      <c r="C171" s="37">
        <f>AVERAGE(C153:C156)</f>
        <v>25326.10625</v>
      </c>
      <c r="D171" s="37"/>
      <c r="E171" s="37"/>
      <c r="F171" s="37"/>
      <c r="G171" s="37"/>
      <c r="H171" s="37"/>
      <c r="I171" s="37"/>
      <c r="J171" s="37">
        <f t="shared" ref="J171:K171" si="75">AVERAGE(J153:J156)</f>
        <v>9552030.625</v>
      </c>
      <c r="K171" s="37">
        <f t="shared" si="75"/>
        <v>0.2000345</v>
      </c>
      <c r="L171" s="37"/>
      <c r="M171" s="37"/>
      <c r="N171" s="37"/>
      <c r="O171" s="37"/>
      <c r="P171" s="37"/>
      <c r="Q171" s="37"/>
      <c r="R171" s="37">
        <f>AVERAGE(R153:R156)</f>
        <v>94.78433125</v>
      </c>
      <c r="S171" s="37"/>
      <c r="T171" s="37"/>
      <c r="U171" s="37"/>
      <c r="V171" s="37"/>
      <c r="W171" s="37"/>
      <c r="X171" s="37"/>
      <c r="Y171" s="37">
        <f>AVERAGE(Y153:Y156)</f>
        <v>6.84974875</v>
      </c>
      <c r="Z171" s="37"/>
      <c r="AA171" s="37"/>
      <c r="AB171" s="37"/>
      <c r="AC171" s="37"/>
      <c r="AD171" s="37"/>
      <c r="AE171" s="37"/>
      <c r="AF171" s="37">
        <f>AVERAGE(AF153:AF156)</f>
        <v>0.544526875</v>
      </c>
      <c r="AG171" s="37"/>
      <c r="AH171" s="37"/>
      <c r="AI171" s="37"/>
      <c r="AJ171" s="37"/>
      <c r="AK171" s="37"/>
      <c r="AL171" s="37"/>
      <c r="AM171" s="37">
        <f>AVERAGE(AM153:AM156)</f>
        <v>0.1508425625</v>
      </c>
      <c r="AN171" s="37"/>
      <c r="AO171" s="37"/>
      <c r="AP171" s="37"/>
      <c r="AQ171" s="37"/>
      <c r="AR171" s="37"/>
      <c r="AS171" s="37"/>
      <c r="AT171" s="37"/>
      <c r="AU171" s="37">
        <f t="shared" ref="AU171:AW171" si="76">AVERAGE(AU153:AU156)</f>
        <v>387.2425625</v>
      </c>
      <c r="AV171" s="37">
        <f t="shared" si="76"/>
        <v>16185.86875</v>
      </c>
      <c r="AW171" s="37">
        <f t="shared" si="76"/>
        <v>0.07737095625</v>
      </c>
      <c r="AX171" s="37"/>
      <c r="AY171" s="37"/>
      <c r="AZ171" s="37"/>
      <c r="BA171" s="37"/>
      <c r="BB171" s="37"/>
      <c r="BC171" s="37"/>
      <c r="BD171" s="37">
        <f>AVERAGE(BD153:BD156)</f>
        <v>30.3411375</v>
      </c>
      <c r="BE171" s="37"/>
      <c r="BF171" s="37"/>
      <c r="BG171" s="37"/>
      <c r="BH171" s="37"/>
      <c r="BI171" s="37"/>
      <c r="BJ171" s="37"/>
      <c r="BK171" s="37"/>
      <c r="BL171" s="37"/>
    </row>
    <row r="172" ht="15.75" customHeight="1">
      <c r="A172" s="37"/>
      <c r="B172" s="35" t="s">
        <v>66</v>
      </c>
      <c r="C172" s="37">
        <f>AVERAGE(C157:C160)</f>
        <v>32061.1125</v>
      </c>
      <c r="D172" s="37"/>
      <c r="E172" s="37"/>
      <c r="F172" s="37"/>
      <c r="G172" s="37"/>
      <c r="H172" s="37"/>
      <c r="I172" s="37"/>
      <c r="J172" s="37">
        <f t="shared" ref="J172:K172" si="77">AVERAGE(J157:J160)</f>
        <v>12379315</v>
      </c>
      <c r="K172" s="37">
        <f t="shared" si="77"/>
        <v>0.206737375</v>
      </c>
      <c r="L172" s="37"/>
      <c r="M172" s="37"/>
      <c r="N172" s="37"/>
      <c r="O172" s="37"/>
      <c r="P172" s="37"/>
      <c r="Q172" s="37"/>
      <c r="R172" s="37">
        <f>AVERAGE(R157:R160)</f>
        <v>96.38099375</v>
      </c>
      <c r="S172" s="37"/>
      <c r="T172" s="37"/>
      <c r="U172" s="37"/>
      <c r="V172" s="37"/>
      <c r="W172" s="37"/>
      <c r="X172" s="37"/>
      <c r="Y172" s="37">
        <f>AVERAGE(Y157:Y160)</f>
        <v>7.06459125</v>
      </c>
      <c r="Z172" s="37"/>
      <c r="AA172" s="37"/>
      <c r="AB172" s="37"/>
      <c r="AC172" s="37"/>
      <c r="AD172" s="37"/>
      <c r="AE172" s="37"/>
      <c r="AF172" s="37">
        <f>AVERAGE(AF157:AF160)</f>
        <v>0.5456260625</v>
      </c>
      <c r="AG172" s="37"/>
      <c r="AH172" s="37"/>
      <c r="AI172" s="37"/>
      <c r="AJ172" s="37"/>
      <c r="AK172" s="37"/>
      <c r="AL172" s="37"/>
      <c r="AM172" s="37">
        <f>AVERAGE(AM157:AM160)</f>
        <v>0.1409089375</v>
      </c>
      <c r="AN172" s="37"/>
      <c r="AO172" s="37"/>
      <c r="AP172" s="37"/>
      <c r="AQ172" s="37"/>
      <c r="AR172" s="37"/>
      <c r="AS172" s="37"/>
      <c r="AT172" s="37"/>
      <c r="AU172" s="37">
        <f t="shared" ref="AU172:AW172" si="78">AVERAGE(AU157:AU160)</f>
        <v>393.928875</v>
      </c>
      <c r="AV172" s="37">
        <f t="shared" si="78"/>
        <v>20572.60625</v>
      </c>
      <c r="AW172" s="37">
        <f t="shared" si="78"/>
        <v>0.07180180625</v>
      </c>
      <c r="AX172" s="37"/>
      <c r="AY172" s="37"/>
      <c r="AZ172" s="37"/>
      <c r="BA172" s="37"/>
      <c r="BB172" s="37"/>
      <c r="BC172" s="37"/>
      <c r="BD172" s="37">
        <f>AVERAGE(BD157:BD160)</f>
        <v>30.03121875</v>
      </c>
      <c r="BE172" s="37"/>
      <c r="BF172" s="37"/>
      <c r="BG172" s="37"/>
      <c r="BH172" s="37"/>
      <c r="BI172" s="37"/>
      <c r="BJ172" s="37"/>
      <c r="BK172" s="37"/>
      <c r="BL172" s="37"/>
    </row>
    <row r="173" ht="15.75" customHeight="1">
      <c r="A173" s="37"/>
      <c r="B173" s="35" t="s">
        <v>67</v>
      </c>
      <c r="C173" s="37">
        <f>AVERAGE(C161:C164)</f>
        <v>27109.08125</v>
      </c>
      <c r="D173" s="37"/>
      <c r="E173" s="37"/>
      <c r="F173" s="37"/>
      <c r="G173" s="37"/>
      <c r="H173" s="37"/>
      <c r="I173" s="37"/>
      <c r="J173" s="37">
        <f t="shared" ref="J173:K173" si="79">AVERAGE(J161:J164)</f>
        <v>9643286.25</v>
      </c>
      <c r="K173" s="37">
        <f t="shared" si="79"/>
        <v>0.1999103125</v>
      </c>
      <c r="L173" s="37"/>
      <c r="M173" s="37"/>
      <c r="N173" s="37"/>
      <c r="O173" s="37"/>
      <c r="P173" s="37"/>
      <c r="Q173" s="37"/>
      <c r="R173" s="37">
        <f>AVERAGE(R161:R164)</f>
        <v>94.34570625</v>
      </c>
      <c r="S173" s="37"/>
      <c r="T173" s="37"/>
      <c r="U173" s="37"/>
      <c r="V173" s="37"/>
      <c r="W173" s="37"/>
      <c r="X173" s="37"/>
      <c r="Y173" s="37">
        <f>AVERAGE(Y161:Y164)</f>
        <v>7.308770625</v>
      </c>
      <c r="Z173" s="37"/>
      <c r="AA173" s="37"/>
      <c r="AB173" s="37"/>
      <c r="AC173" s="37"/>
      <c r="AD173" s="37"/>
      <c r="AE173" s="37"/>
      <c r="AF173" s="37">
        <f>AVERAGE(AF161:AF164)</f>
        <v>0.524352</v>
      </c>
      <c r="AG173" s="37"/>
      <c r="AH173" s="37"/>
      <c r="AI173" s="37"/>
      <c r="AJ173" s="37"/>
      <c r="AK173" s="37"/>
      <c r="AL173" s="37"/>
      <c r="AM173" s="37">
        <f>AVERAGE(AM161:AM164)</f>
        <v>0.1483273125</v>
      </c>
      <c r="AN173" s="37"/>
      <c r="AO173" s="37"/>
      <c r="AP173" s="37"/>
      <c r="AQ173" s="37"/>
      <c r="AR173" s="37"/>
      <c r="AS173" s="37"/>
      <c r="AT173" s="37"/>
      <c r="AU173" s="37">
        <f t="shared" ref="AU173:AW173" si="80">AVERAGE(AU161:AU164)</f>
        <v>365.0359375</v>
      </c>
      <c r="AV173" s="37">
        <f t="shared" si="80"/>
        <v>16793.9125</v>
      </c>
      <c r="AW173" s="37">
        <f t="shared" si="80"/>
        <v>0.07996781875</v>
      </c>
      <c r="AX173" s="37"/>
      <c r="AY173" s="37"/>
      <c r="AZ173" s="37"/>
      <c r="BA173" s="37"/>
      <c r="BB173" s="37"/>
      <c r="BC173" s="37"/>
      <c r="BD173" s="37">
        <f>AVERAGE(BD161:BD164)</f>
        <v>29.79135</v>
      </c>
      <c r="BE173" s="37"/>
      <c r="BF173" s="37"/>
      <c r="BG173" s="37"/>
      <c r="BH173" s="37"/>
      <c r="BI173" s="37"/>
      <c r="BJ173" s="37"/>
      <c r="BK173" s="37"/>
      <c r="BL173" s="37"/>
    </row>
    <row r="174" ht="15.75" customHeight="1">
      <c r="A174" s="37"/>
      <c r="B174" s="37"/>
      <c r="C174" s="38"/>
      <c r="D174" s="37"/>
      <c r="E174" s="37"/>
      <c r="F174" s="37"/>
      <c r="G174" s="37"/>
      <c r="H174" s="37"/>
      <c r="I174" s="37"/>
      <c r="J174" s="38"/>
      <c r="K174" s="38"/>
      <c r="L174" s="37"/>
      <c r="M174" s="37"/>
      <c r="N174" s="37"/>
      <c r="O174" s="37"/>
      <c r="P174" s="37"/>
      <c r="Q174" s="37"/>
      <c r="R174" s="38"/>
      <c r="S174" s="37"/>
      <c r="T174" s="37"/>
      <c r="U174" s="37"/>
      <c r="V174" s="37"/>
      <c r="W174" s="37"/>
      <c r="X174" s="37"/>
      <c r="Y174" s="38"/>
      <c r="Z174" s="37"/>
      <c r="AA174" s="37"/>
      <c r="AB174" s="37"/>
      <c r="AC174" s="37"/>
      <c r="AD174" s="37"/>
      <c r="AE174" s="37"/>
      <c r="AF174" s="38"/>
      <c r="AG174" s="37"/>
      <c r="AH174" s="37"/>
      <c r="AI174" s="37"/>
      <c r="AJ174" s="37"/>
      <c r="AK174" s="37"/>
      <c r="AL174" s="37"/>
      <c r="AM174" s="38"/>
      <c r="AN174" s="37"/>
      <c r="AO174" s="37"/>
      <c r="AP174" s="37"/>
      <c r="AQ174" s="37"/>
      <c r="AR174" s="37"/>
      <c r="AS174" s="37"/>
      <c r="AT174" s="37"/>
      <c r="AU174" s="38"/>
      <c r="AV174" s="38"/>
      <c r="AW174" s="38"/>
      <c r="AX174" s="37"/>
      <c r="AY174" s="37"/>
      <c r="AZ174" s="37"/>
      <c r="BA174" s="37"/>
      <c r="BB174" s="37"/>
      <c r="BC174" s="37"/>
      <c r="BD174" s="38"/>
      <c r="BE174" s="37"/>
      <c r="BF174" s="37"/>
      <c r="BG174" s="37"/>
      <c r="BH174" s="37"/>
      <c r="BI174" s="37"/>
      <c r="BJ174" s="37"/>
      <c r="BK174" s="37"/>
      <c r="BL174" s="37"/>
    </row>
    <row r="175" ht="15.75" customHeight="1">
      <c r="A175" s="37"/>
      <c r="B175" s="37"/>
      <c r="C175" s="38"/>
      <c r="D175" s="37"/>
      <c r="E175" s="37"/>
      <c r="F175" s="37"/>
      <c r="G175" s="37"/>
      <c r="H175" s="37"/>
      <c r="I175" s="37"/>
      <c r="J175" s="38"/>
      <c r="K175" s="38"/>
      <c r="L175" s="37"/>
      <c r="M175" s="37"/>
      <c r="N175" s="37"/>
      <c r="O175" s="37"/>
      <c r="P175" s="37"/>
      <c r="Q175" s="37"/>
      <c r="R175" s="38"/>
      <c r="S175" s="37"/>
      <c r="T175" s="37"/>
      <c r="U175" s="37"/>
      <c r="V175" s="37"/>
      <c r="W175" s="37"/>
      <c r="X175" s="37"/>
      <c r="Y175" s="38"/>
      <c r="Z175" s="37"/>
      <c r="AA175" s="37"/>
      <c r="AB175" s="37"/>
      <c r="AC175" s="37"/>
      <c r="AD175" s="37"/>
      <c r="AE175" s="37"/>
      <c r="AF175" s="38"/>
      <c r="AG175" s="37"/>
      <c r="AH175" s="37"/>
      <c r="AI175" s="37"/>
      <c r="AJ175" s="37"/>
      <c r="AK175" s="37"/>
      <c r="AL175" s="37"/>
      <c r="AM175" s="38"/>
      <c r="AN175" s="37"/>
      <c r="AO175" s="37"/>
      <c r="AP175" s="37"/>
      <c r="AQ175" s="37"/>
      <c r="AR175" s="37"/>
      <c r="AS175" s="37"/>
      <c r="AT175" s="37"/>
      <c r="AU175" s="38"/>
      <c r="AV175" s="38"/>
      <c r="AW175" s="38"/>
      <c r="AX175" s="37"/>
      <c r="AY175" s="37"/>
      <c r="AZ175" s="37"/>
      <c r="BA175" s="37"/>
      <c r="BB175" s="37"/>
      <c r="BC175" s="37"/>
      <c r="BD175" s="38"/>
      <c r="BE175" s="37"/>
      <c r="BF175" s="37"/>
      <c r="BG175" s="37"/>
      <c r="BH175" s="37"/>
      <c r="BI175" s="37"/>
      <c r="BJ175" s="37"/>
      <c r="BK175" s="37"/>
      <c r="BL175" s="37"/>
    </row>
    <row r="176" ht="15.75" customHeight="1">
      <c r="A176" s="37"/>
      <c r="B176" s="37"/>
      <c r="C176" s="38"/>
      <c r="D176" s="37"/>
      <c r="E176" s="37"/>
      <c r="F176" s="37"/>
      <c r="G176" s="37"/>
      <c r="H176" s="37"/>
      <c r="I176" s="37"/>
      <c r="J176" s="38"/>
      <c r="K176" s="38"/>
      <c r="L176" s="37"/>
      <c r="M176" s="37"/>
      <c r="N176" s="37"/>
      <c r="O176" s="37"/>
      <c r="P176" s="37"/>
      <c r="Q176" s="37"/>
      <c r="R176" s="38"/>
      <c r="S176" s="37"/>
      <c r="T176" s="37"/>
      <c r="U176" s="37"/>
      <c r="V176" s="37"/>
      <c r="W176" s="37"/>
      <c r="X176" s="37"/>
      <c r="Y176" s="38"/>
      <c r="Z176" s="37"/>
      <c r="AA176" s="37"/>
      <c r="AB176" s="37"/>
      <c r="AC176" s="37"/>
      <c r="AD176" s="37"/>
      <c r="AE176" s="37"/>
      <c r="AF176" s="38"/>
      <c r="AG176" s="37"/>
      <c r="AH176" s="37"/>
      <c r="AI176" s="37"/>
      <c r="AJ176" s="37"/>
      <c r="AK176" s="37"/>
      <c r="AL176" s="37"/>
      <c r="AM176" s="38"/>
      <c r="AN176" s="37"/>
      <c r="AO176" s="37"/>
      <c r="AP176" s="37"/>
      <c r="AQ176" s="37"/>
      <c r="AR176" s="37"/>
      <c r="AS176" s="37"/>
      <c r="AT176" s="37"/>
      <c r="AU176" s="38"/>
      <c r="AV176" s="38"/>
      <c r="AW176" s="38"/>
      <c r="AX176" s="37"/>
      <c r="AY176" s="37"/>
      <c r="AZ176" s="37"/>
      <c r="BA176" s="37"/>
      <c r="BB176" s="37"/>
      <c r="BC176" s="37"/>
      <c r="BD176" s="38"/>
      <c r="BE176" s="37"/>
      <c r="BF176" s="37"/>
      <c r="BG176" s="37"/>
      <c r="BH176" s="37"/>
      <c r="BI176" s="37"/>
      <c r="BJ176" s="37"/>
      <c r="BK176" s="37"/>
      <c r="BL176" s="37"/>
    </row>
    <row r="177" ht="15.75" customHeight="1">
      <c r="A177" s="37"/>
      <c r="B177" s="37"/>
      <c r="C177" s="38"/>
      <c r="D177" s="37"/>
      <c r="E177" s="37"/>
      <c r="F177" s="37"/>
      <c r="G177" s="37"/>
      <c r="H177" s="37"/>
      <c r="I177" s="37"/>
      <c r="J177" s="38"/>
      <c r="K177" s="38"/>
      <c r="L177" s="37"/>
      <c r="M177" s="37"/>
      <c r="N177" s="37"/>
      <c r="O177" s="37"/>
      <c r="P177" s="37"/>
      <c r="Q177" s="37"/>
      <c r="R177" s="38"/>
      <c r="S177" s="37"/>
      <c r="T177" s="37"/>
      <c r="U177" s="37"/>
      <c r="V177" s="37"/>
      <c r="W177" s="37"/>
      <c r="X177" s="37"/>
      <c r="Y177" s="38"/>
      <c r="Z177" s="37"/>
      <c r="AA177" s="37"/>
      <c r="AB177" s="37"/>
      <c r="AC177" s="37"/>
      <c r="AD177" s="37"/>
      <c r="AE177" s="37"/>
      <c r="AF177" s="38"/>
      <c r="AG177" s="37"/>
      <c r="AH177" s="37"/>
      <c r="AI177" s="37"/>
      <c r="AJ177" s="37"/>
      <c r="AK177" s="37"/>
      <c r="AL177" s="37"/>
      <c r="AM177" s="38"/>
      <c r="AN177" s="37"/>
      <c r="AO177" s="37"/>
      <c r="AP177" s="37"/>
      <c r="AQ177" s="37"/>
      <c r="AR177" s="37"/>
      <c r="AS177" s="37"/>
      <c r="AT177" s="37"/>
      <c r="AU177" s="38"/>
      <c r="AV177" s="38"/>
      <c r="AW177" s="38"/>
      <c r="AX177" s="37"/>
      <c r="AY177" s="37"/>
      <c r="AZ177" s="37"/>
      <c r="BA177" s="37"/>
      <c r="BB177" s="37"/>
      <c r="BC177" s="37"/>
      <c r="BD177" s="38"/>
      <c r="BE177" s="37"/>
      <c r="BF177" s="37"/>
      <c r="BG177" s="37"/>
      <c r="BH177" s="37"/>
      <c r="BI177" s="37"/>
      <c r="BJ177" s="37"/>
      <c r="BK177" s="37"/>
      <c r="BL177" s="37"/>
    </row>
    <row r="178" ht="15.75" customHeight="1">
      <c r="A178" s="37"/>
      <c r="B178" s="37"/>
      <c r="C178" s="38"/>
      <c r="D178" s="37"/>
      <c r="E178" s="37"/>
      <c r="F178" s="37"/>
      <c r="G178" s="37"/>
      <c r="H178" s="37"/>
      <c r="I178" s="37"/>
      <c r="J178" s="38"/>
      <c r="K178" s="38"/>
      <c r="L178" s="37"/>
      <c r="M178" s="37"/>
      <c r="N178" s="37"/>
      <c r="O178" s="37"/>
      <c r="P178" s="37"/>
      <c r="Q178" s="37"/>
      <c r="R178" s="38"/>
      <c r="S178" s="37"/>
      <c r="T178" s="37"/>
      <c r="U178" s="37"/>
      <c r="V178" s="37"/>
      <c r="W178" s="37"/>
      <c r="X178" s="37"/>
      <c r="Y178" s="38"/>
      <c r="Z178" s="37"/>
      <c r="AA178" s="37"/>
      <c r="AB178" s="37"/>
      <c r="AC178" s="37"/>
      <c r="AD178" s="37"/>
      <c r="AE178" s="37"/>
      <c r="AF178" s="38"/>
      <c r="AG178" s="37"/>
      <c r="AH178" s="37"/>
      <c r="AI178" s="37"/>
      <c r="AJ178" s="37"/>
      <c r="AK178" s="37"/>
      <c r="AL178" s="37"/>
      <c r="AM178" s="38"/>
      <c r="AN178" s="37"/>
      <c r="AO178" s="37"/>
      <c r="AP178" s="37"/>
      <c r="AQ178" s="37"/>
      <c r="AR178" s="37"/>
      <c r="AS178" s="37"/>
      <c r="AT178" s="37"/>
      <c r="AU178" s="38"/>
      <c r="AV178" s="38"/>
      <c r="AW178" s="38"/>
      <c r="AX178" s="37"/>
      <c r="AY178" s="37"/>
      <c r="AZ178" s="37"/>
      <c r="BA178" s="37"/>
      <c r="BB178" s="37"/>
      <c r="BC178" s="37"/>
      <c r="BD178" s="38"/>
      <c r="BE178" s="37"/>
      <c r="BF178" s="37"/>
      <c r="BG178" s="37"/>
      <c r="BH178" s="37"/>
      <c r="BI178" s="37"/>
      <c r="BJ178" s="37"/>
      <c r="BK178" s="37"/>
      <c r="BL178" s="37"/>
    </row>
    <row r="179" ht="15.75" customHeight="1">
      <c r="A179" s="37"/>
      <c r="B179" s="37"/>
      <c r="C179" s="38"/>
      <c r="D179" s="37"/>
      <c r="E179" s="37"/>
      <c r="F179" s="37"/>
      <c r="G179" s="37"/>
      <c r="H179" s="37"/>
      <c r="I179" s="37"/>
      <c r="J179" s="38"/>
      <c r="K179" s="38"/>
      <c r="L179" s="37"/>
      <c r="M179" s="37"/>
      <c r="N179" s="37"/>
      <c r="O179" s="37"/>
      <c r="P179" s="37"/>
      <c r="Q179" s="37"/>
      <c r="R179" s="38"/>
      <c r="S179" s="37"/>
      <c r="T179" s="37"/>
      <c r="U179" s="37"/>
      <c r="V179" s="37"/>
      <c r="W179" s="37"/>
      <c r="X179" s="37"/>
      <c r="Y179" s="38"/>
      <c r="Z179" s="37"/>
      <c r="AA179" s="37"/>
      <c r="AB179" s="37"/>
      <c r="AC179" s="37"/>
      <c r="AD179" s="37"/>
      <c r="AE179" s="37"/>
      <c r="AF179" s="38"/>
      <c r="AG179" s="37"/>
      <c r="AH179" s="37"/>
      <c r="AI179" s="37"/>
      <c r="AJ179" s="37"/>
      <c r="AK179" s="37"/>
      <c r="AL179" s="37"/>
      <c r="AM179" s="38"/>
      <c r="AN179" s="37"/>
      <c r="AO179" s="37"/>
      <c r="AP179" s="37"/>
      <c r="AQ179" s="37"/>
      <c r="AR179" s="37"/>
      <c r="AS179" s="37"/>
      <c r="AT179" s="37"/>
      <c r="AU179" s="38"/>
      <c r="AV179" s="38"/>
      <c r="AW179" s="38"/>
      <c r="AX179" s="37"/>
      <c r="AY179" s="37"/>
      <c r="AZ179" s="37"/>
      <c r="BA179" s="37"/>
      <c r="BB179" s="37"/>
      <c r="BC179" s="37"/>
      <c r="BD179" s="38"/>
      <c r="BE179" s="37"/>
      <c r="BF179" s="37"/>
      <c r="BG179" s="37"/>
      <c r="BH179" s="37"/>
      <c r="BI179" s="37"/>
      <c r="BJ179" s="37"/>
      <c r="BK179" s="37"/>
      <c r="BL179" s="37"/>
    </row>
    <row r="180" ht="15.75" customHeight="1">
      <c r="A180" s="37"/>
      <c r="B180" s="37"/>
      <c r="C180" s="38"/>
      <c r="D180" s="37"/>
      <c r="E180" s="37"/>
      <c r="F180" s="37"/>
      <c r="G180" s="37"/>
      <c r="H180" s="37"/>
      <c r="I180" s="37"/>
      <c r="J180" s="38"/>
      <c r="K180" s="38"/>
      <c r="L180" s="37"/>
      <c r="M180" s="37"/>
      <c r="N180" s="37"/>
      <c r="O180" s="37"/>
      <c r="P180" s="37"/>
      <c r="Q180" s="37"/>
      <c r="R180" s="38"/>
      <c r="S180" s="37"/>
      <c r="T180" s="37"/>
      <c r="U180" s="37"/>
      <c r="V180" s="37"/>
      <c r="W180" s="37"/>
      <c r="X180" s="37"/>
      <c r="Y180" s="38"/>
      <c r="Z180" s="37"/>
      <c r="AA180" s="37"/>
      <c r="AB180" s="37"/>
      <c r="AC180" s="37"/>
      <c r="AD180" s="37"/>
      <c r="AE180" s="37"/>
      <c r="AF180" s="38"/>
      <c r="AG180" s="37"/>
      <c r="AH180" s="37"/>
      <c r="AI180" s="37"/>
      <c r="AJ180" s="37"/>
      <c r="AK180" s="37"/>
      <c r="AL180" s="37"/>
      <c r="AM180" s="38"/>
      <c r="AN180" s="37"/>
      <c r="AO180" s="37"/>
      <c r="AP180" s="37"/>
      <c r="AQ180" s="37"/>
      <c r="AR180" s="37"/>
      <c r="AS180" s="37"/>
      <c r="AT180" s="37"/>
      <c r="AU180" s="38"/>
      <c r="AV180" s="38"/>
      <c r="AW180" s="38"/>
      <c r="AX180" s="37"/>
      <c r="AY180" s="37"/>
      <c r="AZ180" s="37"/>
      <c r="BA180" s="37"/>
      <c r="BB180" s="37"/>
      <c r="BC180" s="37"/>
      <c r="BD180" s="38"/>
      <c r="BE180" s="37"/>
      <c r="BF180" s="37"/>
      <c r="BG180" s="37"/>
      <c r="BH180" s="37"/>
      <c r="BI180" s="37"/>
      <c r="BJ180" s="37"/>
      <c r="BK180" s="37"/>
      <c r="BL180" s="37"/>
    </row>
    <row r="181" ht="15.75" customHeight="1">
      <c r="A181" s="37"/>
      <c r="B181" s="37"/>
      <c r="C181" s="38"/>
      <c r="D181" s="37"/>
      <c r="E181" s="37"/>
      <c r="F181" s="37"/>
      <c r="G181" s="37"/>
      <c r="H181" s="37"/>
      <c r="I181" s="37"/>
      <c r="J181" s="38"/>
      <c r="K181" s="38"/>
      <c r="L181" s="37"/>
      <c r="M181" s="37"/>
      <c r="N181" s="37"/>
      <c r="O181" s="37"/>
      <c r="P181" s="37"/>
      <c r="Q181" s="37"/>
      <c r="R181" s="38"/>
      <c r="S181" s="37"/>
      <c r="T181" s="37"/>
      <c r="U181" s="37"/>
      <c r="V181" s="37"/>
      <c r="W181" s="37"/>
      <c r="X181" s="37"/>
      <c r="Y181" s="38"/>
      <c r="Z181" s="37"/>
      <c r="AA181" s="37"/>
      <c r="AB181" s="37"/>
      <c r="AC181" s="37"/>
      <c r="AD181" s="37"/>
      <c r="AE181" s="37"/>
      <c r="AF181" s="38"/>
      <c r="AG181" s="37"/>
      <c r="AH181" s="37"/>
      <c r="AI181" s="37"/>
      <c r="AJ181" s="37"/>
      <c r="AK181" s="37"/>
      <c r="AL181" s="37"/>
      <c r="AM181" s="38"/>
      <c r="AN181" s="37"/>
      <c r="AO181" s="37"/>
      <c r="AP181" s="37"/>
      <c r="AQ181" s="37"/>
      <c r="AR181" s="37"/>
      <c r="AS181" s="37"/>
      <c r="AT181" s="37"/>
      <c r="AU181" s="38"/>
      <c r="AV181" s="38"/>
      <c r="AW181" s="38"/>
      <c r="AX181" s="37"/>
      <c r="AY181" s="37"/>
      <c r="AZ181" s="37"/>
      <c r="BA181" s="37"/>
      <c r="BB181" s="37"/>
      <c r="BC181" s="37"/>
      <c r="BD181" s="38"/>
      <c r="BE181" s="37"/>
      <c r="BF181" s="37"/>
      <c r="BG181" s="37"/>
      <c r="BH181" s="37"/>
      <c r="BI181" s="37"/>
      <c r="BJ181" s="37"/>
      <c r="BK181" s="37"/>
      <c r="BL181" s="37"/>
    </row>
    <row r="182" ht="15.75" customHeight="1">
      <c r="A182" s="37"/>
      <c r="B182" s="37"/>
      <c r="C182" s="38"/>
      <c r="D182" s="37"/>
      <c r="E182" s="37"/>
      <c r="F182" s="37"/>
      <c r="G182" s="37"/>
      <c r="H182" s="37"/>
      <c r="I182" s="37"/>
      <c r="J182" s="38"/>
      <c r="K182" s="38"/>
      <c r="L182" s="37"/>
      <c r="M182" s="37"/>
      <c r="N182" s="37"/>
      <c r="O182" s="37"/>
      <c r="P182" s="37"/>
      <c r="Q182" s="37"/>
      <c r="R182" s="38"/>
      <c r="S182" s="37"/>
      <c r="T182" s="37"/>
      <c r="U182" s="37"/>
      <c r="V182" s="37"/>
      <c r="W182" s="37"/>
      <c r="X182" s="37"/>
      <c r="Y182" s="38"/>
      <c r="Z182" s="37"/>
      <c r="AA182" s="37"/>
      <c r="AB182" s="37"/>
      <c r="AC182" s="37"/>
      <c r="AD182" s="37"/>
      <c r="AE182" s="37"/>
      <c r="AF182" s="38"/>
      <c r="AG182" s="37"/>
      <c r="AH182" s="37"/>
      <c r="AI182" s="37"/>
      <c r="AJ182" s="37"/>
      <c r="AK182" s="37"/>
      <c r="AL182" s="37"/>
      <c r="AM182" s="38"/>
      <c r="AN182" s="37"/>
      <c r="AO182" s="37"/>
      <c r="AP182" s="37"/>
      <c r="AQ182" s="37"/>
      <c r="AR182" s="37"/>
      <c r="AS182" s="37"/>
      <c r="AT182" s="37"/>
      <c r="AU182" s="38"/>
      <c r="AV182" s="38"/>
      <c r="AW182" s="38"/>
      <c r="AX182" s="37"/>
      <c r="AY182" s="37"/>
      <c r="AZ182" s="37"/>
      <c r="BA182" s="37"/>
      <c r="BB182" s="37"/>
      <c r="BC182" s="37"/>
      <c r="BD182" s="38"/>
      <c r="BE182" s="37"/>
      <c r="BF182" s="37"/>
      <c r="BG182" s="37"/>
      <c r="BH182" s="37"/>
      <c r="BI182" s="37"/>
      <c r="BJ182" s="37"/>
      <c r="BK182" s="37"/>
      <c r="BL182" s="37"/>
    </row>
    <row r="183" ht="15.75" customHeight="1">
      <c r="A183" s="37"/>
      <c r="B183" s="37"/>
      <c r="C183" s="38"/>
      <c r="D183" s="37"/>
      <c r="E183" s="37"/>
      <c r="F183" s="37"/>
      <c r="G183" s="37"/>
      <c r="H183" s="37"/>
      <c r="I183" s="37"/>
      <c r="J183" s="38"/>
      <c r="K183" s="38"/>
      <c r="L183" s="37"/>
      <c r="M183" s="37"/>
      <c r="N183" s="37"/>
      <c r="O183" s="37"/>
      <c r="P183" s="37"/>
      <c r="Q183" s="37"/>
      <c r="R183" s="38"/>
      <c r="S183" s="37"/>
      <c r="T183" s="37"/>
      <c r="U183" s="37"/>
      <c r="V183" s="37"/>
      <c r="W183" s="37"/>
      <c r="X183" s="37"/>
      <c r="Y183" s="38"/>
      <c r="Z183" s="37"/>
      <c r="AA183" s="37"/>
      <c r="AB183" s="37"/>
      <c r="AC183" s="37"/>
      <c r="AD183" s="37"/>
      <c r="AE183" s="37"/>
      <c r="AF183" s="38"/>
      <c r="AG183" s="37"/>
      <c r="AH183" s="37"/>
      <c r="AI183" s="37"/>
      <c r="AJ183" s="37"/>
      <c r="AK183" s="37"/>
      <c r="AL183" s="37"/>
      <c r="AM183" s="38"/>
      <c r="AN183" s="37"/>
      <c r="AO183" s="37"/>
      <c r="AP183" s="37"/>
      <c r="AQ183" s="37"/>
      <c r="AR183" s="37"/>
      <c r="AS183" s="37"/>
      <c r="AT183" s="37"/>
      <c r="AU183" s="38"/>
      <c r="AV183" s="38"/>
      <c r="AW183" s="38"/>
      <c r="AX183" s="37"/>
      <c r="AY183" s="37"/>
      <c r="AZ183" s="37"/>
      <c r="BA183" s="37"/>
      <c r="BB183" s="37"/>
      <c r="BC183" s="37"/>
      <c r="BD183" s="38"/>
      <c r="BE183" s="37"/>
      <c r="BF183" s="37"/>
      <c r="BG183" s="37"/>
      <c r="BH183" s="37"/>
      <c r="BI183" s="37"/>
      <c r="BJ183" s="37"/>
      <c r="BK183" s="37"/>
      <c r="BL183" s="37"/>
    </row>
    <row r="184" ht="15.75" customHeight="1">
      <c r="A184" s="37"/>
      <c r="B184" s="37"/>
      <c r="C184" s="38"/>
      <c r="D184" s="37"/>
      <c r="E184" s="37"/>
      <c r="F184" s="37"/>
      <c r="G184" s="37"/>
      <c r="H184" s="37"/>
      <c r="I184" s="37"/>
      <c r="J184" s="38"/>
      <c r="K184" s="38"/>
      <c r="L184" s="37"/>
      <c r="M184" s="37"/>
      <c r="N184" s="37"/>
      <c r="O184" s="37"/>
      <c r="P184" s="37"/>
      <c r="Q184" s="37"/>
      <c r="R184" s="38"/>
      <c r="S184" s="37"/>
      <c r="T184" s="37"/>
      <c r="U184" s="37"/>
      <c r="V184" s="37"/>
      <c r="W184" s="37"/>
      <c r="X184" s="37"/>
      <c r="Y184" s="38"/>
      <c r="Z184" s="37"/>
      <c r="AA184" s="37"/>
      <c r="AB184" s="37"/>
      <c r="AC184" s="37"/>
      <c r="AD184" s="37"/>
      <c r="AE184" s="37"/>
      <c r="AF184" s="38"/>
      <c r="AG184" s="37"/>
      <c r="AH184" s="37"/>
      <c r="AI184" s="37"/>
      <c r="AJ184" s="37"/>
      <c r="AK184" s="37"/>
      <c r="AL184" s="37"/>
      <c r="AM184" s="38"/>
      <c r="AN184" s="37"/>
      <c r="AO184" s="37"/>
      <c r="AP184" s="37"/>
      <c r="AQ184" s="37"/>
      <c r="AR184" s="37"/>
      <c r="AS184" s="37"/>
      <c r="AT184" s="37"/>
      <c r="AU184" s="38"/>
      <c r="AV184" s="38"/>
      <c r="AW184" s="38"/>
      <c r="AX184" s="37"/>
      <c r="AY184" s="37"/>
      <c r="AZ184" s="37"/>
      <c r="BA184" s="37"/>
      <c r="BB184" s="37"/>
      <c r="BC184" s="37"/>
      <c r="BD184" s="38"/>
      <c r="BE184" s="37"/>
      <c r="BF184" s="37"/>
      <c r="BG184" s="37"/>
      <c r="BH184" s="37"/>
      <c r="BI184" s="37"/>
      <c r="BJ184" s="37"/>
      <c r="BK184" s="37"/>
      <c r="BL184" s="37"/>
    </row>
    <row r="185" ht="15.75" customHeight="1">
      <c r="A185" s="37"/>
      <c r="B185" s="37"/>
      <c r="C185" s="38"/>
      <c r="D185" s="37"/>
      <c r="E185" s="37"/>
      <c r="F185" s="37"/>
      <c r="G185" s="37"/>
      <c r="H185" s="37"/>
      <c r="I185" s="37"/>
      <c r="J185" s="38"/>
      <c r="K185" s="38"/>
      <c r="L185" s="37"/>
      <c r="M185" s="37"/>
      <c r="N185" s="37"/>
      <c r="O185" s="37"/>
      <c r="P185" s="37"/>
      <c r="Q185" s="37"/>
      <c r="R185" s="38"/>
      <c r="S185" s="37"/>
      <c r="T185" s="37"/>
      <c r="U185" s="37"/>
      <c r="V185" s="37"/>
      <c r="W185" s="37"/>
      <c r="X185" s="37"/>
      <c r="Y185" s="38"/>
      <c r="Z185" s="37"/>
      <c r="AA185" s="37"/>
      <c r="AB185" s="37"/>
      <c r="AC185" s="37"/>
      <c r="AD185" s="37"/>
      <c r="AE185" s="37"/>
      <c r="AF185" s="38"/>
      <c r="AG185" s="37"/>
      <c r="AH185" s="37"/>
      <c r="AI185" s="37"/>
      <c r="AJ185" s="37"/>
      <c r="AK185" s="37"/>
      <c r="AL185" s="37"/>
      <c r="AM185" s="38"/>
      <c r="AN185" s="37"/>
      <c r="AO185" s="37"/>
      <c r="AP185" s="37"/>
      <c r="AQ185" s="37"/>
      <c r="AR185" s="37"/>
      <c r="AS185" s="37"/>
      <c r="AT185" s="37"/>
      <c r="AU185" s="38"/>
      <c r="AV185" s="38"/>
      <c r="AW185" s="38"/>
      <c r="AX185" s="37"/>
      <c r="AY185" s="37"/>
      <c r="AZ185" s="37"/>
      <c r="BA185" s="37"/>
      <c r="BB185" s="37"/>
      <c r="BC185" s="37"/>
      <c r="BD185" s="38"/>
      <c r="BE185" s="37"/>
      <c r="BF185" s="37"/>
      <c r="BG185" s="37"/>
      <c r="BH185" s="37"/>
      <c r="BI185" s="37"/>
      <c r="BJ185" s="37"/>
      <c r="BK185" s="37"/>
      <c r="BL185" s="37"/>
    </row>
    <row r="186" ht="15.75" customHeight="1">
      <c r="A186" s="37"/>
      <c r="B186" s="37"/>
      <c r="C186" s="38"/>
      <c r="D186" s="37"/>
      <c r="E186" s="37"/>
      <c r="F186" s="37"/>
      <c r="G186" s="37"/>
      <c r="H186" s="37"/>
      <c r="I186" s="37"/>
      <c r="J186" s="38"/>
      <c r="K186" s="38"/>
      <c r="L186" s="37"/>
      <c r="M186" s="37"/>
      <c r="N186" s="37"/>
      <c r="O186" s="37"/>
      <c r="P186" s="37"/>
      <c r="Q186" s="37"/>
      <c r="R186" s="38"/>
      <c r="S186" s="37"/>
      <c r="T186" s="37"/>
      <c r="U186" s="37"/>
      <c r="V186" s="37"/>
      <c r="W186" s="37"/>
      <c r="X186" s="37"/>
      <c r="Y186" s="38"/>
      <c r="Z186" s="37"/>
      <c r="AA186" s="37"/>
      <c r="AB186" s="37"/>
      <c r="AC186" s="37"/>
      <c r="AD186" s="37"/>
      <c r="AE186" s="37"/>
      <c r="AF186" s="38"/>
      <c r="AG186" s="37"/>
      <c r="AH186" s="37"/>
      <c r="AI186" s="37"/>
      <c r="AJ186" s="37"/>
      <c r="AK186" s="37"/>
      <c r="AL186" s="37"/>
      <c r="AM186" s="38"/>
      <c r="AN186" s="37"/>
      <c r="AO186" s="37"/>
      <c r="AP186" s="37"/>
      <c r="AQ186" s="37"/>
      <c r="AR186" s="37"/>
      <c r="AS186" s="37"/>
      <c r="AT186" s="37"/>
      <c r="AU186" s="38"/>
      <c r="AV186" s="38"/>
      <c r="AW186" s="38"/>
      <c r="AX186" s="37"/>
      <c r="AY186" s="37"/>
      <c r="AZ186" s="37"/>
      <c r="BA186" s="37"/>
      <c r="BB186" s="37"/>
      <c r="BC186" s="37"/>
      <c r="BD186" s="38"/>
      <c r="BE186" s="37"/>
      <c r="BF186" s="37"/>
      <c r="BG186" s="37"/>
      <c r="BH186" s="37"/>
      <c r="BI186" s="37"/>
      <c r="BJ186" s="37"/>
      <c r="BK186" s="37"/>
      <c r="BL186" s="37"/>
    </row>
    <row r="187" ht="15.75" customHeight="1">
      <c r="A187" s="37"/>
      <c r="B187" s="37"/>
      <c r="C187" s="38"/>
      <c r="D187" s="37"/>
      <c r="E187" s="37"/>
      <c r="F187" s="37"/>
      <c r="G187" s="37"/>
      <c r="H187" s="37"/>
      <c r="I187" s="37"/>
      <c r="J187" s="38"/>
      <c r="K187" s="38"/>
      <c r="L187" s="37"/>
      <c r="M187" s="37"/>
      <c r="N187" s="37"/>
      <c r="O187" s="37"/>
      <c r="P187" s="37"/>
      <c r="Q187" s="37"/>
      <c r="R187" s="38"/>
      <c r="S187" s="37"/>
      <c r="T187" s="37"/>
      <c r="U187" s="37"/>
      <c r="V187" s="37"/>
      <c r="W187" s="37"/>
      <c r="X187" s="37"/>
      <c r="Y187" s="38"/>
      <c r="Z187" s="37"/>
      <c r="AA187" s="37"/>
      <c r="AB187" s="37"/>
      <c r="AC187" s="37"/>
      <c r="AD187" s="37"/>
      <c r="AE187" s="37"/>
      <c r="AF187" s="38"/>
      <c r="AG187" s="37"/>
      <c r="AH187" s="37"/>
      <c r="AI187" s="37"/>
      <c r="AJ187" s="37"/>
      <c r="AK187" s="37"/>
      <c r="AL187" s="37"/>
      <c r="AM187" s="38"/>
      <c r="AN187" s="37"/>
      <c r="AO187" s="37"/>
      <c r="AP187" s="37"/>
      <c r="AQ187" s="37"/>
      <c r="AR187" s="37"/>
      <c r="AS187" s="37"/>
      <c r="AT187" s="37"/>
      <c r="AU187" s="38"/>
      <c r="AV187" s="38"/>
      <c r="AW187" s="38"/>
      <c r="AX187" s="37"/>
      <c r="AY187" s="37"/>
      <c r="AZ187" s="37"/>
      <c r="BA187" s="37"/>
      <c r="BB187" s="37"/>
      <c r="BC187" s="37"/>
      <c r="BD187" s="38"/>
      <c r="BE187" s="37"/>
      <c r="BF187" s="37"/>
      <c r="BG187" s="37"/>
      <c r="BH187" s="37"/>
      <c r="BI187" s="37"/>
      <c r="BJ187" s="37"/>
      <c r="BK187" s="37"/>
      <c r="BL187" s="37"/>
    </row>
    <row r="188" ht="15.75" customHeight="1">
      <c r="A188" s="37"/>
      <c r="B188" s="37"/>
      <c r="C188" s="38"/>
      <c r="D188" s="37"/>
      <c r="E188" s="37"/>
      <c r="F188" s="37"/>
      <c r="G188" s="37"/>
      <c r="H188" s="37"/>
      <c r="I188" s="37"/>
      <c r="J188" s="38"/>
      <c r="K188" s="38"/>
      <c r="L188" s="37"/>
      <c r="M188" s="37"/>
      <c r="N188" s="37"/>
      <c r="O188" s="37"/>
      <c r="P188" s="37"/>
      <c r="Q188" s="37"/>
      <c r="R188" s="38"/>
      <c r="S188" s="37"/>
      <c r="T188" s="37"/>
      <c r="U188" s="37"/>
      <c r="V188" s="37"/>
      <c r="W188" s="37"/>
      <c r="X188" s="37"/>
      <c r="Y188" s="38"/>
      <c r="Z188" s="37"/>
      <c r="AA188" s="37"/>
      <c r="AB188" s="37"/>
      <c r="AC188" s="37"/>
      <c r="AD188" s="37"/>
      <c r="AE188" s="37"/>
      <c r="AF188" s="38"/>
      <c r="AG188" s="37"/>
      <c r="AH188" s="37"/>
      <c r="AI188" s="37"/>
      <c r="AJ188" s="37"/>
      <c r="AK188" s="37"/>
      <c r="AL188" s="37"/>
      <c r="AM188" s="38"/>
      <c r="AN188" s="37"/>
      <c r="AO188" s="37"/>
      <c r="AP188" s="37"/>
      <c r="AQ188" s="37"/>
      <c r="AR188" s="37"/>
      <c r="AS188" s="37"/>
      <c r="AT188" s="37"/>
      <c r="AU188" s="38"/>
      <c r="AV188" s="38"/>
      <c r="AW188" s="38"/>
      <c r="AX188" s="37"/>
      <c r="AY188" s="37"/>
      <c r="AZ188" s="37"/>
      <c r="BA188" s="37"/>
      <c r="BB188" s="37"/>
      <c r="BC188" s="37"/>
      <c r="BD188" s="38"/>
      <c r="BE188" s="37"/>
      <c r="BF188" s="37"/>
      <c r="BG188" s="37"/>
      <c r="BH188" s="37"/>
      <c r="BI188" s="37"/>
      <c r="BJ188" s="37"/>
      <c r="BK188" s="37"/>
      <c r="BL188" s="37"/>
    </row>
    <row r="189" ht="15.75" customHeight="1">
      <c r="A189" s="37"/>
      <c r="B189" s="37"/>
      <c r="C189" s="38"/>
      <c r="D189" s="37"/>
      <c r="E189" s="37"/>
      <c r="F189" s="37"/>
      <c r="G189" s="37"/>
      <c r="H189" s="37"/>
      <c r="I189" s="37"/>
      <c r="J189" s="38"/>
      <c r="K189" s="38"/>
      <c r="L189" s="37"/>
      <c r="M189" s="37"/>
      <c r="N189" s="37"/>
      <c r="O189" s="37"/>
      <c r="P189" s="37"/>
      <c r="Q189" s="37"/>
      <c r="R189" s="38"/>
      <c r="S189" s="37"/>
      <c r="T189" s="37"/>
      <c r="U189" s="37"/>
      <c r="V189" s="37"/>
      <c r="W189" s="37"/>
      <c r="X189" s="37"/>
      <c r="Y189" s="38"/>
      <c r="Z189" s="37"/>
      <c r="AA189" s="37"/>
      <c r="AB189" s="37"/>
      <c r="AC189" s="37"/>
      <c r="AD189" s="37"/>
      <c r="AE189" s="37"/>
      <c r="AF189" s="38"/>
      <c r="AG189" s="37"/>
      <c r="AH189" s="37"/>
      <c r="AI189" s="37"/>
      <c r="AJ189" s="37"/>
      <c r="AK189" s="37"/>
      <c r="AL189" s="37"/>
      <c r="AM189" s="38"/>
      <c r="AN189" s="37"/>
      <c r="AO189" s="37"/>
      <c r="AP189" s="37"/>
      <c r="AQ189" s="37"/>
      <c r="AR189" s="37"/>
      <c r="AS189" s="37"/>
      <c r="AT189" s="37"/>
      <c r="AU189" s="38"/>
      <c r="AV189" s="38"/>
      <c r="AW189" s="38"/>
      <c r="AX189" s="37"/>
      <c r="AY189" s="37"/>
      <c r="AZ189" s="37"/>
      <c r="BA189" s="37"/>
      <c r="BB189" s="37"/>
      <c r="BC189" s="37"/>
      <c r="BD189" s="38"/>
      <c r="BE189" s="37"/>
      <c r="BF189" s="37"/>
      <c r="BG189" s="37"/>
      <c r="BH189" s="37"/>
      <c r="BI189" s="37"/>
      <c r="BJ189" s="37"/>
      <c r="BK189" s="37"/>
      <c r="BL189" s="37"/>
    </row>
    <row r="190" ht="15.75" customHeight="1">
      <c r="A190" s="37"/>
      <c r="B190" s="37"/>
      <c r="C190" s="38"/>
      <c r="D190" s="37"/>
      <c r="E190" s="37"/>
      <c r="F190" s="37"/>
      <c r="G190" s="37"/>
      <c r="H190" s="37"/>
      <c r="I190" s="37"/>
      <c r="J190" s="38"/>
      <c r="K190" s="38"/>
      <c r="L190" s="37"/>
      <c r="M190" s="37"/>
      <c r="N190" s="37"/>
      <c r="O190" s="37"/>
      <c r="P190" s="37"/>
      <c r="Q190" s="37"/>
      <c r="R190" s="38"/>
      <c r="S190" s="37"/>
      <c r="T190" s="37"/>
      <c r="U190" s="37"/>
      <c r="V190" s="37"/>
      <c r="W190" s="37"/>
      <c r="X190" s="37"/>
      <c r="Y190" s="38"/>
      <c r="Z190" s="37"/>
      <c r="AA190" s="37"/>
      <c r="AB190" s="37"/>
      <c r="AC190" s="37"/>
      <c r="AD190" s="37"/>
      <c r="AE190" s="37"/>
      <c r="AF190" s="38"/>
      <c r="AG190" s="37"/>
      <c r="AH190" s="37"/>
      <c r="AI190" s="37"/>
      <c r="AJ190" s="37"/>
      <c r="AK190" s="37"/>
      <c r="AL190" s="37"/>
      <c r="AM190" s="38"/>
      <c r="AN190" s="37"/>
      <c r="AO190" s="37"/>
      <c r="AP190" s="37"/>
      <c r="AQ190" s="37"/>
      <c r="AR190" s="37"/>
      <c r="AS190" s="37"/>
      <c r="AT190" s="37"/>
      <c r="AU190" s="38"/>
      <c r="AV190" s="38"/>
      <c r="AW190" s="38"/>
      <c r="AX190" s="37"/>
      <c r="AY190" s="37"/>
      <c r="AZ190" s="37"/>
      <c r="BA190" s="37"/>
      <c r="BB190" s="37"/>
      <c r="BC190" s="37"/>
      <c r="BD190" s="38"/>
      <c r="BE190" s="37"/>
      <c r="BF190" s="37"/>
      <c r="BG190" s="37"/>
      <c r="BH190" s="37"/>
      <c r="BI190" s="37"/>
      <c r="BJ190" s="37"/>
      <c r="BK190" s="37"/>
      <c r="BL190" s="37"/>
    </row>
    <row r="191" ht="15.75" customHeight="1">
      <c r="A191" s="37"/>
      <c r="B191" s="37"/>
      <c r="C191" s="38"/>
      <c r="D191" s="37"/>
      <c r="E191" s="37"/>
      <c r="F191" s="37"/>
      <c r="G191" s="37"/>
      <c r="H191" s="37"/>
      <c r="I191" s="37"/>
      <c r="J191" s="38"/>
      <c r="K191" s="38"/>
      <c r="L191" s="37"/>
      <c r="M191" s="37"/>
      <c r="N191" s="37"/>
      <c r="O191" s="37"/>
      <c r="P191" s="37"/>
      <c r="Q191" s="37"/>
      <c r="R191" s="38"/>
      <c r="S191" s="37"/>
      <c r="T191" s="37"/>
      <c r="U191" s="37"/>
      <c r="V191" s="37"/>
      <c r="W191" s="37"/>
      <c r="X191" s="37"/>
      <c r="Y191" s="38"/>
      <c r="Z191" s="37"/>
      <c r="AA191" s="37"/>
      <c r="AB191" s="37"/>
      <c r="AC191" s="37"/>
      <c r="AD191" s="37"/>
      <c r="AE191" s="37"/>
      <c r="AF191" s="38"/>
      <c r="AG191" s="37"/>
      <c r="AH191" s="37"/>
      <c r="AI191" s="37"/>
      <c r="AJ191" s="37"/>
      <c r="AK191" s="37"/>
      <c r="AL191" s="37"/>
      <c r="AM191" s="38"/>
      <c r="AN191" s="37"/>
      <c r="AO191" s="37"/>
      <c r="AP191" s="37"/>
      <c r="AQ191" s="37"/>
      <c r="AR191" s="37"/>
      <c r="AS191" s="37"/>
      <c r="AT191" s="37"/>
      <c r="AU191" s="38"/>
      <c r="AV191" s="38"/>
      <c r="AW191" s="38"/>
      <c r="AX191" s="37"/>
      <c r="AY191" s="37"/>
      <c r="AZ191" s="37"/>
      <c r="BA191" s="37"/>
      <c r="BB191" s="37"/>
      <c r="BC191" s="37"/>
      <c r="BD191" s="38"/>
      <c r="BE191" s="37"/>
      <c r="BF191" s="37"/>
      <c r="BG191" s="37"/>
      <c r="BH191" s="37"/>
      <c r="BI191" s="37"/>
      <c r="BJ191" s="37"/>
      <c r="BK191" s="37"/>
      <c r="BL191" s="37"/>
    </row>
    <row r="192" ht="15.75" customHeight="1">
      <c r="A192" s="37"/>
      <c r="B192" s="37"/>
      <c r="C192" s="38"/>
      <c r="D192" s="37"/>
      <c r="E192" s="37"/>
      <c r="F192" s="37"/>
      <c r="G192" s="37"/>
      <c r="H192" s="37"/>
      <c r="I192" s="37"/>
      <c r="J192" s="38"/>
      <c r="K192" s="38"/>
      <c r="L192" s="37"/>
      <c r="M192" s="37"/>
      <c r="N192" s="37"/>
      <c r="O192" s="37"/>
      <c r="P192" s="37"/>
      <c r="Q192" s="37"/>
      <c r="R192" s="38"/>
      <c r="S192" s="37"/>
      <c r="T192" s="37"/>
      <c r="U192" s="37"/>
      <c r="V192" s="37"/>
      <c r="W192" s="37"/>
      <c r="X192" s="37"/>
      <c r="Y192" s="38"/>
      <c r="Z192" s="37"/>
      <c r="AA192" s="37"/>
      <c r="AB192" s="37"/>
      <c r="AC192" s="37"/>
      <c r="AD192" s="37"/>
      <c r="AE192" s="37"/>
      <c r="AF192" s="38"/>
      <c r="AG192" s="37"/>
      <c r="AH192" s="37"/>
      <c r="AI192" s="37"/>
      <c r="AJ192" s="37"/>
      <c r="AK192" s="37"/>
      <c r="AL192" s="37"/>
      <c r="AM192" s="38"/>
      <c r="AN192" s="37"/>
      <c r="AO192" s="37"/>
      <c r="AP192" s="37"/>
      <c r="AQ192" s="37"/>
      <c r="AR192" s="37"/>
      <c r="AS192" s="37"/>
      <c r="AT192" s="37"/>
      <c r="AU192" s="38"/>
      <c r="AV192" s="38"/>
      <c r="AW192" s="38"/>
      <c r="AX192" s="37"/>
      <c r="AY192" s="37"/>
      <c r="AZ192" s="37"/>
      <c r="BA192" s="37"/>
      <c r="BB192" s="37"/>
      <c r="BC192" s="37"/>
      <c r="BD192" s="38"/>
      <c r="BE192" s="37"/>
      <c r="BF192" s="37"/>
      <c r="BG192" s="37"/>
      <c r="BH192" s="37"/>
      <c r="BI192" s="37"/>
      <c r="BJ192" s="37"/>
      <c r="BK192" s="37"/>
      <c r="BL192" s="37"/>
    </row>
    <row r="193" ht="15.75" customHeight="1">
      <c r="A193" s="37"/>
      <c r="B193" s="37"/>
      <c r="C193" s="38"/>
      <c r="D193" s="37"/>
      <c r="E193" s="37"/>
      <c r="F193" s="37"/>
      <c r="G193" s="37"/>
      <c r="H193" s="37"/>
      <c r="I193" s="37"/>
      <c r="J193" s="38"/>
      <c r="K193" s="38"/>
      <c r="L193" s="37"/>
      <c r="M193" s="37"/>
      <c r="N193" s="37"/>
      <c r="O193" s="37"/>
      <c r="P193" s="37"/>
      <c r="Q193" s="37"/>
      <c r="R193" s="38"/>
      <c r="S193" s="37"/>
      <c r="T193" s="37"/>
      <c r="U193" s="37"/>
      <c r="V193" s="37"/>
      <c r="W193" s="37"/>
      <c r="X193" s="37"/>
      <c r="Y193" s="38"/>
      <c r="Z193" s="37"/>
      <c r="AA193" s="37"/>
      <c r="AB193" s="37"/>
      <c r="AC193" s="37"/>
      <c r="AD193" s="37"/>
      <c r="AE193" s="37"/>
      <c r="AF193" s="38"/>
      <c r="AG193" s="37"/>
      <c r="AH193" s="37"/>
      <c r="AI193" s="37"/>
      <c r="AJ193" s="37"/>
      <c r="AK193" s="37"/>
      <c r="AL193" s="37"/>
      <c r="AM193" s="38"/>
      <c r="AN193" s="37"/>
      <c r="AO193" s="37"/>
      <c r="AP193" s="37"/>
      <c r="AQ193" s="37"/>
      <c r="AR193" s="37"/>
      <c r="AS193" s="37"/>
      <c r="AT193" s="37"/>
      <c r="AU193" s="38"/>
      <c r="AV193" s="38"/>
      <c r="AW193" s="38"/>
      <c r="AX193" s="37"/>
      <c r="AY193" s="37"/>
      <c r="AZ193" s="37"/>
      <c r="BA193" s="37"/>
      <c r="BB193" s="37"/>
      <c r="BC193" s="37"/>
      <c r="BD193" s="38"/>
      <c r="BE193" s="37"/>
      <c r="BF193" s="37"/>
      <c r="BG193" s="37"/>
      <c r="BH193" s="37"/>
      <c r="BI193" s="37"/>
      <c r="BJ193" s="37"/>
      <c r="BK193" s="37"/>
      <c r="BL193" s="37"/>
    </row>
    <row r="194" ht="15.75" customHeight="1">
      <c r="A194" s="37"/>
      <c r="B194" s="37"/>
      <c r="C194" s="38"/>
      <c r="D194" s="37"/>
      <c r="E194" s="37"/>
      <c r="F194" s="37"/>
      <c r="G194" s="37"/>
      <c r="H194" s="37"/>
      <c r="I194" s="37"/>
      <c r="J194" s="38"/>
      <c r="K194" s="38"/>
      <c r="L194" s="37"/>
      <c r="M194" s="37"/>
      <c r="N194" s="37"/>
      <c r="O194" s="37"/>
      <c r="P194" s="37"/>
      <c r="Q194" s="37"/>
      <c r="R194" s="38"/>
      <c r="S194" s="37"/>
      <c r="T194" s="37"/>
      <c r="U194" s="37"/>
      <c r="V194" s="37"/>
      <c r="W194" s="37"/>
      <c r="X194" s="37"/>
      <c r="Y194" s="38"/>
      <c r="Z194" s="37"/>
      <c r="AA194" s="37"/>
      <c r="AB194" s="37"/>
      <c r="AC194" s="37"/>
      <c r="AD194" s="37"/>
      <c r="AE194" s="37"/>
      <c r="AF194" s="38"/>
      <c r="AG194" s="37"/>
      <c r="AH194" s="37"/>
      <c r="AI194" s="37"/>
      <c r="AJ194" s="37"/>
      <c r="AK194" s="37"/>
      <c r="AL194" s="37"/>
      <c r="AM194" s="38"/>
      <c r="AN194" s="37"/>
      <c r="AO194" s="37"/>
      <c r="AP194" s="37"/>
      <c r="AQ194" s="37"/>
      <c r="AR194" s="37"/>
      <c r="AS194" s="37"/>
      <c r="AT194" s="37"/>
      <c r="AU194" s="38"/>
      <c r="AV194" s="38"/>
      <c r="AW194" s="38"/>
      <c r="AX194" s="37"/>
      <c r="AY194" s="37"/>
      <c r="AZ194" s="37"/>
      <c r="BA194" s="37"/>
      <c r="BB194" s="37"/>
      <c r="BC194" s="37"/>
      <c r="BD194" s="38"/>
      <c r="BE194" s="37"/>
      <c r="BF194" s="37"/>
      <c r="BG194" s="37"/>
      <c r="BH194" s="37"/>
      <c r="BI194" s="37"/>
      <c r="BJ194" s="37"/>
      <c r="BK194" s="37"/>
      <c r="BL194" s="37"/>
    </row>
    <row r="195" ht="15.75" customHeight="1">
      <c r="A195" s="37"/>
      <c r="B195" s="37"/>
      <c r="C195" s="38"/>
      <c r="D195" s="37"/>
      <c r="E195" s="37"/>
      <c r="F195" s="37"/>
      <c r="G195" s="37"/>
      <c r="H195" s="37"/>
      <c r="I195" s="37"/>
      <c r="J195" s="38"/>
      <c r="K195" s="38"/>
      <c r="L195" s="37"/>
      <c r="M195" s="37"/>
      <c r="N195" s="37"/>
      <c r="O195" s="37"/>
      <c r="P195" s="37"/>
      <c r="Q195" s="37"/>
      <c r="R195" s="38"/>
      <c r="S195" s="37"/>
      <c r="T195" s="37"/>
      <c r="U195" s="37"/>
      <c r="V195" s="37"/>
      <c r="W195" s="37"/>
      <c r="X195" s="37"/>
      <c r="Y195" s="38"/>
      <c r="Z195" s="37"/>
      <c r="AA195" s="37"/>
      <c r="AB195" s="37"/>
      <c r="AC195" s="37"/>
      <c r="AD195" s="37"/>
      <c r="AE195" s="37"/>
      <c r="AF195" s="38"/>
      <c r="AG195" s="37"/>
      <c r="AH195" s="37"/>
      <c r="AI195" s="37"/>
      <c r="AJ195" s="37"/>
      <c r="AK195" s="37"/>
      <c r="AL195" s="37"/>
      <c r="AM195" s="38"/>
      <c r="AN195" s="37"/>
      <c r="AO195" s="37"/>
      <c r="AP195" s="37"/>
      <c r="AQ195" s="37"/>
      <c r="AR195" s="37"/>
      <c r="AS195" s="37"/>
      <c r="AT195" s="37"/>
      <c r="AU195" s="38"/>
      <c r="AV195" s="38"/>
      <c r="AW195" s="38"/>
      <c r="AX195" s="37"/>
      <c r="AY195" s="37"/>
      <c r="AZ195" s="37"/>
      <c r="BA195" s="37"/>
      <c r="BB195" s="37"/>
      <c r="BC195" s="37"/>
      <c r="BD195" s="38"/>
      <c r="BE195" s="37"/>
      <c r="BF195" s="37"/>
      <c r="BG195" s="37"/>
      <c r="BH195" s="37"/>
      <c r="BI195" s="37"/>
      <c r="BJ195" s="37"/>
      <c r="BK195" s="37"/>
      <c r="BL195" s="37"/>
    </row>
    <row r="196" ht="15.75" customHeight="1">
      <c r="A196" s="37"/>
      <c r="B196" s="37"/>
      <c r="C196" s="38"/>
      <c r="D196" s="37"/>
      <c r="E196" s="37"/>
      <c r="F196" s="37"/>
      <c r="G196" s="37"/>
      <c r="H196" s="37"/>
      <c r="I196" s="37"/>
      <c r="J196" s="38"/>
      <c r="K196" s="38"/>
      <c r="L196" s="37"/>
      <c r="M196" s="37"/>
      <c r="N196" s="37"/>
      <c r="O196" s="37"/>
      <c r="P196" s="37"/>
      <c r="Q196" s="37"/>
      <c r="R196" s="38"/>
      <c r="S196" s="37"/>
      <c r="T196" s="37"/>
      <c r="U196" s="37"/>
      <c r="V196" s="37"/>
      <c r="W196" s="37"/>
      <c r="X196" s="37"/>
      <c r="Y196" s="38"/>
      <c r="Z196" s="37"/>
      <c r="AA196" s="37"/>
      <c r="AB196" s="37"/>
      <c r="AC196" s="37"/>
      <c r="AD196" s="37"/>
      <c r="AE196" s="37"/>
      <c r="AF196" s="38"/>
      <c r="AG196" s="37"/>
      <c r="AH196" s="37"/>
      <c r="AI196" s="37"/>
      <c r="AJ196" s="37"/>
      <c r="AK196" s="37"/>
      <c r="AL196" s="37"/>
      <c r="AM196" s="38"/>
      <c r="AN196" s="37"/>
      <c r="AO196" s="37"/>
      <c r="AP196" s="37"/>
      <c r="AQ196" s="37"/>
      <c r="AR196" s="37"/>
      <c r="AS196" s="37"/>
      <c r="AT196" s="37"/>
      <c r="AU196" s="38"/>
      <c r="AV196" s="38"/>
      <c r="AW196" s="38"/>
      <c r="AX196" s="37"/>
      <c r="AY196" s="37"/>
      <c r="AZ196" s="37"/>
      <c r="BA196" s="37"/>
      <c r="BB196" s="37"/>
      <c r="BC196" s="37"/>
      <c r="BD196" s="38"/>
      <c r="BE196" s="37"/>
      <c r="BF196" s="37"/>
      <c r="BG196" s="37"/>
      <c r="BH196" s="37"/>
      <c r="BI196" s="37"/>
      <c r="BJ196" s="37"/>
      <c r="BK196" s="37"/>
      <c r="BL196" s="37"/>
    </row>
    <row r="197" ht="15.75" customHeight="1">
      <c r="A197" s="37"/>
      <c r="B197" s="37"/>
      <c r="C197" s="38"/>
      <c r="D197" s="37"/>
      <c r="E197" s="37"/>
      <c r="F197" s="37"/>
      <c r="G197" s="37"/>
      <c r="H197" s="37"/>
      <c r="I197" s="37"/>
      <c r="J197" s="38"/>
      <c r="K197" s="38"/>
      <c r="L197" s="37"/>
      <c r="M197" s="37"/>
      <c r="N197" s="37"/>
      <c r="O197" s="37"/>
      <c r="P197" s="37"/>
      <c r="Q197" s="37"/>
      <c r="R197" s="38"/>
      <c r="S197" s="37"/>
      <c r="T197" s="37"/>
      <c r="U197" s="37"/>
      <c r="V197" s="37"/>
      <c r="W197" s="37"/>
      <c r="X197" s="37"/>
      <c r="Y197" s="38"/>
      <c r="Z197" s="37"/>
      <c r="AA197" s="37"/>
      <c r="AB197" s="37"/>
      <c r="AC197" s="37"/>
      <c r="AD197" s="37"/>
      <c r="AE197" s="37"/>
      <c r="AF197" s="38"/>
      <c r="AG197" s="37"/>
      <c r="AH197" s="37"/>
      <c r="AI197" s="37"/>
      <c r="AJ197" s="37"/>
      <c r="AK197" s="37"/>
      <c r="AL197" s="37"/>
      <c r="AM197" s="38"/>
      <c r="AN197" s="37"/>
      <c r="AO197" s="37"/>
      <c r="AP197" s="37"/>
      <c r="AQ197" s="37"/>
      <c r="AR197" s="37"/>
      <c r="AS197" s="37"/>
      <c r="AT197" s="37"/>
      <c r="AU197" s="38"/>
      <c r="AV197" s="38"/>
      <c r="AW197" s="38"/>
      <c r="AX197" s="37"/>
      <c r="AY197" s="37"/>
      <c r="AZ197" s="37"/>
      <c r="BA197" s="37"/>
      <c r="BB197" s="37"/>
      <c r="BC197" s="37"/>
      <c r="BD197" s="38"/>
      <c r="BE197" s="37"/>
      <c r="BF197" s="37"/>
      <c r="BG197" s="37"/>
      <c r="BH197" s="37"/>
      <c r="BI197" s="37"/>
      <c r="BJ197" s="37"/>
      <c r="BK197" s="37"/>
      <c r="BL197" s="37"/>
    </row>
    <row r="198" ht="15.75" customHeight="1">
      <c r="A198" s="37"/>
      <c r="B198" s="37"/>
      <c r="C198" s="38"/>
      <c r="D198" s="37"/>
      <c r="E198" s="37"/>
      <c r="F198" s="37"/>
      <c r="G198" s="37"/>
      <c r="H198" s="37"/>
      <c r="I198" s="37"/>
      <c r="J198" s="38"/>
      <c r="K198" s="38"/>
      <c r="L198" s="37"/>
      <c r="M198" s="37"/>
      <c r="N198" s="37"/>
      <c r="O198" s="37"/>
      <c r="P198" s="37"/>
      <c r="Q198" s="37"/>
      <c r="R198" s="38"/>
      <c r="S198" s="37"/>
      <c r="T198" s="37"/>
      <c r="U198" s="37"/>
      <c r="V198" s="37"/>
      <c r="W198" s="37"/>
      <c r="X198" s="37"/>
      <c r="Y198" s="38"/>
      <c r="Z198" s="37"/>
      <c r="AA198" s="37"/>
      <c r="AB198" s="37"/>
      <c r="AC198" s="37"/>
      <c r="AD198" s="37"/>
      <c r="AE198" s="37"/>
      <c r="AF198" s="38"/>
      <c r="AG198" s="37"/>
      <c r="AH198" s="37"/>
      <c r="AI198" s="37"/>
      <c r="AJ198" s="37"/>
      <c r="AK198" s="37"/>
      <c r="AL198" s="37"/>
      <c r="AM198" s="38"/>
      <c r="AN198" s="37"/>
      <c r="AO198" s="37"/>
      <c r="AP198" s="37"/>
      <c r="AQ198" s="37"/>
      <c r="AR198" s="37"/>
      <c r="AS198" s="37"/>
      <c r="AT198" s="37"/>
      <c r="AU198" s="38"/>
      <c r="AV198" s="38"/>
      <c r="AW198" s="38"/>
      <c r="AX198" s="37"/>
      <c r="AY198" s="37"/>
      <c r="AZ198" s="37"/>
      <c r="BA198" s="37"/>
      <c r="BB198" s="37"/>
      <c r="BC198" s="37"/>
      <c r="BD198" s="38"/>
      <c r="BE198" s="37"/>
      <c r="BF198" s="37"/>
      <c r="BG198" s="37"/>
      <c r="BH198" s="37"/>
      <c r="BI198" s="37"/>
      <c r="BJ198" s="37"/>
      <c r="BK198" s="37"/>
      <c r="BL198" s="37"/>
    </row>
    <row r="199" ht="15.75" customHeight="1">
      <c r="A199" s="37"/>
      <c r="B199" s="37"/>
      <c r="C199" s="38"/>
      <c r="D199" s="37"/>
      <c r="E199" s="37"/>
      <c r="F199" s="37"/>
      <c r="G199" s="37"/>
      <c r="H199" s="37"/>
      <c r="I199" s="37"/>
      <c r="J199" s="38"/>
      <c r="K199" s="38"/>
      <c r="L199" s="37"/>
      <c r="M199" s="37"/>
      <c r="N199" s="37"/>
      <c r="O199" s="37"/>
      <c r="P199" s="37"/>
      <c r="Q199" s="37"/>
      <c r="R199" s="38"/>
      <c r="S199" s="37"/>
      <c r="T199" s="37"/>
      <c r="U199" s="37"/>
      <c r="V199" s="37"/>
      <c r="W199" s="37"/>
      <c r="X199" s="37"/>
      <c r="Y199" s="38"/>
      <c r="Z199" s="37"/>
      <c r="AA199" s="37"/>
      <c r="AB199" s="37"/>
      <c r="AC199" s="37"/>
      <c r="AD199" s="37"/>
      <c r="AE199" s="37"/>
      <c r="AF199" s="38"/>
      <c r="AG199" s="37"/>
      <c r="AH199" s="37"/>
      <c r="AI199" s="37"/>
      <c r="AJ199" s="37"/>
      <c r="AK199" s="37"/>
      <c r="AL199" s="37"/>
      <c r="AM199" s="38"/>
      <c r="AN199" s="37"/>
      <c r="AO199" s="37"/>
      <c r="AP199" s="37"/>
      <c r="AQ199" s="37"/>
      <c r="AR199" s="37"/>
      <c r="AS199" s="37"/>
      <c r="AT199" s="37"/>
      <c r="AU199" s="38"/>
      <c r="AV199" s="38"/>
      <c r="AW199" s="38"/>
      <c r="AX199" s="37"/>
      <c r="AY199" s="37"/>
      <c r="AZ199" s="37"/>
      <c r="BA199" s="37"/>
      <c r="BB199" s="37"/>
      <c r="BC199" s="37"/>
      <c r="BD199" s="38"/>
      <c r="BE199" s="37"/>
      <c r="BF199" s="37"/>
      <c r="BG199" s="37"/>
      <c r="BH199" s="37"/>
      <c r="BI199" s="37"/>
      <c r="BJ199" s="37"/>
      <c r="BK199" s="37"/>
      <c r="BL199" s="37"/>
    </row>
    <row r="200" ht="15.75" customHeight="1">
      <c r="A200" s="37"/>
      <c r="B200" s="37"/>
      <c r="C200" s="38"/>
      <c r="D200" s="37"/>
      <c r="E200" s="37"/>
      <c r="F200" s="37"/>
      <c r="G200" s="37"/>
      <c r="H200" s="37"/>
      <c r="I200" s="37"/>
      <c r="J200" s="38"/>
      <c r="K200" s="38"/>
      <c r="L200" s="37"/>
      <c r="M200" s="37"/>
      <c r="N200" s="37"/>
      <c r="O200" s="37"/>
      <c r="P200" s="37"/>
      <c r="Q200" s="37"/>
      <c r="R200" s="38"/>
      <c r="S200" s="37"/>
      <c r="T200" s="37"/>
      <c r="U200" s="37"/>
      <c r="V200" s="37"/>
      <c r="W200" s="37"/>
      <c r="X200" s="37"/>
      <c r="Y200" s="38"/>
      <c r="Z200" s="37"/>
      <c r="AA200" s="37"/>
      <c r="AB200" s="37"/>
      <c r="AC200" s="37"/>
      <c r="AD200" s="37"/>
      <c r="AE200" s="37"/>
      <c r="AF200" s="38"/>
      <c r="AG200" s="37"/>
      <c r="AH200" s="37"/>
      <c r="AI200" s="37"/>
      <c r="AJ200" s="37"/>
      <c r="AK200" s="37"/>
      <c r="AL200" s="37"/>
      <c r="AM200" s="38"/>
      <c r="AN200" s="37"/>
      <c r="AO200" s="37"/>
      <c r="AP200" s="37"/>
      <c r="AQ200" s="37"/>
      <c r="AR200" s="37"/>
      <c r="AS200" s="37"/>
      <c r="AT200" s="37"/>
      <c r="AU200" s="38"/>
      <c r="AV200" s="38"/>
      <c r="AW200" s="38"/>
      <c r="AX200" s="37"/>
      <c r="AY200" s="37"/>
      <c r="AZ200" s="37"/>
      <c r="BA200" s="37"/>
      <c r="BB200" s="37"/>
      <c r="BC200" s="37"/>
      <c r="BD200" s="38"/>
      <c r="BE200" s="37"/>
      <c r="BF200" s="37"/>
      <c r="BG200" s="37"/>
      <c r="BH200" s="37"/>
      <c r="BI200" s="37"/>
      <c r="BJ200" s="37"/>
      <c r="BK200" s="37"/>
      <c r="BL200" s="37"/>
    </row>
    <row r="201" ht="15.75" customHeight="1">
      <c r="A201" s="37"/>
      <c r="B201" s="37"/>
      <c r="C201" s="38"/>
      <c r="D201" s="37"/>
      <c r="E201" s="37"/>
      <c r="F201" s="37"/>
      <c r="G201" s="37"/>
      <c r="H201" s="37"/>
      <c r="I201" s="37"/>
      <c r="J201" s="38"/>
      <c r="K201" s="38"/>
      <c r="L201" s="37"/>
      <c r="M201" s="37"/>
      <c r="N201" s="37"/>
      <c r="O201" s="37"/>
      <c r="P201" s="37"/>
      <c r="Q201" s="37"/>
      <c r="R201" s="38"/>
      <c r="S201" s="37"/>
      <c r="T201" s="37"/>
      <c r="U201" s="37"/>
      <c r="V201" s="37"/>
      <c r="W201" s="37"/>
      <c r="X201" s="37"/>
      <c r="Y201" s="38"/>
      <c r="Z201" s="37"/>
      <c r="AA201" s="37"/>
      <c r="AB201" s="37"/>
      <c r="AC201" s="37"/>
      <c r="AD201" s="37"/>
      <c r="AE201" s="37"/>
      <c r="AF201" s="38"/>
      <c r="AG201" s="37"/>
      <c r="AH201" s="37"/>
      <c r="AI201" s="37"/>
      <c r="AJ201" s="37"/>
      <c r="AK201" s="37"/>
      <c r="AL201" s="37"/>
      <c r="AM201" s="38"/>
      <c r="AN201" s="37"/>
      <c r="AO201" s="37"/>
      <c r="AP201" s="37"/>
      <c r="AQ201" s="37"/>
      <c r="AR201" s="37"/>
      <c r="AS201" s="37"/>
      <c r="AT201" s="37"/>
      <c r="AU201" s="38"/>
      <c r="AV201" s="38"/>
      <c r="AW201" s="38"/>
      <c r="AX201" s="37"/>
      <c r="AY201" s="37"/>
      <c r="AZ201" s="37"/>
      <c r="BA201" s="37"/>
      <c r="BB201" s="37"/>
      <c r="BC201" s="37"/>
      <c r="BD201" s="38"/>
      <c r="BE201" s="37"/>
      <c r="BF201" s="37"/>
      <c r="BG201" s="37"/>
      <c r="BH201" s="37"/>
      <c r="BI201" s="37"/>
      <c r="BJ201" s="37"/>
      <c r="BK201" s="37"/>
      <c r="BL201" s="37"/>
    </row>
    <row r="202" ht="15.75" customHeight="1">
      <c r="A202" s="37"/>
      <c r="B202" s="37"/>
      <c r="C202" s="38"/>
      <c r="D202" s="37"/>
      <c r="E202" s="37"/>
      <c r="F202" s="37"/>
      <c r="G202" s="37"/>
      <c r="H202" s="37"/>
      <c r="I202" s="37"/>
      <c r="J202" s="38"/>
      <c r="K202" s="38"/>
      <c r="L202" s="37"/>
      <c r="M202" s="37"/>
      <c r="N202" s="37"/>
      <c r="O202" s="37"/>
      <c r="P202" s="37"/>
      <c r="Q202" s="37"/>
      <c r="R202" s="38"/>
      <c r="S202" s="37"/>
      <c r="T202" s="37"/>
      <c r="U202" s="37"/>
      <c r="V202" s="37"/>
      <c r="W202" s="37"/>
      <c r="X202" s="37"/>
      <c r="Y202" s="38"/>
      <c r="Z202" s="37"/>
      <c r="AA202" s="37"/>
      <c r="AB202" s="37"/>
      <c r="AC202" s="37"/>
      <c r="AD202" s="37"/>
      <c r="AE202" s="37"/>
      <c r="AF202" s="38"/>
      <c r="AG202" s="37"/>
      <c r="AH202" s="37"/>
      <c r="AI202" s="37"/>
      <c r="AJ202" s="37"/>
      <c r="AK202" s="37"/>
      <c r="AL202" s="37"/>
      <c r="AM202" s="38"/>
      <c r="AN202" s="37"/>
      <c r="AO202" s="37"/>
      <c r="AP202" s="37"/>
      <c r="AQ202" s="37"/>
      <c r="AR202" s="37"/>
      <c r="AS202" s="37"/>
      <c r="AT202" s="37"/>
      <c r="AU202" s="38"/>
      <c r="AV202" s="38"/>
      <c r="AW202" s="38"/>
      <c r="AX202" s="37"/>
      <c r="AY202" s="37"/>
      <c r="AZ202" s="37"/>
      <c r="BA202" s="37"/>
      <c r="BB202" s="37"/>
      <c r="BC202" s="37"/>
      <c r="BD202" s="38"/>
      <c r="BE202" s="37"/>
      <c r="BF202" s="37"/>
      <c r="BG202" s="37"/>
      <c r="BH202" s="37"/>
      <c r="BI202" s="37"/>
      <c r="BJ202" s="37"/>
      <c r="BK202" s="37"/>
      <c r="BL202" s="37"/>
    </row>
    <row r="203" ht="15.75" customHeight="1">
      <c r="A203" s="37"/>
      <c r="B203" s="37"/>
      <c r="C203" s="38"/>
      <c r="D203" s="37"/>
      <c r="E203" s="37"/>
      <c r="F203" s="37"/>
      <c r="G203" s="37"/>
      <c r="H203" s="37"/>
      <c r="I203" s="37"/>
      <c r="J203" s="38"/>
      <c r="K203" s="38"/>
      <c r="L203" s="37"/>
      <c r="M203" s="37"/>
      <c r="N203" s="37"/>
      <c r="O203" s="37"/>
      <c r="P203" s="37"/>
      <c r="Q203" s="37"/>
      <c r="R203" s="38"/>
      <c r="S203" s="37"/>
      <c r="T203" s="37"/>
      <c r="U203" s="37"/>
      <c r="V203" s="37"/>
      <c r="W203" s="37"/>
      <c r="X203" s="37"/>
      <c r="Y203" s="38"/>
      <c r="Z203" s="37"/>
      <c r="AA203" s="37"/>
      <c r="AB203" s="37"/>
      <c r="AC203" s="37"/>
      <c r="AD203" s="37"/>
      <c r="AE203" s="37"/>
      <c r="AF203" s="38"/>
      <c r="AG203" s="37"/>
      <c r="AH203" s="37"/>
      <c r="AI203" s="37"/>
      <c r="AJ203" s="37"/>
      <c r="AK203" s="37"/>
      <c r="AL203" s="37"/>
      <c r="AM203" s="38"/>
      <c r="AN203" s="37"/>
      <c r="AO203" s="37"/>
      <c r="AP203" s="37"/>
      <c r="AQ203" s="37"/>
      <c r="AR203" s="37"/>
      <c r="AS203" s="37"/>
      <c r="AT203" s="37"/>
      <c r="AU203" s="38"/>
      <c r="AV203" s="38"/>
      <c r="AW203" s="38"/>
      <c r="AX203" s="37"/>
      <c r="AY203" s="37"/>
      <c r="AZ203" s="37"/>
      <c r="BA203" s="37"/>
      <c r="BB203" s="37"/>
      <c r="BC203" s="37"/>
      <c r="BD203" s="38"/>
      <c r="BE203" s="37"/>
      <c r="BF203" s="37"/>
      <c r="BG203" s="37"/>
      <c r="BH203" s="37"/>
      <c r="BI203" s="37"/>
      <c r="BJ203" s="37"/>
      <c r="BK203" s="37"/>
      <c r="BL203" s="37"/>
    </row>
    <row r="204" ht="15.75" customHeight="1">
      <c r="A204" s="37"/>
      <c r="B204" s="37"/>
      <c r="C204" s="38"/>
      <c r="D204" s="37"/>
      <c r="E204" s="37"/>
      <c r="F204" s="37"/>
      <c r="G204" s="37"/>
      <c r="H204" s="37"/>
      <c r="I204" s="37"/>
      <c r="J204" s="38"/>
      <c r="K204" s="38"/>
      <c r="L204" s="37"/>
      <c r="M204" s="37"/>
      <c r="N204" s="37"/>
      <c r="O204" s="37"/>
      <c r="P204" s="37"/>
      <c r="Q204" s="37"/>
      <c r="R204" s="38"/>
      <c r="S204" s="37"/>
      <c r="T204" s="37"/>
      <c r="U204" s="37"/>
      <c r="V204" s="37"/>
      <c r="W204" s="37"/>
      <c r="X204" s="37"/>
      <c r="Y204" s="38"/>
      <c r="Z204" s="37"/>
      <c r="AA204" s="37"/>
      <c r="AB204" s="37"/>
      <c r="AC204" s="37"/>
      <c r="AD204" s="37"/>
      <c r="AE204" s="37"/>
      <c r="AF204" s="38"/>
      <c r="AG204" s="37"/>
      <c r="AH204" s="37"/>
      <c r="AI204" s="37"/>
      <c r="AJ204" s="37"/>
      <c r="AK204" s="37"/>
      <c r="AL204" s="37"/>
      <c r="AM204" s="38"/>
      <c r="AN204" s="37"/>
      <c r="AO204" s="37"/>
      <c r="AP204" s="37"/>
      <c r="AQ204" s="37"/>
      <c r="AR204" s="37"/>
      <c r="AS204" s="37"/>
      <c r="AT204" s="37"/>
      <c r="AU204" s="38"/>
      <c r="AV204" s="38"/>
      <c r="AW204" s="38"/>
      <c r="AX204" s="37"/>
      <c r="AY204" s="37"/>
      <c r="AZ204" s="37"/>
      <c r="BA204" s="37"/>
      <c r="BB204" s="37"/>
      <c r="BC204" s="37"/>
      <c r="BD204" s="38"/>
      <c r="BE204" s="37"/>
      <c r="BF204" s="37"/>
      <c r="BG204" s="37"/>
      <c r="BH204" s="37"/>
      <c r="BI204" s="37"/>
      <c r="BJ204" s="37"/>
      <c r="BK204" s="37"/>
      <c r="BL204" s="37"/>
    </row>
    <row r="205" ht="15.75" customHeight="1">
      <c r="A205" s="37"/>
      <c r="B205" s="37"/>
      <c r="C205" s="38"/>
      <c r="D205" s="37"/>
      <c r="E205" s="37"/>
      <c r="F205" s="37"/>
      <c r="G205" s="37"/>
      <c r="H205" s="37"/>
      <c r="I205" s="37"/>
      <c r="J205" s="38"/>
      <c r="K205" s="38"/>
      <c r="L205" s="37"/>
      <c r="M205" s="37"/>
      <c r="N205" s="37"/>
      <c r="O205" s="37"/>
      <c r="P205" s="37"/>
      <c r="Q205" s="37"/>
      <c r="R205" s="38"/>
      <c r="S205" s="37"/>
      <c r="T205" s="37"/>
      <c r="U205" s="37"/>
      <c r="V205" s="37"/>
      <c r="W205" s="37"/>
      <c r="X205" s="37"/>
      <c r="Y205" s="38"/>
      <c r="Z205" s="37"/>
      <c r="AA205" s="37"/>
      <c r="AB205" s="37"/>
      <c r="AC205" s="37"/>
      <c r="AD205" s="37"/>
      <c r="AE205" s="37"/>
      <c r="AF205" s="38"/>
      <c r="AG205" s="37"/>
      <c r="AH205" s="37"/>
      <c r="AI205" s="37"/>
      <c r="AJ205" s="37"/>
      <c r="AK205" s="37"/>
      <c r="AL205" s="37"/>
      <c r="AM205" s="38"/>
      <c r="AN205" s="37"/>
      <c r="AO205" s="37"/>
      <c r="AP205" s="37"/>
      <c r="AQ205" s="37"/>
      <c r="AR205" s="37"/>
      <c r="AS205" s="37"/>
      <c r="AT205" s="37"/>
      <c r="AU205" s="38"/>
      <c r="AV205" s="38"/>
      <c r="AW205" s="38"/>
      <c r="AX205" s="37"/>
      <c r="AY205" s="37"/>
      <c r="AZ205" s="37"/>
      <c r="BA205" s="37"/>
      <c r="BB205" s="37"/>
      <c r="BC205" s="37"/>
      <c r="BD205" s="38"/>
      <c r="BE205" s="37"/>
      <c r="BF205" s="37"/>
      <c r="BG205" s="37"/>
      <c r="BH205" s="37"/>
      <c r="BI205" s="37"/>
      <c r="BJ205" s="37"/>
      <c r="BK205" s="37"/>
      <c r="BL205" s="37"/>
    </row>
    <row r="206" ht="15.75" customHeight="1">
      <c r="A206" s="37"/>
      <c r="B206" s="37"/>
      <c r="C206" s="38"/>
      <c r="D206" s="37"/>
      <c r="E206" s="37"/>
      <c r="F206" s="37"/>
      <c r="G206" s="37"/>
      <c r="H206" s="37"/>
      <c r="I206" s="37"/>
      <c r="J206" s="38"/>
      <c r="K206" s="38"/>
      <c r="L206" s="37"/>
      <c r="M206" s="37"/>
      <c r="N206" s="37"/>
      <c r="O206" s="37"/>
      <c r="P206" s="37"/>
      <c r="Q206" s="37"/>
      <c r="R206" s="38"/>
      <c r="S206" s="37"/>
      <c r="T206" s="37"/>
      <c r="U206" s="37"/>
      <c r="V206" s="37"/>
      <c r="W206" s="37"/>
      <c r="X206" s="37"/>
      <c r="Y206" s="38"/>
      <c r="Z206" s="37"/>
      <c r="AA206" s="37"/>
      <c r="AB206" s="37"/>
      <c r="AC206" s="37"/>
      <c r="AD206" s="37"/>
      <c r="AE206" s="37"/>
      <c r="AF206" s="38"/>
      <c r="AG206" s="37"/>
      <c r="AH206" s="37"/>
      <c r="AI206" s="37"/>
      <c r="AJ206" s="37"/>
      <c r="AK206" s="37"/>
      <c r="AL206" s="37"/>
      <c r="AM206" s="38"/>
      <c r="AN206" s="37"/>
      <c r="AO206" s="37"/>
      <c r="AP206" s="37"/>
      <c r="AQ206" s="37"/>
      <c r="AR206" s="37"/>
      <c r="AS206" s="37"/>
      <c r="AT206" s="37"/>
      <c r="AU206" s="38"/>
      <c r="AV206" s="38"/>
      <c r="AW206" s="38"/>
      <c r="AX206" s="37"/>
      <c r="AY206" s="37"/>
      <c r="AZ206" s="37"/>
      <c r="BA206" s="37"/>
      <c r="BB206" s="37"/>
      <c r="BC206" s="37"/>
      <c r="BD206" s="38"/>
      <c r="BE206" s="37"/>
      <c r="BF206" s="37"/>
      <c r="BG206" s="37"/>
      <c r="BH206" s="37"/>
      <c r="BI206" s="37"/>
      <c r="BJ206" s="37"/>
      <c r="BK206" s="37"/>
      <c r="BL206" s="37"/>
    </row>
    <row r="207" ht="15.75" customHeight="1">
      <c r="A207" s="37"/>
      <c r="B207" s="37"/>
      <c r="C207" s="38"/>
      <c r="D207" s="37"/>
      <c r="E207" s="37"/>
      <c r="F207" s="37"/>
      <c r="G207" s="37"/>
      <c r="H207" s="37"/>
      <c r="I207" s="37"/>
      <c r="J207" s="38"/>
      <c r="K207" s="38"/>
      <c r="L207" s="37"/>
      <c r="M207" s="37"/>
      <c r="N207" s="37"/>
      <c r="O207" s="37"/>
      <c r="P207" s="37"/>
      <c r="Q207" s="37"/>
      <c r="R207" s="38"/>
      <c r="S207" s="37"/>
      <c r="T207" s="37"/>
      <c r="U207" s="37"/>
      <c r="V207" s="37"/>
      <c r="W207" s="37"/>
      <c r="X207" s="37"/>
      <c r="Y207" s="38"/>
      <c r="Z207" s="37"/>
      <c r="AA207" s="37"/>
      <c r="AB207" s="37"/>
      <c r="AC207" s="37"/>
      <c r="AD207" s="37"/>
      <c r="AE207" s="37"/>
      <c r="AF207" s="38"/>
      <c r="AG207" s="37"/>
      <c r="AH207" s="37"/>
      <c r="AI207" s="37"/>
      <c r="AJ207" s="37"/>
      <c r="AK207" s="37"/>
      <c r="AL207" s="37"/>
      <c r="AM207" s="38"/>
      <c r="AN207" s="37"/>
      <c r="AO207" s="37"/>
      <c r="AP207" s="37"/>
      <c r="AQ207" s="37"/>
      <c r="AR207" s="37"/>
      <c r="AS207" s="37"/>
      <c r="AT207" s="37"/>
      <c r="AU207" s="38"/>
      <c r="AV207" s="38"/>
      <c r="AW207" s="38"/>
      <c r="AX207" s="37"/>
      <c r="AY207" s="37"/>
      <c r="AZ207" s="37"/>
      <c r="BA207" s="37"/>
      <c r="BB207" s="37"/>
      <c r="BC207" s="37"/>
      <c r="BD207" s="38"/>
      <c r="BE207" s="37"/>
      <c r="BF207" s="37"/>
      <c r="BG207" s="37"/>
      <c r="BH207" s="37"/>
      <c r="BI207" s="37"/>
      <c r="BJ207" s="37"/>
      <c r="BK207" s="37"/>
      <c r="BL207" s="37"/>
    </row>
    <row r="208" ht="15.75" customHeight="1">
      <c r="A208" s="37"/>
      <c r="B208" s="37"/>
      <c r="C208" s="38"/>
      <c r="D208" s="37"/>
      <c r="E208" s="37"/>
      <c r="F208" s="37"/>
      <c r="G208" s="37"/>
      <c r="H208" s="37"/>
      <c r="I208" s="37"/>
      <c r="J208" s="38"/>
      <c r="K208" s="38"/>
      <c r="L208" s="37"/>
      <c r="M208" s="37"/>
      <c r="N208" s="37"/>
      <c r="O208" s="37"/>
      <c r="P208" s="37"/>
      <c r="Q208" s="37"/>
      <c r="R208" s="38"/>
      <c r="S208" s="37"/>
      <c r="T208" s="37"/>
      <c r="U208" s="37"/>
      <c r="V208" s="37"/>
      <c r="W208" s="37"/>
      <c r="X208" s="37"/>
      <c r="Y208" s="38"/>
      <c r="Z208" s="37"/>
      <c r="AA208" s="37"/>
      <c r="AB208" s="37"/>
      <c r="AC208" s="37"/>
      <c r="AD208" s="37"/>
      <c r="AE208" s="37"/>
      <c r="AF208" s="38"/>
      <c r="AG208" s="37"/>
      <c r="AH208" s="37"/>
      <c r="AI208" s="37"/>
      <c r="AJ208" s="37"/>
      <c r="AK208" s="37"/>
      <c r="AL208" s="37"/>
      <c r="AM208" s="38"/>
      <c r="AN208" s="37"/>
      <c r="AO208" s="37"/>
      <c r="AP208" s="37"/>
      <c r="AQ208" s="37"/>
      <c r="AR208" s="37"/>
      <c r="AS208" s="37"/>
      <c r="AT208" s="37"/>
      <c r="AU208" s="38"/>
      <c r="AV208" s="38"/>
      <c r="AW208" s="38"/>
      <c r="AX208" s="37"/>
      <c r="AY208" s="37"/>
      <c r="AZ208" s="37"/>
      <c r="BA208" s="37"/>
      <c r="BB208" s="37"/>
      <c r="BC208" s="37"/>
      <c r="BD208" s="38"/>
      <c r="BE208" s="37"/>
      <c r="BF208" s="37"/>
      <c r="BG208" s="37"/>
      <c r="BH208" s="37"/>
      <c r="BI208" s="37"/>
      <c r="BJ208" s="37"/>
      <c r="BK208" s="37"/>
      <c r="BL208" s="37"/>
    </row>
    <row r="209" ht="15.75" customHeight="1">
      <c r="A209" s="37"/>
      <c r="B209" s="37"/>
      <c r="C209" s="38"/>
      <c r="D209" s="37"/>
      <c r="E209" s="37"/>
      <c r="F209" s="37"/>
      <c r="G209" s="37"/>
      <c r="H209" s="37"/>
      <c r="I209" s="37"/>
      <c r="J209" s="38"/>
      <c r="K209" s="38"/>
      <c r="L209" s="37"/>
      <c r="M209" s="37"/>
      <c r="N209" s="37"/>
      <c r="O209" s="37"/>
      <c r="P209" s="37"/>
      <c r="Q209" s="37"/>
      <c r="R209" s="38"/>
      <c r="S209" s="37"/>
      <c r="T209" s="37"/>
      <c r="U209" s="37"/>
      <c r="V209" s="37"/>
      <c r="W209" s="37"/>
      <c r="X209" s="37"/>
      <c r="Y209" s="38"/>
      <c r="Z209" s="37"/>
      <c r="AA209" s="37"/>
      <c r="AB209" s="37"/>
      <c r="AC209" s="37"/>
      <c r="AD209" s="37"/>
      <c r="AE209" s="37"/>
      <c r="AF209" s="38"/>
      <c r="AG209" s="37"/>
      <c r="AH209" s="37"/>
      <c r="AI209" s="37"/>
      <c r="AJ209" s="37"/>
      <c r="AK209" s="37"/>
      <c r="AL209" s="37"/>
      <c r="AM209" s="38"/>
      <c r="AN209" s="37"/>
      <c r="AO209" s="37"/>
      <c r="AP209" s="37"/>
      <c r="AQ209" s="37"/>
      <c r="AR209" s="37"/>
      <c r="AS209" s="37"/>
      <c r="AT209" s="37"/>
      <c r="AU209" s="38"/>
      <c r="AV209" s="38"/>
      <c r="AW209" s="38"/>
      <c r="AX209" s="37"/>
      <c r="AY209" s="37"/>
      <c r="AZ209" s="37"/>
      <c r="BA209" s="37"/>
      <c r="BB209" s="37"/>
      <c r="BC209" s="37"/>
      <c r="BD209" s="38"/>
      <c r="BE209" s="37"/>
      <c r="BF209" s="37"/>
      <c r="BG209" s="37"/>
      <c r="BH209" s="37"/>
      <c r="BI209" s="37"/>
      <c r="BJ209" s="37"/>
      <c r="BK209" s="37"/>
      <c r="BL209" s="37"/>
    </row>
    <row r="210" ht="15.75" customHeight="1">
      <c r="A210" s="37"/>
      <c r="B210" s="37"/>
      <c r="C210" s="38"/>
      <c r="D210" s="37"/>
      <c r="E210" s="37"/>
      <c r="F210" s="37"/>
      <c r="G210" s="37"/>
      <c r="H210" s="37"/>
      <c r="I210" s="37"/>
      <c r="J210" s="38"/>
      <c r="K210" s="38"/>
      <c r="L210" s="37"/>
      <c r="M210" s="37"/>
      <c r="N210" s="37"/>
      <c r="O210" s="37"/>
      <c r="P210" s="37"/>
      <c r="Q210" s="37"/>
      <c r="R210" s="38"/>
      <c r="S210" s="37"/>
      <c r="T210" s="37"/>
      <c r="U210" s="37"/>
      <c r="V210" s="37"/>
      <c r="W210" s="37"/>
      <c r="X210" s="37"/>
      <c r="Y210" s="38"/>
      <c r="Z210" s="37"/>
      <c r="AA210" s="37"/>
      <c r="AB210" s="37"/>
      <c r="AC210" s="37"/>
      <c r="AD210" s="37"/>
      <c r="AE210" s="37"/>
      <c r="AF210" s="38"/>
      <c r="AG210" s="37"/>
      <c r="AH210" s="37"/>
      <c r="AI210" s="37"/>
      <c r="AJ210" s="37"/>
      <c r="AK210" s="37"/>
      <c r="AL210" s="37"/>
      <c r="AM210" s="38"/>
      <c r="AN210" s="37"/>
      <c r="AO210" s="37"/>
      <c r="AP210" s="37"/>
      <c r="AQ210" s="37"/>
      <c r="AR210" s="37"/>
      <c r="AS210" s="37"/>
      <c r="AT210" s="37"/>
      <c r="AU210" s="38"/>
      <c r="AV210" s="38"/>
      <c r="AW210" s="38"/>
      <c r="AX210" s="37"/>
      <c r="AY210" s="37"/>
      <c r="AZ210" s="37"/>
      <c r="BA210" s="37"/>
      <c r="BB210" s="37"/>
      <c r="BC210" s="37"/>
      <c r="BD210" s="38"/>
      <c r="BE210" s="37"/>
      <c r="BF210" s="37"/>
      <c r="BG210" s="37"/>
      <c r="BH210" s="37"/>
      <c r="BI210" s="37"/>
      <c r="BJ210" s="37"/>
      <c r="BK210" s="37"/>
      <c r="BL210" s="37"/>
    </row>
    <row r="211" ht="15.75" customHeight="1">
      <c r="A211" s="37"/>
      <c r="B211" s="37"/>
      <c r="C211" s="38"/>
      <c r="D211" s="37"/>
      <c r="E211" s="37"/>
      <c r="F211" s="37"/>
      <c r="G211" s="37"/>
      <c r="H211" s="37"/>
      <c r="I211" s="37"/>
      <c r="J211" s="38"/>
      <c r="K211" s="38"/>
      <c r="L211" s="37"/>
      <c r="M211" s="37"/>
      <c r="N211" s="37"/>
      <c r="O211" s="37"/>
      <c r="P211" s="37"/>
      <c r="Q211" s="37"/>
      <c r="R211" s="38"/>
      <c r="S211" s="37"/>
      <c r="T211" s="37"/>
      <c r="U211" s="37"/>
      <c r="V211" s="37"/>
      <c r="W211" s="37"/>
      <c r="X211" s="37"/>
      <c r="Y211" s="38"/>
      <c r="Z211" s="37"/>
      <c r="AA211" s="37"/>
      <c r="AB211" s="37"/>
      <c r="AC211" s="37"/>
      <c r="AD211" s="37"/>
      <c r="AE211" s="37"/>
      <c r="AF211" s="38"/>
      <c r="AG211" s="37"/>
      <c r="AH211" s="37"/>
      <c r="AI211" s="37"/>
      <c r="AJ211" s="37"/>
      <c r="AK211" s="37"/>
      <c r="AL211" s="37"/>
      <c r="AM211" s="38"/>
      <c r="AN211" s="37"/>
      <c r="AO211" s="37"/>
      <c r="AP211" s="37"/>
      <c r="AQ211" s="37"/>
      <c r="AR211" s="37"/>
      <c r="AS211" s="37"/>
      <c r="AT211" s="37"/>
      <c r="AU211" s="38"/>
      <c r="AV211" s="38"/>
      <c r="AW211" s="38"/>
      <c r="AX211" s="37"/>
      <c r="AY211" s="37"/>
      <c r="AZ211" s="37"/>
      <c r="BA211" s="37"/>
      <c r="BB211" s="37"/>
      <c r="BC211" s="37"/>
      <c r="BD211" s="38"/>
      <c r="BE211" s="37"/>
      <c r="BF211" s="37"/>
      <c r="BG211" s="37"/>
      <c r="BH211" s="37"/>
      <c r="BI211" s="37"/>
      <c r="BJ211" s="37"/>
      <c r="BK211" s="37"/>
      <c r="BL211" s="37"/>
    </row>
    <row r="212" ht="15.75" customHeight="1">
      <c r="A212" s="37"/>
      <c r="B212" s="37"/>
      <c r="C212" s="38"/>
      <c r="D212" s="37"/>
      <c r="E212" s="37"/>
      <c r="F212" s="37"/>
      <c r="G212" s="37"/>
      <c r="H212" s="37"/>
      <c r="I212" s="37"/>
      <c r="J212" s="38"/>
      <c r="K212" s="38"/>
      <c r="L212" s="37"/>
      <c r="M212" s="37"/>
      <c r="N212" s="37"/>
      <c r="O212" s="37"/>
      <c r="P212" s="37"/>
      <c r="Q212" s="37"/>
      <c r="R212" s="38"/>
      <c r="S212" s="37"/>
      <c r="T212" s="37"/>
      <c r="U212" s="37"/>
      <c r="V212" s="37"/>
      <c r="W212" s="37"/>
      <c r="X212" s="37"/>
      <c r="Y212" s="38"/>
      <c r="Z212" s="37"/>
      <c r="AA212" s="37"/>
      <c r="AB212" s="37"/>
      <c r="AC212" s="37"/>
      <c r="AD212" s="37"/>
      <c r="AE212" s="37"/>
      <c r="AF212" s="38"/>
      <c r="AG212" s="37"/>
      <c r="AH212" s="37"/>
      <c r="AI212" s="37"/>
      <c r="AJ212" s="37"/>
      <c r="AK212" s="37"/>
      <c r="AL212" s="37"/>
      <c r="AM212" s="38"/>
      <c r="AN212" s="37"/>
      <c r="AO212" s="37"/>
      <c r="AP212" s="37"/>
      <c r="AQ212" s="37"/>
      <c r="AR212" s="37"/>
      <c r="AS212" s="37"/>
      <c r="AT212" s="37"/>
      <c r="AU212" s="38"/>
      <c r="AV212" s="38"/>
      <c r="AW212" s="38"/>
      <c r="AX212" s="37"/>
      <c r="AY212" s="37"/>
      <c r="AZ212" s="37"/>
      <c r="BA212" s="37"/>
      <c r="BB212" s="37"/>
      <c r="BC212" s="37"/>
      <c r="BD212" s="38"/>
      <c r="BE212" s="37"/>
      <c r="BF212" s="37"/>
      <c r="BG212" s="37"/>
      <c r="BH212" s="37"/>
      <c r="BI212" s="37"/>
      <c r="BJ212" s="37"/>
      <c r="BK212" s="37"/>
      <c r="BL212" s="37"/>
    </row>
    <row r="213" ht="15.75" customHeight="1">
      <c r="A213" s="37"/>
      <c r="B213" s="37"/>
      <c r="C213" s="38"/>
      <c r="D213" s="37"/>
      <c r="E213" s="37"/>
      <c r="F213" s="37"/>
      <c r="G213" s="37"/>
      <c r="H213" s="37"/>
      <c r="I213" s="37"/>
      <c r="J213" s="38"/>
      <c r="K213" s="38"/>
      <c r="L213" s="37"/>
      <c r="M213" s="37"/>
      <c r="N213" s="37"/>
      <c r="O213" s="37"/>
      <c r="P213" s="37"/>
      <c r="Q213" s="37"/>
      <c r="R213" s="38"/>
      <c r="S213" s="37"/>
      <c r="T213" s="37"/>
      <c r="U213" s="37"/>
      <c r="V213" s="37"/>
      <c r="W213" s="37"/>
      <c r="X213" s="37"/>
      <c r="Y213" s="38"/>
      <c r="Z213" s="37"/>
      <c r="AA213" s="37"/>
      <c r="AB213" s="37"/>
      <c r="AC213" s="37"/>
      <c r="AD213" s="37"/>
      <c r="AE213" s="37"/>
      <c r="AF213" s="38"/>
      <c r="AG213" s="37"/>
      <c r="AH213" s="37"/>
      <c r="AI213" s="37"/>
      <c r="AJ213" s="37"/>
      <c r="AK213" s="37"/>
      <c r="AL213" s="37"/>
      <c r="AM213" s="38"/>
      <c r="AN213" s="37"/>
      <c r="AO213" s="37"/>
      <c r="AP213" s="37"/>
      <c r="AQ213" s="37"/>
      <c r="AR213" s="37"/>
      <c r="AS213" s="37"/>
      <c r="AT213" s="37"/>
      <c r="AU213" s="38"/>
      <c r="AV213" s="38"/>
      <c r="AW213" s="38"/>
      <c r="AX213" s="37"/>
      <c r="AY213" s="37"/>
      <c r="AZ213" s="37"/>
      <c r="BA213" s="37"/>
      <c r="BB213" s="37"/>
      <c r="BC213" s="37"/>
      <c r="BD213" s="38"/>
      <c r="BE213" s="37"/>
      <c r="BF213" s="37"/>
      <c r="BG213" s="37"/>
      <c r="BH213" s="37"/>
      <c r="BI213" s="37"/>
      <c r="BJ213" s="37"/>
      <c r="BK213" s="37"/>
      <c r="BL213" s="37"/>
    </row>
    <row r="214" ht="15.75" customHeight="1">
      <c r="A214" s="37"/>
      <c r="B214" s="37"/>
      <c r="C214" s="38"/>
      <c r="D214" s="37"/>
      <c r="E214" s="37"/>
      <c r="F214" s="37"/>
      <c r="G214" s="37"/>
      <c r="H214" s="37"/>
      <c r="I214" s="37"/>
      <c r="J214" s="38"/>
      <c r="K214" s="38"/>
      <c r="L214" s="37"/>
      <c r="M214" s="37"/>
      <c r="N214" s="37"/>
      <c r="O214" s="37"/>
      <c r="P214" s="37"/>
      <c r="Q214" s="37"/>
      <c r="R214" s="38"/>
      <c r="S214" s="37"/>
      <c r="T214" s="37"/>
      <c r="U214" s="37"/>
      <c r="V214" s="37"/>
      <c r="W214" s="37"/>
      <c r="X214" s="37"/>
      <c r="Y214" s="38"/>
      <c r="Z214" s="37"/>
      <c r="AA214" s="37"/>
      <c r="AB214" s="37"/>
      <c r="AC214" s="37"/>
      <c r="AD214" s="37"/>
      <c r="AE214" s="37"/>
      <c r="AF214" s="38"/>
      <c r="AG214" s="37"/>
      <c r="AH214" s="37"/>
      <c r="AI214" s="37"/>
      <c r="AJ214" s="37"/>
      <c r="AK214" s="37"/>
      <c r="AL214" s="37"/>
      <c r="AM214" s="38"/>
      <c r="AN214" s="37"/>
      <c r="AO214" s="37"/>
      <c r="AP214" s="37"/>
      <c r="AQ214" s="37"/>
      <c r="AR214" s="37"/>
      <c r="AS214" s="37"/>
      <c r="AT214" s="37"/>
      <c r="AU214" s="38"/>
      <c r="AV214" s="38"/>
      <c r="AW214" s="38"/>
      <c r="AX214" s="37"/>
      <c r="AY214" s="37"/>
      <c r="AZ214" s="37"/>
      <c r="BA214" s="37"/>
      <c r="BB214" s="37"/>
      <c r="BC214" s="37"/>
      <c r="BD214" s="38"/>
      <c r="BE214" s="37"/>
      <c r="BF214" s="37"/>
      <c r="BG214" s="37"/>
      <c r="BH214" s="37"/>
      <c r="BI214" s="37"/>
      <c r="BJ214" s="37"/>
      <c r="BK214" s="37"/>
      <c r="BL214" s="37"/>
    </row>
    <row r="215" ht="15.75" customHeight="1">
      <c r="A215" s="37"/>
      <c r="B215" s="37"/>
      <c r="C215" s="38"/>
      <c r="D215" s="37"/>
      <c r="E215" s="37"/>
      <c r="F215" s="37"/>
      <c r="G215" s="37"/>
      <c r="H215" s="37"/>
      <c r="I215" s="37"/>
      <c r="J215" s="38"/>
      <c r="K215" s="38"/>
      <c r="L215" s="37"/>
      <c r="M215" s="37"/>
      <c r="N215" s="37"/>
      <c r="O215" s="37"/>
      <c r="P215" s="37"/>
      <c r="Q215" s="37"/>
      <c r="R215" s="38"/>
      <c r="S215" s="37"/>
      <c r="T215" s="37"/>
      <c r="U215" s="37"/>
      <c r="V215" s="37"/>
      <c r="W215" s="37"/>
      <c r="X215" s="37"/>
      <c r="Y215" s="38"/>
      <c r="Z215" s="37"/>
      <c r="AA215" s="37"/>
      <c r="AB215" s="37"/>
      <c r="AC215" s="37"/>
      <c r="AD215" s="37"/>
      <c r="AE215" s="37"/>
      <c r="AF215" s="38"/>
      <c r="AG215" s="37"/>
      <c r="AH215" s="37"/>
      <c r="AI215" s="37"/>
      <c r="AJ215" s="37"/>
      <c r="AK215" s="37"/>
      <c r="AL215" s="37"/>
      <c r="AM215" s="38"/>
      <c r="AN215" s="37"/>
      <c r="AO215" s="37"/>
      <c r="AP215" s="37"/>
      <c r="AQ215" s="37"/>
      <c r="AR215" s="37"/>
      <c r="AS215" s="37"/>
      <c r="AT215" s="37"/>
      <c r="AU215" s="38"/>
      <c r="AV215" s="38"/>
      <c r="AW215" s="38"/>
      <c r="AX215" s="37"/>
      <c r="AY215" s="37"/>
      <c r="AZ215" s="37"/>
      <c r="BA215" s="37"/>
      <c r="BB215" s="37"/>
      <c r="BC215" s="37"/>
      <c r="BD215" s="38"/>
      <c r="BE215" s="37"/>
      <c r="BF215" s="37"/>
      <c r="BG215" s="37"/>
      <c r="BH215" s="37"/>
      <c r="BI215" s="37"/>
      <c r="BJ215" s="37"/>
      <c r="BK215" s="37"/>
      <c r="BL215" s="37"/>
    </row>
    <row r="216" ht="15.75" customHeight="1">
      <c r="A216" s="37"/>
      <c r="B216" s="37"/>
      <c r="C216" s="38"/>
      <c r="D216" s="37"/>
      <c r="E216" s="37"/>
      <c r="F216" s="37"/>
      <c r="G216" s="37"/>
      <c r="H216" s="37"/>
      <c r="I216" s="37"/>
      <c r="J216" s="38"/>
      <c r="K216" s="38"/>
      <c r="L216" s="37"/>
      <c r="M216" s="37"/>
      <c r="N216" s="37"/>
      <c r="O216" s="37"/>
      <c r="P216" s="37"/>
      <c r="Q216" s="37"/>
      <c r="R216" s="38"/>
      <c r="S216" s="37"/>
      <c r="T216" s="37"/>
      <c r="U216" s="37"/>
      <c r="V216" s="37"/>
      <c r="W216" s="37"/>
      <c r="X216" s="37"/>
      <c r="Y216" s="38"/>
      <c r="Z216" s="37"/>
      <c r="AA216" s="37"/>
      <c r="AB216" s="37"/>
      <c r="AC216" s="37"/>
      <c r="AD216" s="37"/>
      <c r="AE216" s="37"/>
      <c r="AF216" s="38"/>
      <c r="AG216" s="37"/>
      <c r="AH216" s="37"/>
      <c r="AI216" s="37"/>
      <c r="AJ216" s="37"/>
      <c r="AK216" s="37"/>
      <c r="AL216" s="37"/>
      <c r="AM216" s="38"/>
      <c r="AN216" s="37"/>
      <c r="AO216" s="37"/>
      <c r="AP216" s="37"/>
      <c r="AQ216" s="37"/>
      <c r="AR216" s="37"/>
      <c r="AS216" s="37"/>
      <c r="AT216" s="37"/>
      <c r="AU216" s="38"/>
      <c r="AV216" s="38"/>
      <c r="AW216" s="38"/>
      <c r="AX216" s="37"/>
      <c r="AY216" s="37"/>
      <c r="AZ216" s="37"/>
      <c r="BA216" s="37"/>
      <c r="BB216" s="37"/>
      <c r="BC216" s="37"/>
      <c r="BD216" s="38"/>
      <c r="BE216" s="37"/>
      <c r="BF216" s="37"/>
      <c r="BG216" s="37"/>
      <c r="BH216" s="37"/>
      <c r="BI216" s="37"/>
      <c r="BJ216" s="37"/>
      <c r="BK216" s="37"/>
      <c r="BL216" s="37"/>
    </row>
    <row r="217" ht="15.75" customHeight="1">
      <c r="A217" s="37"/>
      <c r="B217" s="37"/>
      <c r="C217" s="38"/>
      <c r="D217" s="37"/>
      <c r="E217" s="37"/>
      <c r="F217" s="37"/>
      <c r="G217" s="37"/>
      <c r="H217" s="37"/>
      <c r="I217" s="37"/>
      <c r="J217" s="38"/>
      <c r="K217" s="38"/>
      <c r="L217" s="37"/>
      <c r="M217" s="37"/>
      <c r="N217" s="37"/>
      <c r="O217" s="37"/>
      <c r="P217" s="37"/>
      <c r="Q217" s="37"/>
      <c r="R217" s="38"/>
      <c r="S217" s="37"/>
      <c r="T217" s="37"/>
      <c r="U217" s="37"/>
      <c r="V217" s="37"/>
      <c r="W217" s="37"/>
      <c r="X217" s="37"/>
      <c r="Y217" s="38"/>
      <c r="Z217" s="37"/>
      <c r="AA217" s="37"/>
      <c r="AB217" s="37"/>
      <c r="AC217" s="37"/>
      <c r="AD217" s="37"/>
      <c r="AE217" s="37"/>
      <c r="AF217" s="38"/>
      <c r="AG217" s="37"/>
      <c r="AH217" s="37"/>
      <c r="AI217" s="37"/>
      <c r="AJ217" s="37"/>
      <c r="AK217" s="37"/>
      <c r="AL217" s="37"/>
      <c r="AM217" s="38"/>
      <c r="AN217" s="37"/>
      <c r="AO217" s="37"/>
      <c r="AP217" s="37"/>
      <c r="AQ217" s="37"/>
      <c r="AR217" s="37"/>
      <c r="AS217" s="37"/>
      <c r="AT217" s="37"/>
      <c r="AU217" s="38"/>
      <c r="AV217" s="38"/>
      <c r="AW217" s="38"/>
      <c r="AX217" s="37"/>
      <c r="AY217" s="37"/>
      <c r="AZ217" s="37"/>
      <c r="BA217" s="37"/>
      <c r="BB217" s="37"/>
      <c r="BC217" s="37"/>
      <c r="BD217" s="38"/>
      <c r="BE217" s="37"/>
      <c r="BF217" s="37"/>
      <c r="BG217" s="37"/>
      <c r="BH217" s="37"/>
      <c r="BI217" s="37"/>
      <c r="BJ217" s="37"/>
      <c r="BK217" s="37"/>
      <c r="BL217" s="37"/>
    </row>
    <row r="218" ht="15.75" customHeight="1">
      <c r="A218" s="37"/>
      <c r="B218" s="37"/>
      <c r="C218" s="38"/>
      <c r="D218" s="37"/>
      <c r="E218" s="37"/>
      <c r="F218" s="37"/>
      <c r="G218" s="37"/>
      <c r="H218" s="37"/>
      <c r="I218" s="37"/>
      <c r="J218" s="38"/>
      <c r="K218" s="38"/>
      <c r="L218" s="37"/>
      <c r="M218" s="37"/>
      <c r="N218" s="37"/>
      <c r="O218" s="37"/>
      <c r="P218" s="37"/>
      <c r="Q218" s="37"/>
      <c r="R218" s="38"/>
      <c r="S218" s="37"/>
      <c r="T218" s="37"/>
      <c r="U218" s="37"/>
      <c r="V218" s="37"/>
      <c r="W218" s="37"/>
      <c r="X218" s="37"/>
      <c r="Y218" s="38"/>
      <c r="Z218" s="37"/>
      <c r="AA218" s="37"/>
      <c r="AB218" s="37"/>
      <c r="AC218" s="37"/>
      <c r="AD218" s="37"/>
      <c r="AE218" s="37"/>
      <c r="AF218" s="38"/>
      <c r="AG218" s="37"/>
      <c r="AH218" s="37"/>
      <c r="AI218" s="37"/>
      <c r="AJ218" s="37"/>
      <c r="AK218" s="37"/>
      <c r="AL218" s="37"/>
      <c r="AM218" s="38"/>
      <c r="AN218" s="37"/>
      <c r="AO218" s="37"/>
      <c r="AP218" s="37"/>
      <c r="AQ218" s="37"/>
      <c r="AR218" s="37"/>
      <c r="AS218" s="37"/>
      <c r="AT218" s="37"/>
      <c r="AU218" s="38"/>
      <c r="AV218" s="38"/>
      <c r="AW218" s="38"/>
      <c r="AX218" s="37"/>
      <c r="AY218" s="37"/>
      <c r="AZ218" s="37"/>
      <c r="BA218" s="37"/>
      <c r="BB218" s="37"/>
      <c r="BC218" s="37"/>
      <c r="BD218" s="38"/>
      <c r="BE218" s="37"/>
      <c r="BF218" s="37"/>
      <c r="BG218" s="37"/>
      <c r="BH218" s="37"/>
      <c r="BI218" s="37"/>
      <c r="BJ218" s="37"/>
      <c r="BK218" s="37"/>
      <c r="BL218" s="37"/>
    </row>
    <row r="219" ht="15.75" customHeight="1">
      <c r="A219" s="37"/>
      <c r="B219" s="37"/>
      <c r="C219" s="38"/>
      <c r="D219" s="37"/>
      <c r="E219" s="37"/>
      <c r="F219" s="37"/>
      <c r="G219" s="37"/>
      <c r="H219" s="37"/>
      <c r="I219" s="37"/>
      <c r="J219" s="38"/>
      <c r="K219" s="38"/>
      <c r="L219" s="37"/>
      <c r="M219" s="37"/>
      <c r="N219" s="37"/>
      <c r="O219" s="37"/>
      <c r="P219" s="37"/>
      <c r="Q219" s="37"/>
      <c r="R219" s="38"/>
      <c r="S219" s="37"/>
      <c r="T219" s="37"/>
      <c r="U219" s="37"/>
      <c r="V219" s="37"/>
      <c r="W219" s="37"/>
      <c r="X219" s="37"/>
      <c r="Y219" s="38"/>
      <c r="Z219" s="37"/>
      <c r="AA219" s="37"/>
      <c r="AB219" s="37"/>
      <c r="AC219" s="37"/>
      <c r="AD219" s="37"/>
      <c r="AE219" s="37"/>
      <c r="AF219" s="38"/>
      <c r="AG219" s="37"/>
      <c r="AH219" s="37"/>
      <c r="AI219" s="37"/>
      <c r="AJ219" s="37"/>
      <c r="AK219" s="37"/>
      <c r="AL219" s="37"/>
      <c r="AM219" s="38"/>
      <c r="AN219" s="37"/>
      <c r="AO219" s="37"/>
      <c r="AP219" s="37"/>
      <c r="AQ219" s="37"/>
      <c r="AR219" s="37"/>
      <c r="AS219" s="37"/>
      <c r="AT219" s="37"/>
      <c r="AU219" s="38"/>
      <c r="AV219" s="38"/>
      <c r="AW219" s="38"/>
      <c r="AX219" s="37"/>
      <c r="AY219" s="37"/>
      <c r="AZ219" s="37"/>
      <c r="BA219" s="37"/>
      <c r="BB219" s="37"/>
      <c r="BC219" s="37"/>
      <c r="BD219" s="38"/>
      <c r="BE219" s="37"/>
      <c r="BF219" s="37"/>
      <c r="BG219" s="37"/>
      <c r="BH219" s="37"/>
      <c r="BI219" s="37"/>
      <c r="BJ219" s="37"/>
      <c r="BK219" s="37"/>
      <c r="BL219" s="37"/>
    </row>
    <row r="220" ht="15.75" customHeight="1">
      <c r="A220" s="37"/>
      <c r="B220" s="37"/>
      <c r="C220" s="38"/>
      <c r="D220" s="37"/>
      <c r="E220" s="37"/>
      <c r="F220" s="37"/>
      <c r="G220" s="37"/>
      <c r="H220" s="37"/>
      <c r="I220" s="37"/>
      <c r="J220" s="38"/>
      <c r="K220" s="38"/>
      <c r="L220" s="37"/>
      <c r="M220" s="37"/>
      <c r="N220" s="37"/>
      <c r="O220" s="37"/>
      <c r="P220" s="37"/>
      <c r="Q220" s="37"/>
      <c r="R220" s="38"/>
      <c r="S220" s="37"/>
      <c r="T220" s="37"/>
      <c r="U220" s="37"/>
      <c r="V220" s="37"/>
      <c r="W220" s="37"/>
      <c r="X220" s="37"/>
      <c r="Y220" s="38"/>
      <c r="Z220" s="37"/>
      <c r="AA220" s="37"/>
      <c r="AB220" s="37"/>
      <c r="AC220" s="37"/>
      <c r="AD220" s="37"/>
      <c r="AE220" s="37"/>
      <c r="AF220" s="38"/>
      <c r="AG220" s="37"/>
      <c r="AH220" s="37"/>
      <c r="AI220" s="37"/>
      <c r="AJ220" s="37"/>
      <c r="AK220" s="37"/>
      <c r="AL220" s="37"/>
      <c r="AM220" s="38"/>
      <c r="AN220" s="37"/>
      <c r="AO220" s="37"/>
      <c r="AP220" s="37"/>
      <c r="AQ220" s="37"/>
      <c r="AR220" s="37"/>
      <c r="AS220" s="37"/>
      <c r="AT220" s="37"/>
      <c r="AU220" s="38"/>
      <c r="AV220" s="38"/>
      <c r="AW220" s="38"/>
      <c r="AX220" s="37"/>
      <c r="AY220" s="37"/>
      <c r="AZ220" s="37"/>
      <c r="BA220" s="37"/>
      <c r="BB220" s="37"/>
      <c r="BC220" s="37"/>
      <c r="BD220" s="38"/>
      <c r="BE220" s="37"/>
      <c r="BF220" s="37"/>
      <c r="BG220" s="37"/>
      <c r="BH220" s="37"/>
      <c r="BI220" s="37"/>
      <c r="BJ220" s="37"/>
      <c r="BK220" s="37"/>
      <c r="BL220" s="37"/>
    </row>
    <row r="221" ht="15.75" customHeight="1">
      <c r="A221" s="37"/>
      <c r="B221" s="37"/>
      <c r="C221" s="38"/>
      <c r="D221" s="37"/>
      <c r="E221" s="37"/>
      <c r="F221" s="37"/>
      <c r="G221" s="37"/>
      <c r="H221" s="37"/>
      <c r="I221" s="37"/>
      <c r="J221" s="38"/>
      <c r="K221" s="38"/>
      <c r="L221" s="37"/>
      <c r="M221" s="37"/>
      <c r="N221" s="37"/>
      <c r="O221" s="37"/>
      <c r="P221" s="37"/>
      <c r="Q221" s="37"/>
      <c r="R221" s="38"/>
      <c r="S221" s="37"/>
      <c r="T221" s="37"/>
      <c r="U221" s="37"/>
      <c r="V221" s="37"/>
      <c r="W221" s="37"/>
      <c r="X221" s="37"/>
      <c r="Y221" s="38"/>
      <c r="Z221" s="37"/>
      <c r="AA221" s="37"/>
      <c r="AB221" s="37"/>
      <c r="AC221" s="37"/>
      <c r="AD221" s="37"/>
      <c r="AE221" s="37"/>
      <c r="AF221" s="38"/>
      <c r="AG221" s="37"/>
      <c r="AH221" s="37"/>
      <c r="AI221" s="37"/>
      <c r="AJ221" s="37"/>
      <c r="AK221" s="37"/>
      <c r="AL221" s="37"/>
      <c r="AM221" s="38"/>
      <c r="AN221" s="37"/>
      <c r="AO221" s="37"/>
      <c r="AP221" s="37"/>
      <c r="AQ221" s="37"/>
      <c r="AR221" s="37"/>
      <c r="AS221" s="37"/>
      <c r="AT221" s="37"/>
      <c r="AU221" s="38"/>
      <c r="AV221" s="38"/>
      <c r="AW221" s="38"/>
      <c r="AX221" s="37"/>
      <c r="AY221" s="37"/>
      <c r="AZ221" s="37"/>
      <c r="BA221" s="37"/>
      <c r="BB221" s="37"/>
      <c r="BC221" s="37"/>
      <c r="BD221" s="38"/>
      <c r="BE221" s="37"/>
      <c r="BF221" s="37"/>
      <c r="BG221" s="37"/>
      <c r="BH221" s="37"/>
      <c r="BI221" s="37"/>
      <c r="BJ221" s="37"/>
      <c r="BK221" s="37"/>
      <c r="BL221" s="37"/>
    </row>
    <row r="222" ht="15.75" customHeight="1">
      <c r="A222" s="37"/>
      <c r="B222" s="37"/>
      <c r="C222" s="38"/>
      <c r="D222" s="37"/>
      <c r="E222" s="37"/>
      <c r="F222" s="37"/>
      <c r="G222" s="37"/>
      <c r="H222" s="37"/>
      <c r="I222" s="37"/>
      <c r="J222" s="38"/>
      <c r="K222" s="38"/>
      <c r="L222" s="37"/>
      <c r="M222" s="37"/>
      <c r="N222" s="37"/>
      <c r="O222" s="37"/>
      <c r="P222" s="37"/>
      <c r="Q222" s="37"/>
      <c r="R222" s="38"/>
      <c r="S222" s="37"/>
      <c r="T222" s="37"/>
      <c r="U222" s="37"/>
      <c r="V222" s="37"/>
      <c r="W222" s="37"/>
      <c r="X222" s="37"/>
      <c r="Y222" s="38"/>
      <c r="Z222" s="37"/>
      <c r="AA222" s="37"/>
      <c r="AB222" s="37"/>
      <c r="AC222" s="37"/>
      <c r="AD222" s="37"/>
      <c r="AE222" s="37"/>
      <c r="AF222" s="38"/>
      <c r="AG222" s="37"/>
      <c r="AH222" s="37"/>
      <c r="AI222" s="37"/>
      <c r="AJ222" s="37"/>
      <c r="AK222" s="37"/>
      <c r="AL222" s="37"/>
      <c r="AM222" s="38"/>
      <c r="AN222" s="37"/>
      <c r="AO222" s="37"/>
      <c r="AP222" s="37"/>
      <c r="AQ222" s="37"/>
      <c r="AR222" s="37"/>
      <c r="AS222" s="37"/>
      <c r="AT222" s="37"/>
      <c r="AU222" s="38"/>
      <c r="AV222" s="38"/>
      <c r="AW222" s="38"/>
      <c r="AX222" s="37"/>
      <c r="AY222" s="37"/>
      <c r="AZ222" s="37"/>
      <c r="BA222" s="37"/>
      <c r="BB222" s="37"/>
      <c r="BC222" s="37"/>
      <c r="BD222" s="38"/>
      <c r="BE222" s="37"/>
      <c r="BF222" s="37"/>
      <c r="BG222" s="37"/>
      <c r="BH222" s="37"/>
      <c r="BI222" s="37"/>
      <c r="BJ222" s="37"/>
      <c r="BK222" s="37"/>
      <c r="BL222" s="37"/>
    </row>
    <row r="223" ht="15.75" customHeight="1">
      <c r="A223" s="37"/>
      <c r="B223" s="37"/>
      <c r="C223" s="38"/>
      <c r="D223" s="37"/>
      <c r="E223" s="37"/>
      <c r="F223" s="37"/>
      <c r="G223" s="37"/>
      <c r="H223" s="37"/>
      <c r="I223" s="37"/>
      <c r="J223" s="38"/>
      <c r="K223" s="38"/>
      <c r="L223" s="37"/>
      <c r="M223" s="37"/>
      <c r="N223" s="37"/>
      <c r="O223" s="37"/>
      <c r="P223" s="37"/>
      <c r="Q223" s="37"/>
      <c r="R223" s="38"/>
      <c r="S223" s="37"/>
      <c r="T223" s="37"/>
      <c r="U223" s="37"/>
      <c r="V223" s="37"/>
      <c r="W223" s="37"/>
      <c r="X223" s="37"/>
      <c r="Y223" s="38"/>
      <c r="Z223" s="37"/>
      <c r="AA223" s="37"/>
      <c r="AB223" s="37"/>
      <c r="AC223" s="37"/>
      <c r="AD223" s="37"/>
      <c r="AE223" s="37"/>
      <c r="AF223" s="38"/>
      <c r="AG223" s="37"/>
      <c r="AH223" s="37"/>
      <c r="AI223" s="37"/>
      <c r="AJ223" s="37"/>
      <c r="AK223" s="37"/>
      <c r="AL223" s="37"/>
      <c r="AM223" s="38"/>
      <c r="AN223" s="37"/>
      <c r="AO223" s="37"/>
      <c r="AP223" s="37"/>
      <c r="AQ223" s="37"/>
      <c r="AR223" s="37"/>
      <c r="AS223" s="37"/>
      <c r="AT223" s="37"/>
      <c r="AU223" s="38"/>
      <c r="AV223" s="38"/>
      <c r="AW223" s="38"/>
      <c r="AX223" s="37"/>
      <c r="AY223" s="37"/>
      <c r="AZ223" s="37"/>
      <c r="BA223" s="37"/>
      <c r="BB223" s="37"/>
      <c r="BC223" s="37"/>
      <c r="BD223" s="38"/>
      <c r="BE223" s="37"/>
      <c r="BF223" s="37"/>
      <c r="BG223" s="37"/>
      <c r="BH223" s="37"/>
      <c r="BI223" s="37"/>
      <c r="BJ223" s="37"/>
      <c r="BK223" s="37"/>
      <c r="BL223" s="37"/>
    </row>
    <row r="224" ht="15.75" customHeight="1">
      <c r="A224" s="37"/>
      <c r="B224" s="37"/>
      <c r="C224" s="38"/>
      <c r="D224" s="37"/>
      <c r="E224" s="37"/>
      <c r="F224" s="37"/>
      <c r="G224" s="37"/>
      <c r="H224" s="37"/>
      <c r="I224" s="37"/>
      <c r="J224" s="38"/>
      <c r="K224" s="38"/>
      <c r="L224" s="37"/>
      <c r="M224" s="37"/>
      <c r="N224" s="37"/>
      <c r="O224" s="37"/>
      <c r="P224" s="37"/>
      <c r="Q224" s="37"/>
      <c r="R224" s="38"/>
      <c r="S224" s="37"/>
      <c r="T224" s="37"/>
      <c r="U224" s="37"/>
      <c r="V224" s="37"/>
      <c r="W224" s="37"/>
      <c r="X224" s="37"/>
      <c r="Y224" s="38"/>
      <c r="Z224" s="37"/>
      <c r="AA224" s="37"/>
      <c r="AB224" s="37"/>
      <c r="AC224" s="37"/>
      <c r="AD224" s="37"/>
      <c r="AE224" s="37"/>
      <c r="AF224" s="38"/>
      <c r="AG224" s="37"/>
      <c r="AH224" s="37"/>
      <c r="AI224" s="37"/>
      <c r="AJ224" s="37"/>
      <c r="AK224" s="37"/>
      <c r="AL224" s="37"/>
      <c r="AM224" s="38"/>
      <c r="AN224" s="37"/>
      <c r="AO224" s="37"/>
      <c r="AP224" s="37"/>
      <c r="AQ224" s="37"/>
      <c r="AR224" s="37"/>
      <c r="AS224" s="37"/>
      <c r="AT224" s="37"/>
      <c r="AU224" s="38"/>
      <c r="AV224" s="38"/>
      <c r="AW224" s="38"/>
      <c r="AX224" s="37"/>
      <c r="AY224" s="37"/>
      <c r="AZ224" s="37"/>
      <c r="BA224" s="37"/>
      <c r="BB224" s="37"/>
      <c r="BC224" s="37"/>
      <c r="BD224" s="38"/>
      <c r="BE224" s="37"/>
      <c r="BF224" s="37"/>
      <c r="BG224" s="37"/>
      <c r="BH224" s="37"/>
      <c r="BI224" s="37"/>
      <c r="BJ224" s="37"/>
      <c r="BK224" s="37"/>
      <c r="BL224" s="37"/>
    </row>
    <row r="225" ht="15.75" customHeight="1">
      <c r="A225" s="37"/>
      <c r="B225" s="37"/>
      <c r="C225" s="38"/>
      <c r="D225" s="37"/>
      <c r="E225" s="37"/>
      <c r="F225" s="37"/>
      <c r="G225" s="37"/>
      <c r="H225" s="37"/>
      <c r="I225" s="37"/>
      <c r="J225" s="38"/>
      <c r="K225" s="38"/>
      <c r="L225" s="37"/>
      <c r="M225" s="37"/>
      <c r="N225" s="37"/>
      <c r="O225" s="37"/>
      <c r="P225" s="37"/>
      <c r="Q225" s="37"/>
      <c r="R225" s="38"/>
      <c r="S225" s="37"/>
      <c r="T225" s="37"/>
      <c r="U225" s="37"/>
      <c r="V225" s="37"/>
      <c r="W225" s="37"/>
      <c r="X225" s="37"/>
      <c r="Y225" s="38"/>
      <c r="Z225" s="37"/>
      <c r="AA225" s="37"/>
      <c r="AB225" s="37"/>
      <c r="AC225" s="37"/>
      <c r="AD225" s="37"/>
      <c r="AE225" s="37"/>
      <c r="AF225" s="38"/>
      <c r="AG225" s="37"/>
      <c r="AH225" s="37"/>
      <c r="AI225" s="37"/>
      <c r="AJ225" s="37"/>
      <c r="AK225" s="37"/>
      <c r="AL225" s="37"/>
      <c r="AM225" s="38"/>
      <c r="AN225" s="37"/>
      <c r="AO225" s="37"/>
      <c r="AP225" s="37"/>
      <c r="AQ225" s="37"/>
      <c r="AR225" s="37"/>
      <c r="AS225" s="37"/>
      <c r="AT225" s="37"/>
      <c r="AU225" s="38"/>
      <c r="AV225" s="38"/>
      <c r="AW225" s="38"/>
      <c r="AX225" s="37"/>
      <c r="AY225" s="37"/>
      <c r="AZ225" s="37"/>
      <c r="BA225" s="37"/>
      <c r="BB225" s="37"/>
      <c r="BC225" s="37"/>
      <c r="BD225" s="38"/>
      <c r="BE225" s="37"/>
      <c r="BF225" s="37"/>
      <c r="BG225" s="37"/>
      <c r="BH225" s="37"/>
      <c r="BI225" s="37"/>
      <c r="BJ225" s="37"/>
      <c r="BK225" s="37"/>
      <c r="BL225" s="37"/>
    </row>
    <row r="226" ht="15.75" customHeight="1">
      <c r="A226" s="37"/>
      <c r="B226" s="37"/>
      <c r="C226" s="38"/>
      <c r="D226" s="37"/>
      <c r="E226" s="37"/>
      <c r="F226" s="37"/>
      <c r="G226" s="37"/>
      <c r="H226" s="37"/>
      <c r="I226" s="37"/>
      <c r="J226" s="38"/>
      <c r="K226" s="38"/>
      <c r="L226" s="37"/>
      <c r="M226" s="37"/>
      <c r="N226" s="37"/>
      <c r="O226" s="37"/>
      <c r="P226" s="37"/>
      <c r="Q226" s="37"/>
      <c r="R226" s="38"/>
      <c r="S226" s="37"/>
      <c r="T226" s="37"/>
      <c r="U226" s="37"/>
      <c r="V226" s="37"/>
      <c r="W226" s="37"/>
      <c r="X226" s="37"/>
      <c r="Y226" s="38"/>
      <c r="Z226" s="37"/>
      <c r="AA226" s="37"/>
      <c r="AB226" s="37"/>
      <c r="AC226" s="37"/>
      <c r="AD226" s="37"/>
      <c r="AE226" s="37"/>
      <c r="AF226" s="38"/>
      <c r="AG226" s="37"/>
      <c r="AH226" s="37"/>
      <c r="AI226" s="37"/>
      <c r="AJ226" s="37"/>
      <c r="AK226" s="37"/>
      <c r="AL226" s="37"/>
      <c r="AM226" s="38"/>
      <c r="AN226" s="37"/>
      <c r="AO226" s="37"/>
      <c r="AP226" s="37"/>
      <c r="AQ226" s="37"/>
      <c r="AR226" s="37"/>
      <c r="AS226" s="37"/>
      <c r="AT226" s="37"/>
      <c r="AU226" s="38"/>
      <c r="AV226" s="38"/>
      <c r="AW226" s="38"/>
      <c r="AX226" s="37"/>
      <c r="AY226" s="37"/>
      <c r="AZ226" s="37"/>
      <c r="BA226" s="37"/>
      <c r="BB226" s="37"/>
      <c r="BC226" s="37"/>
      <c r="BD226" s="38"/>
      <c r="BE226" s="37"/>
      <c r="BF226" s="37"/>
      <c r="BG226" s="37"/>
      <c r="BH226" s="37"/>
      <c r="BI226" s="37"/>
      <c r="BJ226" s="37"/>
      <c r="BK226" s="37"/>
      <c r="BL226" s="37"/>
    </row>
    <row r="227" ht="15.75" customHeight="1">
      <c r="A227" s="37"/>
      <c r="B227" s="37"/>
      <c r="C227" s="38"/>
      <c r="D227" s="37"/>
      <c r="E227" s="37"/>
      <c r="F227" s="37"/>
      <c r="G227" s="37"/>
      <c r="H227" s="37"/>
      <c r="I227" s="37"/>
      <c r="J227" s="38"/>
      <c r="K227" s="38"/>
      <c r="L227" s="37"/>
      <c r="M227" s="37"/>
      <c r="N227" s="37"/>
      <c r="O227" s="37"/>
      <c r="P227" s="37"/>
      <c r="Q227" s="37"/>
      <c r="R227" s="38"/>
      <c r="S227" s="37"/>
      <c r="T227" s="37"/>
      <c r="U227" s="37"/>
      <c r="V227" s="37"/>
      <c r="W227" s="37"/>
      <c r="X227" s="37"/>
      <c r="Y227" s="38"/>
      <c r="Z227" s="37"/>
      <c r="AA227" s="37"/>
      <c r="AB227" s="37"/>
      <c r="AC227" s="37"/>
      <c r="AD227" s="37"/>
      <c r="AE227" s="37"/>
      <c r="AF227" s="38"/>
      <c r="AG227" s="37"/>
      <c r="AH227" s="37"/>
      <c r="AI227" s="37"/>
      <c r="AJ227" s="37"/>
      <c r="AK227" s="37"/>
      <c r="AL227" s="37"/>
      <c r="AM227" s="38"/>
      <c r="AN227" s="37"/>
      <c r="AO227" s="37"/>
      <c r="AP227" s="37"/>
      <c r="AQ227" s="37"/>
      <c r="AR227" s="37"/>
      <c r="AS227" s="37"/>
      <c r="AT227" s="37"/>
      <c r="AU227" s="38"/>
      <c r="AV227" s="38"/>
      <c r="AW227" s="38"/>
      <c r="AX227" s="37"/>
      <c r="AY227" s="37"/>
      <c r="AZ227" s="37"/>
      <c r="BA227" s="37"/>
      <c r="BB227" s="37"/>
      <c r="BC227" s="37"/>
      <c r="BD227" s="38"/>
      <c r="BE227" s="37"/>
      <c r="BF227" s="37"/>
      <c r="BG227" s="37"/>
      <c r="BH227" s="37"/>
      <c r="BI227" s="37"/>
      <c r="BJ227" s="37"/>
      <c r="BK227" s="37"/>
      <c r="BL227" s="37"/>
    </row>
    <row r="228" ht="15.75" customHeight="1">
      <c r="A228" s="37"/>
      <c r="B228" s="37"/>
      <c r="C228" s="38"/>
      <c r="D228" s="37"/>
      <c r="E228" s="37"/>
      <c r="F228" s="37"/>
      <c r="G228" s="37"/>
      <c r="H228" s="37"/>
      <c r="I228" s="37"/>
      <c r="J228" s="38"/>
      <c r="K228" s="38"/>
      <c r="L228" s="37"/>
      <c r="M228" s="37"/>
      <c r="N228" s="37"/>
      <c r="O228" s="37"/>
      <c r="P228" s="37"/>
      <c r="Q228" s="37"/>
      <c r="R228" s="38"/>
      <c r="S228" s="37"/>
      <c r="T228" s="37"/>
      <c r="U228" s="37"/>
      <c r="V228" s="37"/>
      <c r="W228" s="37"/>
      <c r="X228" s="37"/>
      <c r="Y228" s="38"/>
      <c r="Z228" s="37"/>
      <c r="AA228" s="37"/>
      <c r="AB228" s="37"/>
      <c r="AC228" s="37"/>
      <c r="AD228" s="37"/>
      <c r="AE228" s="37"/>
      <c r="AF228" s="38"/>
      <c r="AG228" s="37"/>
      <c r="AH228" s="37"/>
      <c r="AI228" s="37"/>
      <c r="AJ228" s="37"/>
      <c r="AK228" s="37"/>
      <c r="AL228" s="37"/>
      <c r="AM228" s="38"/>
      <c r="AN228" s="37"/>
      <c r="AO228" s="37"/>
      <c r="AP228" s="37"/>
      <c r="AQ228" s="37"/>
      <c r="AR228" s="37"/>
      <c r="AS228" s="37"/>
      <c r="AT228" s="37"/>
      <c r="AU228" s="38"/>
      <c r="AV228" s="38"/>
      <c r="AW228" s="38"/>
      <c r="AX228" s="37"/>
      <c r="AY228" s="37"/>
      <c r="AZ228" s="37"/>
      <c r="BA228" s="37"/>
      <c r="BB228" s="37"/>
      <c r="BC228" s="37"/>
      <c r="BD228" s="38"/>
      <c r="BE228" s="37"/>
      <c r="BF228" s="37"/>
      <c r="BG228" s="37"/>
      <c r="BH228" s="37"/>
      <c r="BI228" s="37"/>
      <c r="BJ228" s="37"/>
      <c r="BK228" s="37"/>
      <c r="BL228" s="37"/>
    </row>
    <row r="229" ht="15.75" customHeight="1">
      <c r="A229" s="37"/>
      <c r="B229" s="37"/>
      <c r="C229" s="38"/>
      <c r="D229" s="37"/>
      <c r="E229" s="37"/>
      <c r="F229" s="37"/>
      <c r="G229" s="37"/>
      <c r="H229" s="37"/>
      <c r="I229" s="37"/>
      <c r="J229" s="38"/>
      <c r="K229" s="38"/>
      <c r="L229" s="37"/>
      <c r="M229" s="37"/>
      <c r="N229" s="37"/>
      <c r="O229" s="37"/>
      <c r="P229" s="37"/>
      <c r="Q229" s="37"/>
      <c r="R229" s="38"/>
      <c r="S229" s="37"/>
      <c r="T229" s="37"/>
      <c r="U229" s="37"/>
      <c r="V229" s="37"/>
      <c r="W229" s="37"/>
      <c r="X229" s="37"/>
      <c r="Y229" s="38"/>
      <c r="Z229" s="37"/>
      <c r="AA229" s="37"/>
      <c r="AB229" s="37"/>
      <c r="AC229" s="37"/>
      <c r="AD229" s="37"/>
      <c r="AE229" s="37"/>
      <c r="AF229" s="38"/>
      <c r="AG229" s="37"/>
      <c r="AH229" s="37"/>
      <c r="AI229" s="37"/>
      <c r="AJ229" s="37"/>
      <c r="AK229" s="37"/>
      <c r="AL229" s="37"/>
      <c r="AM229" s="38"/>
      <c r="AN229" s="37"/>
      <c r="AO229" s="37"/>
      <c r="AP229" s="37"/>
      <c r="AQ229" s="37"/>
      <c r="AR229" s="37"/>
      <c r="AS229" s="37"/>
      <c r="AT229" s="37"/>
      <c r="AU229" s="38"/>
      <c r="AV229" s="38"/>
      <c r="AW229" s="38"/>
      <c r="AX229" s="37"/>
      <c r="AY229" s="37"/>
      <c r="AZ229" s="37"/>
      <c r="BA229" s="37"/>
      <c r="BB229" s="37"/>
      <c r="BC229" s="37"/>
      <c r="BD229" s="38"/>
      <c r="BE229" s="37"/>
      <c r="BF229" s="37"/>
      <c r="BG229" s="37"/>
      <c r="BH229" s="37"/>
      <c r="BI229" s="37"/>
      <c r="BJ229" s="37"/>
      <c r="BK229" s="37"/>
      <c r="BL229" s="37"/>
    </row>
    <row r="230" ht="15.75" customHeight="1">
      <c r="A230" s="37"/>
      <c r="B230" s="37"/>
      <c r="C230" s="38"/>
      <c r="D230" s="37"/>
      <c r="E230" s="37"/>
      <c r="F230" s="37"/>
      <c r="G230" s="37"/>
      <c r="H230" s="37"/>
      <c r="I230" s="37"/>
      <c r="J230" s="38"/>
      <c r="K230" s="38"/>
      <c r="L230" s="37"/>
      <c r="M230" s="37"/>
      <c r="N230" s="37"/>
      <c r="O230" s="37"/>
      <c r="P230" s="37"/>
      <c r="Q230" s="37"/>
      <c r="R230" s="38"/>
      <c r="S230" s="37"/>
      <c r="T230" s="37"/>
      <c r="U230" s="37"/>
      <c r="V230" s="37"/>
      <c r="W230" s="37"/>
      <c r="X230" s="37"/>
      <c r="Y230" s="38"/>
      <c r="Z230" s="37"/>
      <c r="AA230" s="37"/>
      <c r="AB230" s="37"/>
      <c r="AC230" s="37"/>
      <c r="AD230" s="37"/>
      <c r="AE230" s="37"/>
      <c r="AF230" s="38"/>
      <c r="AG230" s="37"/>
      <c r="AH230" s="37"/>
      <c r="AI230" s="37"/>
      <c r="AJ230" s="37"/>
      <c r="AK230" s="37"/>
      <c r="AL230" s="37"/>
      <c r="AM230" s="38"/>
      <c r="AN230" s="37"/>
      <c r="AO230" s="37"/>
      <c r="AP230" s="37"/>
      <c r="AQ230" s="37"/>
      <c r="AR230" s="37"/>
      <c r="AS230" s="37"/>
      <c r="AT230" s="37"/>
      <c r="AU230" s="38"/>
      <c r="AV230" s="38"/>
      <c r="AW230" s="38"/>
      <c r="AX230" s="37"/>
      <c r="AY230" s="37"/>
      <c r="AZ230" s="37"/>
      <c r="BA230" s="37"/>
      <c r="BB230" s="37"/>
      <c r="BC230" s="37"/>
      <c r="BD230" s="38"/>
      <c r="BE230" s="37"/>
      <c r="BF230" s="37"/>
      <c r="BG230" s="37"/>
      <c r="BH230" s="37"/>
      <c r="BI230" s="37"/>
      <c r="BJ230" s="37"/>
      <c r="BK230" s="37"/>
      <c r="BL230" s="37"/>
    </row>
    <row r="231" ht="15.75" customHeight="1">
      <c r="A231" s="37"/>
      <c r="B231" s="37"/>
      <c r="C231" s="38"/>
      <c r="D231" s="37"/>
      <c r="E231" s="37"/>
      <c r="F231" s="37"/>
      <c r="G231" s="37"/>
      <c r="H231" s="37"/>
      <c r="I231" s="37"/>
      <c r="J231" s="38"/>
      <c r="K231" s="38"/>
      <c r="L231" s="37"/>
      <c r="M231" s="37"/>
      <c r="N231" s="37"/>
      <c r="O231" s="37"/>
      <c r="P231" s="37"/>
      <c r="Q231" s="37"/>
      <c r="R231" s="38"/>
      <c r="S231" s="37"/>
      <c r="T231" s="37"/>
      <c r="U231" s="37"/>
      <c r="V231" s="37"/>
      <c r="W231" s="37"/>
      <c r="X231" s="37"/>
      <c r="Y231" s="38"/>
      <c r="Z231" s="37"/>
      <c r="AA231" s="37"/>
      <c r="AB231" s="37"/>
      <c r="AC231" s="37"/>
      <c r="AD231" s="37"/>
      <c r="AE231" s="37"/>
      <c r="AF231" s="38"/>
      <c r="AG231" s="37"/>
      <c r="AH231" s="37"/>
      <c r="AI231" s="37"/>
      <c r="AJ231" s="37"/>
      <c r="AK231" s="37"/>
      <c r="AL231" s="37"/>
      <c r="AM231" s="38"/>
      <c r="AN231" s="37"/>
      <c r="AO231" s="37"/>
      <c r="AP231" s="37"/>
      <c r="AQ231" s="37"/>
      <c r="AR231" s="37"/>
      <c r="AS231" s="37"/>
      <c r="AT231" s="37"/>
      <c r="AU231" s="38"/>
      <c r="AV231" s="38"/>
      <c r="AW231" s="38"/>
      <c r="AX231" s="37"/>
      <c r="AY231" s="37"/>
      <c r="AZ231" s="37"/>
      <c r="BA231" s="37"/>
      <c r="BB231" s="37"/>
      <c r="BC231" s="37"/>
      <c r="BD231" s="38"/>
      <c r="BE231" s="37"/>
      <c r="BF231" s="37"/>
      <c r="BG231" s="37"/>
      <c r="BH231" s="37"/>
      <c r="BI231" s="37"/>
      <c r="BJ231" s="37"/>
      <c r="BK231" s="37"/>
      <c r="BL231" s="37"/>
    </row>
    <row r="232" ht="15.75" customHeight="1">
      <c r="A232" s="37"/>
      <c r="B232" s="37"/>
      <c r="C232" s="38"/>
      <c r="D232" s="37"/>
      <c r="E232" s="37"/>
      <c r="F232" s="37"/>
      <c r="G232" s="37"/>
      <c r="H232" s="37"/>
      <c r="I232" s="37"/>
      <c r="J232" s="38"/>
      <c r="K232" s="38"/>
      <c r="L232" s="37"/>
      <c r="M232" s="37"/>
      <c r="N232" s="37"/>
      <c r="O232" s="37"/>
      <c r="P232" s="37"/>
      <c r="Q232" s="37"/>
      <c r="R232" s="38"/>
      <c r="S232" s="37"/>
      <c r="T232" s="37"/>
      <c r="U232" s="37"/>
      <c r="V232" s="37"/>
      <c r="W232" s="37"/>
      <c r="X232" s="37"/>
      <c r="Y232" s="38"/>
      <c r="Z232" s="37"/>
      <c r="AA232" s="37"/>
      <c r="AB232" s="37"/>
      <c r="AC232" s="37"/>
      <c r="AD232" s="37"/>
      <c r="AE232" s="37"/>
      <c r="AF232" s="38"/>
      <c r="AG232" s="37"/>
      <c r="AH232" s="37"/>
      <c r="AI232" s="37"/>
      <c r="AJ232" s="37"/>
      <c r="AK232" s="37"/>
      <c r="AL232" s="37"/>
      <c r="AM232" s="38"/>
      <c r="AN232" s="37"/>
      <c r="AO232" s="37"/>
      <c r="AP232" s="37"/>
      <c r="AQ232" s="37"/>
      <c r="AR232" s="37"/>
      <c r="AS232" s="37"/>
      <c r="AT232" s="37"/>
      <c r="AU232" s="38"/>
      <c r="AV232" s="38"/>
      <c r="AW232" s="38"/>
      <c r="AX232" s="37"/>
      <c r="AY232" s="37"/>
      <c r="AZ232" s="37"/>
      <c r="BA232" s="37"/>
      <c r="BB232" s="37"/>
      <c r="BC232" s="37"/>
      <c r="BD232" s="38"/>
      <c r="BE232" s="37"/>
      <c r="BF232" s="37"/>
      <c r="BG232" s="37"/>
      <c r="BH232" s="37"/>
      <c r="BI232" s="37"/>
      <c r="BJ232" s="37"/>
      <c r="BK232" s="37"/>
      <c r="BL232" s="37"/>
    </row>
    <row r="233" ht="15.75" customHeight="1">
      <c r="A233" s="37"/>
      <c r="B233" s="37"/>
      <c r="C233" s="38"/>
      <c r="D233" s="37"/>
      <c r="E233" s="37"/>
      <c r="F233" s="37"/>
      <c r="G233" s="37"/>
      <c r="H233" s="37"/>
      <c r="I233" s="37"/>
      <c r="J233" s="38"/>
      <c r="K233" s="38"/>
      <c r="L233" s="37"/>
      <c r="M233" s="37"/>
      <c r="N233" s="37"/>
      <c r="O233" s="37"/>
      <c r="P233" s="37"/>
      <c r="Q233" s="37"/>
      <c r="R233" s="38"/>
      <c r="S233" s="37"/>
      <c r="T233" s="37"/>
      <c r="U233" s="37"/>
      <c r="V233" s="37"/>
      <c r="W233" s="37"/>
      <c r="X233" s="37"/>
      <c r="Y233" s="38"/>
      <c r="Z233" s="37"/>
      <c r="AA233" s="37"/>
      <c r="AB233" s="37"/>
      <c r="AC233" s="37"/>
      <c r="AD233" s="37"/>
      <c r="AE233" s="37"/>
      <c r="AF233" s="38"/>
      <c r="AG233" s="37"/>
      <c r="AH233" s="37"/>
      <c r="AI233" s="37"/>
      <c r="AJ233" s="37"/>
      <c r="AK233" s="37"/>
      <c r="AL233" s="37"/>
      <c r="AM233" s="38"/>
      <c r="AN233" s="37"/>
      <c r="AO233" s="37"/>
      <c r="AP233" s="37"/>
      <c r="AQ233" s="37"/>
      <c r="AR233" s="37"/>
      <c r="AS233" s="37"/>
      <c r="AT233" s="37"/>
      <c r="AU233" s="38"/>
      <c r="AV233" s="38"/>
      <c r="AW233" s="38"/>
      <c r="AX233" s="37"/>
      <c r="AY233" s="37"/>
      <c r="AZ233" s="37"/>
      <c r="BA233" s="37"/>
      <c r="BB233" s="37"/>
      <c r="BC233" s="37"/>
      <c r="BD233" s="38"/>
      <c r="BE233" s="37"/>
      <c r="BF233" s="37"/>
      <c r="BG233" s="37"/>
      <c r="BH233" s="37"/>
      <c r="BI233" s="37"/>
      <c r="BJ233" s="37"/>
      <c r="BK233" s="37"/>
      <c r="BL233" s="37"/>
    </row>
    <row r="234" ht="15.75" customHeight="1">
      <c r="A234" s="37"/>
      <c r="B234" s="37"/>
      <c r="C234" s="38"/>
      <c r="D234" s="37"/>
      <c r="E234" s="37"/>
      <c r="F234" s="37"/>
      <c r="G234" s="37"/>
      <c r="H234" s="37"/>
      <c r="I234" s="37"/>
      <c r="J234" s="38"/>
      <c r="K234" s="38"/>
      <c r="L234" s="37"/>
      <c r="M234" s="37"/>
      <c r="N234" s="37"/>
      <c r="O234" s="37"/>
      <c r="P234" s="37"/>
      <c r="Q234" s="37"/>
      <c r="R234" s="38"/>
      <c r="S234" s="37"/>
      <c r="T234" s="37"/>
      <c r="U234" s="37"/>
      <c r="V234" s="37"/>
      <c r="W234" s="37"/>
      <c r="X234" s="37"/>
      <c r="Y234" s="38"/>
      <c r="Z234" s="37"/>
      <c r="AA234" s="37"/>
      <c r="AB234" s="37"/>
      <c r="AC234" s="37"/>
      <c r="AD234" s="37"/>
      <c r="AE234" s="37"/>
      <c r="AF234" s="38"/>
      <c r="AG234" s="37"/>
      <c r="AH234" s="37"/>
      <c r="AI234" s="37"/>
      <c r="AJ234" s="37"/>
      <c r="AK234" s="37"/>
      <c r="AL234" s="37"/>
      <c r="AM234" s="38"/>
      <c r="AN234" s="37"/>
      <c r="AO234" s="37"/>
      <c r="AP234" s="37"/>
      <c r="AQ234" s="37"/>
      <c r="AR234" s="37"/>
      <c r="AS234" s="37"/>
      <c r="AT234" s="37"/>
      <c r="AU234" s="38"/>
      <c r="AV234" s="38"/>
      <c r="AW234" s="38"/>
      <c r="AX234" s="37"/>
      <c r="AY234" s="37"/>
      <c r="AZ234" s="37"/>
      <c r="BA234" s="37"/>
      <c r="BB234" s="37"/>
      <c r="BC234" s="37"/>
      <c r="BD234" s="38"/>
      <c r="BE234" s="37"/>
      <c r="BF234" s="37"/>
      <c r="BG234" s="37"/>
      <c r="BH234" s="37"/>
      <c r="BI234" s="37"/>
      <c r="BJ234" s="37"/>
      <c r="BK234" s="37"/>
      <c r="BL234" s="37"/>
    </row>
    <row r="235" ht="15.75" customHeight="1">
      <c r="A235" s="37"/>
      <c r="B235" s="37"/>
      <c r="C235" s="38"/>
      <c r="D235" s="37"/>
      <c r="E235" s="37"/>
      <c r="F235" s="37"/>
      <c r="G235" s="37"/>
      <c r="H235" s="37"/>
      <c r="I235" s="37"/>
      <c r="J235" s="38"/>
      <c r="K235" s="38"/>
      <c r="L235" s="37"/>
      <c r="M235" s="37"/>
      <c r="N235" s="37"/>
      <c r="O235" s="37"/>
      <c r="P235" s="37"/>
      <c r="Q235" s="37"/>
      <c r="R235" s="38"/>
      <c r="S235" s="37"/>
      <c r="T235" s="37"/>
      <c r="U235" s="37"/>
      <c r="V235" s="37"/>
      <c r="W235" s="37"/>
      <c r="X235" s="37"/>
      <c r="Y235" s="38"/>
      <c r="Z235" s="37"/>
      <c r="AA235" s="37"/>
      <c r="AB235" s="37"/>
      <c r="AC235" s="37"/>
      <c r="AD235" s="37"/>
      <c r="AE235" s="37"/>
      <c r="AF235" s="38"/>
      <c r="AG235" s="37"/>
      <c r="AH235" s="37"/>
      <c r="AI235" s="37"/>
      <c r="AJ235" s="37"/>
      <c r="AK235" s="37"/>
      <c r="AL235" s="37"/>
      <c r="AM235" s="38"/>
      <c r="AN235" s="37"/>
      <c r="AO235" s="37"/>
      <c r="AP235" s="37"/>
      <c r="AQ235" s="37"/>
      <c r="AR235" s="37"/>
      <c r="AS235" s="37"/>
      <c r="AT235" s="37"/>
      <c r="AU235" s="38"/>
      <c r="AV235" s="38"/>
      <c r="AW235" s="38"/>
      <c r="AX235" s="37"/>
      <c r="AY235" s="37"/>
      <c r="AZ235" s="37"/>
      <c r="BA235" s="37"/>
      <c r="BB235" s="37"/>
      <c r="BC235" s="37"/>
      <c r="BD235" s="38"/>
      <c r="BE235" s="37"/>
      <c r="BF235" s="37"/>
      <c r="BG235" s="37"/>
      <c r="BH235" s="37"/>
      <c r="BI235" s="37"/>
      <c r="BJ235" s="37"/>
      <c r="BK235" s="37"/>
      <c r="BL235" s="37"/>
    </row>
    <row r="236" ht="15.75" customHeight="1">
      <c r="A236" s="37"/>
      <c r="B236" s="37"/>
      <c r="C236" s="38"/>
      <c r="D236" s="37"/>
      <c r="E236" s="37"/>
      <c r="F236" s="37"/>
      <c r="G236" s="37"/>
      <c r="H236" s="37"/>
      <c r="I236" s="37"/>
      <c r="J236" s="38"/>
      <c r="K236" s="38"/>
      <c r="L236" s="37"/>
      <c r="M236" s="37"/>
      <c r="N236" s="37"/>
      <c r="O236" s="37"/>
      <c r="P236" s="37"/>
      <c r="Q236" s="37"/>
      <c r="R236" s="38"/>
      <c r="S236" s="37"/>
      <c r="T236" s="37"/>
      <c r="U236" s="37"/>
      <c r="V236" s="37"/>
      <c r="W236" s="37"/>
      <c r="X236" s="37"/>
      <c r="Y236" s="38"/>
      <c r="Z236" s="37"/>
      <c r="AA236" s="37"/>
      <c r="AB236" s="37"/>
      <c r="AC236" s="37"/>
      <c r="AD236" s="37"/>
      <c r="AE236" s="37"/>
      <c r="AF236" s="38"/>
      <c r="AG236" s="37"/>
      <c r="AH236" s="37"/>
      <c r="AI236" s="37"/>
      <c r="AJ236" s="37"/>
      <c r="AK236" s="37"/>
      <c r="AL236" s="37"/>
      <c r="AM236" s="38"/>
      <c r="AN236" s="37"/>
      <c r="AO236" s="37"/>
      <c r="AP236" s="37"/>
      <c r="AQ236" s="37"/>
      <c r="AR236" s="37"/>
      <c r="AS236" s="37"/>
      <c r="AT236" s="37"/>
      <c r="AU236" s="38"/>
      <c r="AV236" s="38"/>
      <c r="AW236" s="38"/>
      <c r="AX236" s="37"/>
      <c r="AY236" s="37"/>
      <c r="AZ236" s="37"/>
      <c r="BA236" s="37"/>
      <c r="BB236" s="37"/>
      <c r="BC236" s="37"/>
      <c r="BD236" s="38"/>
      <c r="BE236" s="37"/>
      <c r="BF236" s="37"/>
      <c r="BG236" s="37"/>
      <c r="BH236" s="37"/>
      <c r="BI236" s="37"/>
      <c r="BJ236" s="37"/>
      <c r="BK236" s="37"/>
      <c r="BL236" s="37"/>
    </row>
    <row r="237" ht="15.75" customHeight="1">
      <c r="A237" s="37"/>
      <c r="B237" s="37"/>
      <c r="C237" s="38"/>
      <c r="D237" s="37"/>
      <c r="E237" s="37"/>
      <c r="F237" s="37"/>
      <c r="G237" s="37"/>
      <c r="H237" s="37"/>
      <c r="I237" s="37"/>
      <c r="J237" s="38"/>
      <c r="K237" s="38"/>
      <c r="L237" s="37"/>
      <c r="M237" s="37"/>
      <c r="N237" s="37"/>
      <c r="O237" s="37"/>
      <c r="P237" s="37"/>
      <c r="Q237" s="37"/>
      <c r="R237" s="38"/>
      <c r="S237" s="37"/>
      <c r="T237" s="37"/>
      <c r="U237" s="37"/>
      <c r="V237" s="37"/>
      <c r="W237" s="37"/>
      <c r="X237" s="37"/>
      <c r="Y237" s="38"/>
      <c r="Z237" s="37"/>
      <c r="AA237" s="37"/>
      <c r="AB237" s="37"/>
      <c r="AC237" s="37"/>
      <c r="AD237" s="37"/>
      <c r="AE237" s="37"/>
      <c r="AF237" s="38"/>
      <c r="AG237" s="37"/>
      <c r="AH237" s="37"/>
      <c r="AI237" s="37"/>
      <c r="AJ237" s="37"/>
      <c r="AK237" s="37"/>
      <c r="AL237" s="37"/>
      <c r="AM237" s="38"/>
      <c r="AN237" s="37"/>
      <c r="AO237" s="37"/>
      <c r="AP237" s="37"/>
      <c r="AQ237" s="37"/>
      <c r="AR237" s="37"/>
      <c r="AS237" s="37"/>
      <c r="AT237" s="37"/>
      <c r="AU237" s="38"/>
      <c r="AV237" s="38"/>
      <c r="AW237" s="38"/>
      <c r="AX237" s="37"/>
      <c r="AY237" s="37"/>
      <c r="AZ237" s="37"/>
      <c r="BA237" s="37"/>
      <c r="BB237" s="37"/>
      <c r="BC237" s="37"/>
      <c r="BD237" s="38"/>
      <c r="BE237" s="37"/>
      <c r="BF237" s="37"/>
      <c r="BG237" s="37"/>
      <c r="BH237" s="37"/>
      <c r="BI237" s="37"/>
      <c r="BJ237" s="37"/>
      <c r="BK237" s="37"/>
      <c r="BL237" s="37"/>
    </row>
    <row r="238" ht="15.75" customHeight="1">
      <c r="A238" s="37"/>
      <c r="B238" s="37"/>
      <c r="C238" s="38"/>
      <c r="D238" s="37"/>
      <c r="E238" s="37"/>
      <c r="F238" s="37"/>
      <c r="G238" s="37"/>
      <c r="H238" s="37"/>
      <c r="I238" s="37"/>
      <c r="J238" s="38"/>
      <c r="K238" s="38"/>
      <c r="L238" s="37"/>
      <c r="M238" s="37"/>
      <c r="N238" s="37"/>
      <c r="O238" s="37"/>
      <c r="P238" s="37"/>
      <c r="Q238" s="37"/>
      <c r="R238" s="38"/>
      <c r="S238" s="37"/>
      <c r="T238" s="37"/>
      <c r="U238" s="37"/>
      <c r="V238" s="37"/>
      <c r="W238" s="37"/>
      <c r="X238" s="37"/>
      <c r="Y238" s="38"/>
      <c r="Z238" s="37"/>
      <c r="AA238" s="37"/>
      <c r="AB238" s="37"/>
      <c r="AC238" s="37"/>
      <c r="AD238" s="37"/>
      <c r="AE238" s="37"/>
      <c r="AF238" s="38"/>
      <c r="AG238" s="37"/>
      <c r="AH238" s="37"/>
      <c r="AI238" s="37"/>
      <c r="AJ238" s="37"/>
      <c r="AK238" s="37"/>
      <c r="AL238" s="37"/>
      <c r="AM238" s="38"/>
      <c r="AN238" s="37"/>
      <c r="AO238" s="37"/>
      <c r="AP238" s="37"/>
      <c r="AQ238" s="37"/>
      <c r="AR238" s="37"/>
      <c r="AS238" s="37"/>
      <c r="AT238" s="37"/>
      <c r="AU238" s="38"/>
      <c r="AV238" s="38"/>
      <c r="AW238" s="38"/>
      <c r="AX238" s="37"/>
      <c r="AY238" s="37"/>
      <c r="AZ238" s="37"/>
      <c r="BA238" s="37"/>
      <c r="BB238" s="37"/>
      <c r="BC238" s="37"/>
      <c r="BD238" s="38"/>
      <c r="BE238" s="37"/>
      <c r="BF238" s="37"/>
      <c r="BG238" s="37"/>
      <c r="BH238" s="37"/>
      <c r="BI238" s="37"/>
      <c r="BJ238" s="37"/>
      <c r="BK238" s="37"/>
      <c r="BL238" s="37"/>
    </row>
    <row r="239" ht="15.75" customHeight="1">
      <c r="A239" s="37"/>
      <c r="B239" s="37"/>
      <c r="C239" s="38"/>
      <c r="D239" s="37"/>
      <c r="E239" s="37"/>
      <c r="F239" s="37"/>
      <c r="G239" s="37"/>
      <c r="H239" s="37"/>
      <c r="I239" s="37"/>
      <c r="J239" s="38"/>
      <c r="K239" s="38"/>
      <c r="L239" s="37"/>
      <c r="M239" s="37"/>
      <c r="N239" s="37"/>
      <c r="O239" s="37"/>
      <c r="P239" s="37"/>
      <c r="Q239" s="37"/>
      <c r="R239" s="38"/>
      <c r="S239" s="37"/>
      <c r="T239" s="37"/>
      <c r="U239" s="37"/>
      <c r="V239" s="37"/>
      <c r="W239" s="37"/>
      <c r="X239" s="37"/>
      <c r="Y239" s="38"/>
      <c r="Z239" s="37"/>
      <c r="AA239" s="37"/>
      <c r="AB239" s="37"/>
      <c r="AC239" s="37"/>
      <c r="AD239" s="37"/>
      <c r="AE239" s="37"/>
      <c r="AF239" s="38"/>
      <c r="AG239" s="37"/>
      <c r="AH239" s="37"/>
      <c r="AI239" s="37"/>
      <c r="AJ239" s="37"/>
      <c r="AK239" s="37"/>
      <c r="AL239" s="37"/>
      <c r="AM239" s="38"/>
      <c r="AN239" s="37"/>
      <c r="AO239" s="37"/>
      <c r="AP239" s="37"/>
      <c r="AQ239" s="37"/>
      <c r="AR239" s="37"/>
      <c r="AS239" s="37"/>
      <c r="AT239" s="37"/>
      <c r="AU239" s="38"/>
      <c r="AV239" s="38"/>
      <c r="AW239" s="38"/>
      <c r="AX239" s="37"/>
      <c r="AY239" s="37"/>
      <c r="AZ239" s="37"/>
      <c r="BA239" s="37"/>
      <c r="BB239" s="37"/>
      <c r="BC239" s="37"/>
      <c r="BD239" s="38"/>
      <c r="BE239" s="37"/>
      <c r="BF239" s="37"/>
      <c r="BG239" s="37"/>
      <c r="BH239" s="37"/>
      <c r="BI239" s="37"/>
      <c r="BJ239" s="37"/>
      <c r="BK239" s="37"/>
      <c r="BL239" s="37"/>
    </row>
    <row r="240" ht="15.75" customHeight="1">
      <c r="A240" s="37"/>
      <c r="B240" s="37"/>
      <c r="C240" s="38"/>
      <c r="D240" s="37"/>
      <c r="E240" s="37"/>
      <c r="F240" s="37"/>
      <c r="G240" s="37"/>
      <c r="H240" s="37"/>
      <c r="I240" s="37"/>
      <c r="J240" s="38"/>
      <c r="K240" s="38"/>
      <c r="L240" s="37"/>
      <c r="M240" s="37"/>
      <c r="N240" s="37"/>
      <c r="O240" s="37"/>
      <c r="P240" s="37"/>
      <c r="Q240" s="37"/>
      <c r="R240" s="38"/>
      <c r="S240" s="37"/>
      <c r="T240" s="37"/>
      <c r="U240" s="37"/>
      <c r="V240" s="37"/>
      <c r="W240" s="37"/>
      <c r="X240" s="37"/>
      <c r="Y240" s="38"/>
      <c r="Z240" s="37"/>
      <c r="AA240" s="37"/>
      <c r="AB240" s="37"/>
      <c r="AC240" s="37"/>
      <c r="AD240" s="37"/>
      <c r="AE240" s="37"/>
      <c r="AF240" s="38"/>
      <c r="AG240" s="37"/>
      <c r="AH240" s="37"/>
      <c r="AI240" s="37"/>
      <c r="AJ240" s="37"/>
      <c r="AK240" s="37"/>
      <c r="AL240" s="37"/>
      <c r="AM240" s="38"/>
      <c r="AN240" s="37"/>
      <c r="AO240" s="37"/>
      <c r="AP240" s="37"/>
      <c r="AQ240" s="37"/>
      <c r="AR240" s="37"/>
      <c r="AS240" s="37"/>
      <c r="AT240" s="37"/>
      <c r="AU240" s="38"/>
      <c r="AV240" s="38"/>
      <c r="AW240" s="38"/>
      <c r="AX240" s="37"/>
      <c r="AY240" s="37"/>
      <c r="AZ240" s="37"/>
      <c r="BA240" s="37"/>
      <c r="BB240" s="37"/>
      <c r="BC240" s="37"/>
      <c r="BD240" s="38"/>
      <c r="BE240" s="37"/>
      <c r="BF240" s="37"/>
      <c r="BG240" s="37"/>
      <c r="BH240" s="37"/>
      <c r="BI240" s="37"/>
      <c r="BJ240" s="37"/>
      <c r="BK240" s="37"/>
      <c r="BL240" s="37"/>
    </row>
    <row r="241" ht="15.75" customHeight="1">
      <c r="A241" s="37"/>
      <c r="B241" s="37"/>
      <c r="C241" s="38"/>
      <c r="D241" s="37"/>
      <c r="E241" s="37"/>
      <c r="F241" s="37"/>
      <c r="G241" s="37"/>
      <c r="H241" s="37"/>
      <c r="I241" s="37"/>
      <c r="J241" s="38"/>
      <c r="K241" s="38"/>
      <c r="L241" s="37"/>
      <c r="M241" s="37"/>
      <c r="N241" s="37"/>
      <c r="O241" s="37"/>
      <c r="P241" s="37"/>
      <c r="Q241" s="37"/>
      <c r="R241" s="38"/>
      <c r="S241" s="37"/>
      <c r="T241" s="37"/>
      <c r="U241" s="37"/>
      <c r="V241" s="37"/>
      <c r="W241" s="37"/>
      <c r="X241" s="37"/>
      <c r="Y241" s="38"/>
      <c r="Z241" s="37"/>
      <c r="AA241" s="37"/>
      <c r="AB241" s="37"/>
      <c r="AC241" s="37"/>
      <c r="AD241" s="37"/>
      <c r="AE241" s="37"/>
      <c r="AF241" s="38"/>
      <c r="AG241" s="37"/>
      <c r="AH241" s="37"/>
      <c r="AI241" s="37"/>
      <c r="AJ241" s="37"/>
      <c r="AK241" s="37"/>
      <c r="AL241" s="37"/>
      <c r="AM241" s="38"/>
      <c r="AN241" s="37"/>
      <c r="AO241" s="37"/>
      <c r="AP241" s="37"/>
      <c r="AQ241" s="37"/>
      <c r="AR241" s="37"/>
      <c r="AS241" s="37"/>
      <c r="AT241" s="37"/>
      <c r="AU241" s="38"/>
      <c r="AV241" s="38"/>
      <c r="AW241" s="38"/>
      <c r="AX241" s="37"/>
      <c r="AY241" s="37"/>
      <c r="AZ241" s="37"/>
      <c r="BA241" s="37"/>
      <c r="BB241" s="37"/>
      <c r="BC241" s="37"/>
      <c r="BD241" s="38"/>
      <c r="BE241" s="37"/>
      <c r="BF241" s="37"/>
      <c r="BG241" s="37"/>
      <c r="BH241" s="37"/>
      <c r="BI241" s="37"/>
      <c r="BJ241" s="37"/>
      <c r="BK241" s="37"/>
      <c r="BL241" s="37"/>
    </row>
    <row r="242" ht="15.75" customHeight="1">
      <c r="A242" s="37"/>
      <c r="B242" s="37"/>
      <c r="C242" s="38"/>
      <c r="D242" s="37"/>
      <c r="E242" s="37"/>
      <c r="F242" s="37"/>
      <c r="G242" s="37"/>
      <c r="H242" s="37"/>
      <c r="I242" s="37"/>
      <c r="J242" s="38"/>
      <c r="K242" s="38"/>
      <c r="L242" s="37"/>
      <c r="M242" s="37"/>
      <c r="N242" s="37"/>
      <c r="O242" s="37"/>
      <c r="P242" s="37"/>
      <c r="Q242" s="37"/>
      <c r="R242" s="38"/>
      <c r="S242" s="37"/>
      <c r="T242" s="37"/>
      <c r="U242" s="37"/>
      <c r="V242" s="37"/>
      <c r="W242" s="37"/>
      <c r="X242" s="37"/>
      <c r="Y242" s="38"/>
      <c r="Z242" s="37"/>
      <c r="AA242" s="37"/>
      <c r="AB242" s="37"/>
      <c r="AC242" s="37"/>
      <c r="AD242" s="37"/>
      <c r="AE242" s="37"/>
      <c r="AF242" s="38"/>
      <c r="AG242" s="37"/>
      <c r="AH242" s="37"/>
      <c r="AI242" s="37"/>
      <c r="AJ242" s="37"/>
      <c r="AK242" s="37"/>
      <c r="AL242" s="37"/>
      <c r="AM242" s="38"/>
      <c r="AN242" s="37"/>
      <c r="AO242" s="37"/>
      <c r="AP242" s="37"/>
      <c r="AQ242" s="37"/>
      <c r="AR242" s="37"/>
      <c r="AS242" s="37"/>
      <c r="AT242" s="37"/>
      <c r="AU242" s="38"/>
      <c r="AV242" s="38"/>
      <c r="AW242" s="38"/>
      <c r="AX242" s="37"/>
      <c r="AY242" s="37"/>
      <c r="AZ242" s="37"/>
      <c r="BA242" s="37"/>
      <c r="BB242" s="37"/>
      <c r="BC242" s="37"/>
      <c r="BD242" s="38"/>
      <c r="BE242" s="37"/>
      <c r="BF242" s="37"/>
      <c r="BG242" s="37"/>
      <c r="BH242" s="37"/>
      <c r="BI242" s="37"/>
      <c r="BJ242" s="37"/>
      <c r="BK242" s="37"/>
      <c r="BL242" s="37"/>
    </row>
    <row r="243" ht="15.75" customHeight="1">
      <c r="A243" s="37"/>
      <c r="B243" s="37"/>
      <c r="C243" s="38"/>
      <c r="D243" s="37"/>
      <c r="E243" s="37"/>
      <c r="F243" s="37"/>
      <c r="G243" s="37"/>
      <c r="H243" s="37"/>
      <c r="I243" s="37"/>
      <c r="J243" s="38"/>
      <c r="K243" s="38"/>
      <c r="L243" s="37"/>
      <c r="M243" s="37"/>
      <c r="N243" s="37"/>
      <c r="O243" s="37"/>
      <c r="P243" s="37"/>
      <c r="Q243" s="37"/>
      <c r="R243" s="38"/>
      <c r="S243" s="37"/>
      <c r="T243" s="37"/>
      <c r="U243" s="37"/>
      <c r="V243" s="37"/>
      <c r="W243" s="37"/>
      <c r="X243" s="37"/>
      <c r="Y243" s="38"/>
      <c r="Z243" s="37"/>
      <c r="AA243" s="37"/>
      <c r="AB243" s="37"/>
      <c r="AC243" s="37"/>
      <c r="AD243" s="37"/>
      <c r="AE243" s="37"/>
      <c r="AF243" s="38"/>
      <c r="AG243" s="37"/>
      <c r="AH243" s="37"/>
      <c r="AI243" s="37"/>
      <c r="AJ243" s="37"/>
      <c r="AK243" s="37"/>
      <c r="AL243" s="37"/>
      <c r="AM243" s="38"/>
      <c r="AN243" s="37"/>
      <c r="AO243" s="37"/>
      <c r="AP243" s="37"/>
      <c r="AQ243" s="37"/>
      <c r="AR243" s="37"/>
      <c r="AS243" s="37"/>
      <c r="AT243" s="37"/>
      <c r="AU243" s="38"/>
      <c r="AV243" s="38"/>
      <c r="AW243" s="38"/>
      <c r="AX243" s="37"/>
      <c r="AY243" s="37"/>
      <c r="AZ243" s="37"/>
      <c r="BA243" s="37"/>
      <c r="BB243" s="37"/>
      <c r="BC243" s="37"/>
      <c r="BD243" s="38"/>
      <c r="BE243" s="37"/>
      <c r="BF243" s="37"/>
      <c r="BG243" s="37"/>
      <c r="BH243" s="37"/>
      <c r="BI243" s="37"/>
      <c r="BJ243" s="37"/>
      <c r="BK243" s="37"/>
      <c r="BL243" s="37"/>
    </row>
    <row r="244" ht="15.75" customHeight="1">
      <c r="A244" s="37"/>
      <c r="B244" s="37"/>
      <c r="C244" s="38"/>
      <c r="D244" s="37"/>
      <c r="E244" s="37"/>
      <c r="F244" s="37"/>
      <c r="G244" s="37"/>
      <c r="H244" s="37"/>
      <c r="I244" s="37"/>
      <c r="J244" s="38"/>
      <c r="K244" s="38"/>
      <c r="L244" s="37"/>
      <c r="M244" s="37"/>
      <c r="N244" s="37"/>
      <c r="O244" s="37"/>
      <c r="P244" s="37"/>
      <c r="Q244" s="37"/>
      <c r="R244" s="38"/>
      <c r="S244" s="37"/>
      <c r="T244" s="37"/>
      <c r="U244" s="37"/>
      <c r="V244" s="37"/>
      <c r="W244" s="37"/>
      <c r="X244" s="37"/>
      <c r="Y244" s="38"/>
      <c r="Z244" s="37"/>
      <c r="AA244" s="37"/>
      <c r="AB244" s="37"/>
      <c r="AC244" s="37"/>
      <c r="AD244" s="37"/>
      <c r="AE244" s="37"/>
      <c r="AF244" s="38"/>
      <c r="AG244" s="37"/>
      <c r="AH244" s="37"/>
      <c r="AI244" s="37"/>
      <c r="AJ244" s="37"/>
      <c r="AK244" s="37"/>
      <c r="AL244" s="37"/>
      <c r="AM244" s="38"/>
      <c r="AN244" s="37"/>
      <c r="AO244" s="37"/>
      <c r="AP244" s="37"/>
      <c r="AQ244" s="37"/>
      <c r="AR244" s="37"/>
      <c r="AS244" s="37"/>
      <c r="AT244" s="37"/>
      <c r="AU244" s="38"/>
      <c r="AV244" s="38"/>
      <c r="AW244" s="38"/>
      <c r="AX244" s="37"/>
      <c r="AY244" s="37"/>
      <c r="AZ244" s="37"/>
      <c r="BA244" s="37"/>
      <c r="BB244" s="37"/>
      <c r="BC244" s="37"/>
      <c r="BD244" s="38"/>
      <c r="BE244" s="37"/>
      <c r="BF244" s="37"/>
      <c r="BG244" s="37"/>
      <c r="BH244" s="37"/>
      <c r="BI244" s="37"/>
      <c r="BJ244" s="37"/>
      <c r="BK244" s="37"/>
      <c r="BL244" s="37"/>
    </row>
    <row r="245" ht="15.75" customHeight="1">
      <c r="A245" s="37"/>
      <c r="B245" s="37"/>
      <c r="C245" s="38"/>
      <c r="D245" s="37"/>
      <c r="E245" s="37"/>
      <c r="F245" s="37"/>
      <c r="G245" s="37"/>
      <c r="H245" s="37"/>
      <c r="I245" s="37"/>
      <c r="J245" s="38"/>
      <c r="K245" s="38"/>
      <c r="L245" s="37"/>
      <c r="M245" s="37"/>
      <c r="N245" s="37"/>
      <c r="O245" s="37"/>
      <c r="P245" s="37"/>
      <c r="Q245" s="37"/>
      <c r="R245" s="38"/>
      <c r="S245" s="37"/>
      <c r="T245" s="37"/>
      <c r="U245" s="37"/>
      <c r="V245" s="37"/>
      <c r="W245" s="37"/>
      <c r="X245" s="37"/>
      <c r="Y245" s="38"/>
      <c r="Z245" s="37"/>
      <c r="AA245" s="37"/>
      <c r="AB245" s="37"/>
      <c r="AC245" s="37"/>
      <c r="AD245" s="37"/>
      <c r="AE245" s="37"/>
      <c r="AF245" s="38"/>
      <c r="AG245" s="37"/>
      <c r="AH245" s="37"/>
      <c r="AI245" s="37"/>
      <c r="AJ245" s="37"/>
      <c r="AK245" s="37"/>
      <c r="AL245" s="37"/>
      <c r="AM245" s="38"/>
      <c r="AN245" s="37"/>
      <c r="AO245" s="37"/>
      <c r="AP245" s="37"/>
      <c r="AQ245" s="37"/>
      <c r="AR245" s="37"/>
      <c r="AS245" s="37"/>
      <c r="AT245" s="37"/>
      <c r="AU245" s="38"/>
      <c r="AV245" s="38"/>
      <c r="AW245" s="38"/>
      <c r="AX245" s="37"/>
      <c r="AY245" s="37"/>
      <c r="AZ245" s="37"/>
      <c r="BA245" s="37"/>
      <c r="BB245" s="37"/>
      <c r="BC245" s="37"/>
      <c r="BD245" s="38"/>
      <c r="BE245" s="37"/>
      <c r="BF245" s="37"/>
      <c r="BG245" s="37"/>
      <c r="BH245" s="37"/>
      <c r="BI245" s="37"/>
      <c r="BJ245" s="37"/>
      <c r="BK245" s="37"/>
      <c r="BL245" s="37"/>
    </row>
    <row r="246" ht="15.75" customHeight="1">
      <c r="A246" s="37"/>
      <c r="B246" s="37"/>
      <c r="C246" s="38"/>
      <c r="D246" s="37"/>
      <c r="E246" s="37"/>
      <c r="F246" s="37"/>
      <c r="G246" s="37"/>
      <c r="H246" s="37"/>
      <c r="I246" s="37"/>
      <c r="J246" s="38"/>
      <c r="K246" s="38"/>
      <c r="L246" s="37"/>
      <c r="M246" s="37"/>
      <c r="N246" s="37"/>
      <c r="O246" s="37"/>
      <c r="P246" s="37"/>
      <c r="Q246" s="37"/>
      <c r="R246" s="38"/>
      <c r="S246" s="37"/>
      <c r="T246" s="37"/>
      <c r="U246" s="37"/>
      <c r="V246" s="37"/>
      <c r="W246" s="37"/>
      <c r="X246" s="37"/>
      <c r="Y246" s="38"/>
      <c r="Z246" s="37"/>
      <c r="AA246" s="37"/>
      <c r="AB246" s="37"/>
      <c r="AC246" s="37"/>
      <c r="AD246" s="37"/>
      <c r="AE246" s="37"/>
      <c r="AF246" s="38"/>
      <c r="AG246" s="37"/>
      <c r="AH246" s="37"/>
      <c r="AI246" s="37"/>
      <c r="AJ246" s="37"/>
      <c r="AK246" s="37"/>
      <c r="AL246" s="37"/>
      <c r="AM246" s="38"/>
      <c r="AN246" s="37"/>
      <c r="AO246" s="37"/>
      <c r="AP246" s="37"/>
      <c r="AQ246" s="37"/>
      <c r="AR246" s="37"/>
      <c r="AS246" s="37"/>
      <c r="AT246" s="37"/>
      <c r="AU246" s="38"/>
      <c r="AV246" s="38"/>
      <c r="AW246" s="38"/>
      <c r="AX246" s="37"/>
      <c r="AY246" s="37"/>
      <c r="AZ246" s="37"/>
      <c r="BA246" s="37"/>
      <c r="BB246" s="37"/>
      <c r="BC246" s="37"/>
      <c r="BD246" s="38"/>
      <c r="BE246" s="37"/>
      <c r="BF246" s="37"/>
      <c r="BG246" s="37"/>
      <c r="BH246" s="37"/>
      <c r="BI246" s="37"/>
      <c r="BJ246" s="37"/>
      <c r="BK246" s="37"/>
      <c r="BL246" s="37"/>
    </row>
    <row r="247" ht="15.75" customHeight="1">
      <c r="A247" s="37"/>
      <c r="B247" s="37"/>
      <c r="C247" s="38"/>
      <c r="D247" s="37"/>
      <c r="E247" s="37"/>
      <c r="F247" s="37"/>
      <c r="G247" s="37"/>
      <c r="H247" s="37"/>
      <c r="I247" s="37"/>
      <c r="J247" s="38"/>
      <c r="K247" s="38"/>
      <c r="L247" s="37"/>
      <c r="M247" s="37"/>
      <c r="N247" s="37"/>
      <c r="O247" s="37"/>
      <c r="P247" s="37"/>
      <c r="Q247" s="37"/>
      <c r="R247" s="38"/>
      <c r="S247" s="37"/>
      <c r="T247" s="37"/>
      <c r="U247" s="37"/>
      <c r="V247" s="37"/>
      <c r="W247" s="37"/>
      <c r="X247" s="37"/>
      <c r="Y247" s="38"/>
      <c r="Z247" s="37"/>
      <c r="AA247" s="37"/>
      <c r="AB247" s="37"/>
      <c r="AC247" s="37"/>
      <c r="AD247" s="37"/>
      <c r="AE247" s="37"/>
      <c r="AF247" s="38"/>
      <c r="AG247" s="37"/>
      <c r="AH247" s="37"/>
      <c r="AI247" s="37"/>
      <c r="AJ247" s="37"/>
      <c r="AK247" s="37"/>
      <c r="AL247" s="37"/>
      <c r="AM247" s="38"/>
      <c r="AN247" s="37"/>
      <c r="AO247" s="37"/>
      <c r="AP247" s="37"/>
      <c r="AQ247" s="37"/>
      <c r="AR247" s="37"/>
      <c r="AS247" s="37"/>
      <c r="AT247" s="37"/>
      <c r="AU247" s="38"/>
      <c r="AV247" s="38"/>
      <c r="AW247" s="38"/>
      <c r="AX247" s="37"/>
      <c r="AY247" s="37"/>
      <c r="AZ247" s="37"/>
      <c r="BA247" s="37"/>
      <c r="BB247" s="37"/>
      <c r="BC247" s="37"/>
      <c r="BD247" s="38"/>
      <c r="BE247" s="37"/>
      <c r="BF247" s="37"/>
      <c r="BG247" s="37"/>
      <c r="BH247" s="37"/>
      <c r="BI247" s="37"/>
      <c r="BJ247" s="37"/>
      <c r="BK247" s="37"/>
      <c r="BL247" s="37"/>
    </row>
    <row r="248" ht="15.75" customHeight="1">
      <c r="A248" s="37"/>
      <c r="B248" s="37"/>
      <c r="C248" s="38"/>
      <c r="D248" s="37"/>
      <c r="E248" s="37"/>
      <c r="F248" s="37"/>
      <c r="G248" s="37"/>
      <c r="H248" s="37"/>
      <c r="I248" s="37"/>
      <c r="J248" s="38"/>
      <c r="K248" s="38"/>
      <c r="L248" s="37"/>
      <c r="M248" s="37"/>
      <c r="N248" s="37"/>
      <c r="O248" s="37"/>
      <c r="P248" s="37"/>
      <c r="Q248" s="37"/>
      <c r="R248" s="38"/>
      <c r="S248" s="37"/>
      <c r="T248" s="37"/>
      <c r="U248" s="37"/>
      <c r="V248" s="37"/>
      <c r="W248" s="37"/>
      <c r="X248" s="37"/>
      <c r="Y248" s="38"/>
      <c r="Z248" s="37"/>
      <c r="AA248" s="37"/>
      <c r="AB248" s="37"/>
      <c r="AC248" s="37"/>
      <c r="AD248" s="37"/>
      <c r="AE248" s="37"/>
      <c r="AF248" s="38"/>
      <c r="AG248" s="37"/>
      <c r="AH248" s="37"/>
      <c r="AI248" s="37"/>
      <c r="AJ248" s="37"/>
      <c r="AK248" s="37"/>
      <c r="AL248" s="37"/>
      <c r="AM248" s="38"/>
      <c r="AN248" s="37"/>
      <c r="AO248" s="37"/>
      <c r="AP248" s="37"/>
      <c r="AQ248" s="37"/>
      <c r="AR248" s="37"/>
      <c r="AS248" s="37"/>
      <c r="AT248" s="37"/>
      <c r="AU248" s="38"/>
      <c r="AV248" s="38"/>
      <c r="AW248" s="38"/>
      <c r="AX248" s="37"/>
      <c r="AY248" s="37"/>
      <c r="AZ248" s="37"/>
      <c r="BA248" s="37"/>
      <c r="BB248" s="37"/>
      <c r="BC248" s="37"/>
      <c r="BD248" s="38"/>
      <c r="BE248" s="37"/>
      <c r="BF248" s="37"/>
      <c r="BG248" s="37"/>
      <c r="BH248" s="37"/>
      <c r="BI248" s="37"/>
      <c r="BJ248" s="37"/>
      <c r="BK248" s="37"/>
      <c r="BL248" s="37"/>
    </row>
    <row r="249" ht="15.75" customHeight="1">
      <c r="A249" s="37"/>
      <c r="B249" s="37"/>
      <c r="C249" s="38"/>
      <c r="D249" s="37"/>
      <c r="E249" s="37"/>
      <c r="F249" s="37"/>
      <c r="G249" s="37"/>
      <c r="H249" s="37"/>
      <c r="I249" s="37"/>
      <c r="J249" s="38"/>
      <c r="K249" s="38"/>
      <c r="L249" s="37"/>
      <c r="M249" s="37"/>
      <c r="N249" s="37"/>
      <c r="O249" s="37"/>
      <c r="P249" s="37"/>
      <c r="Q249" s="37"/>
      <c r="R249" s="38"/>
      <c r="S249" s="37"/>
      <c r="T249" s="37"/>
      <c r="U249" s="37"/>
      <c r="V249" s="37"/>
      <c r="W249" s="37"/>
      <c r="X249" s="37"/>
      <c r="Y249" s="38"/>
      <c r="Z249" s="37"/>
      <c r="AA249" s="37"/>
      <c r="AB249" s="37"/>
      <c r="AC249" s="37"/>
      <c r="AD249" s="37"/>
      <c r="AE249" s="37"/>
      <c r="AF249" s="38"/>
      <c r="AG249" s="37"/>
      <c r="AH249" s="37"/>
      <c r="AI249" s="37"/>
      <c r="AJ249" s="37"/>
      <c r="AK249" s="37"/>
      <c r="AL249" s="37"/>
      <c r="AM249" s="38"/>
      <c r="AN249" s="37"/>
      <c r="AO249" s="37"/>
      <c r="AP249" s="37"/>
      <c r="AQ249" s="37"/>
      <c r="AR249" s="37"/>
      <c r="AS249" s="37"/>
      <c r="AT249" s="37"/>
      <c r="AU249" s="38"/>
      <c r="AV249" s="38"/>
      <c r="AW249" s="38"/>
      <c r="AX249" s="37"/>
      <c r="AY249" s="37"/>
      <c r="AZ249" s="37"/>
      <c r="BA249" s="37"/>
      <c r="BB249" s="37"/>
      <c r="BC249" s="37"/>
      <c r="BD249" s="38"/>
      <c r="BE249" s="37"/>
      <c r="BF249" s="37"/>
      <c r="BG249" s="37"/>
      <c r="BH249" s="37"/>
      <c r="BI249" s="37"/>
      <c r="BJ249" s="37"/>
      <c r="BK249" s="37"/>
      <c r="BL249" s="37"/>
    </row>
    <row r="250" ht="15.75" customHeight="1">
      <c r="A250" s="37"/>
      <c r="B250" s="37"/>
      <c r="C250" s="38"/>
      <c r="D250" s="37"/>
      <c r="E250" s="37"/>
      <c r="F250" s="37"/>
      <c r="G250" s="37"/>
      <c r="H250" s="37"/>
      <c r="I250" s="37"/>
      <c r="J250" s="38"/>
      <c r="K250" s="38"/>
      <c r="L250" s="37"/>
      <c r="M250" s="37"/>
      <c r="N250" s="37"/>
      <c r="O250" s="37"/>
      <c r="P250" s="37"/>
      <c r="Q250" s="37"/>
      <c r="R250" s="38"/>
      <c r="S250" s="37"/>
      <c r="T250" s="37"/>
      <c r="U250" s="37"/>
      <c r="V250" s="37"/>
      <c r="W250" s="37"/>
      <c r="X250" s="37"/>
      <c r="Y250" s="38"/>
      <c r="Z250" s="37"/>
      <c r="AA250" s="37"/>
      <c r="AB250" s="37"/>
      <c r="AC250" s="37"/>
      <c r="AD250" s="37"/>
      <c r="AE250" s="37"/>
      <c r="AF250" s="38"/>
      <c r="AG250" s="37"/>
      <c r="AH250" s="37"/>
      <c r="AI250" s="37"/>
      <c r="AJ250" s="37"/>
      <c r="AK250" s="37"/>
      <c r="AL250" s="37"/>
      <c r="AM250" s="38"/>
      <c r="AN250" s="37"/>
      <c r="AO250" s="37"/>
      <c r="AP250" s="37"/>
      <c r="AQ250" s="37"/>
      <c r="AR250" s="37"/>
      <c r="AS250" s="37"/>
      <c r="AT250" s="37"/>
      <c r="AU250" s="38"/>
      <c r="AV250" s="38"/>
      <c r="AW250" s="38"/>
      <c r="AX250" s="37"/>
      <c r="AY250" s="37"/>
      <c r="AZ250" s="37"/>
      <c r="BA250" s="37"/>
      <c r="BB250" s="37"/>
      <c r="BC250" s="37"/>
      <c r="BD250" s="38"/>
      <c r="BE250" s="37"/>
      <c r="BF250" s="37"/>
      <c r="BG250" s="37"/>
      <c r="BH250" s="37"/>
      <c r="BI250" s="37"/>
      <c r="BJ250" s="37"/>
      <c r="BK250" s="37"/>
      <c r="BL250" s="37"/>
    </row>
    <row r="251" ht="15.75" customHeight="1">
      <c r="A251" s="37"/>
      <c r="B251" s="37"/>
      <c r="C251" s="38"/>
      <c r="D251" s="37"/>
      <c r="E251" s="37"/>
      <c r="F251" s="37"/>
      <c r="G251" s="37"/>
      <c r="H251" s="37"/>
      <c r="I251" s="37"/>
      <c r="J251" s="38"/>
      <c r="K251" s="38"/>
      <c r="L251" s="37"/>
      <c r="M251" s="37"/>
      <c r="N251" s="37"/>
      <c r="O251" s="37"/>
      <c r="P251" s="37"/>
      <c r="Q251" s="37"/>
      <c r="R251" s="38"/>
      <c r="S251" s="37"/>
      <c r="T251" s="37"/>
      <c r="U251" s="37"/>
      <c r="V251" s="37"/>
      <c r="W251" s="37"/>
      <c r="X251" s="37"/>
      <c r="Y251" s="38"/>
      <c r="Z251" s="37"/>
      <c r="AA251" s="37"/>
      <c r="AB251" s="37"/>
      <c r="AC251" s="37"/>
      <c r="AD251" s="37"/>
      <c r="AE251" s="37"/>
      <c r="AF251" s="38"/>
      <c r="AG251" s="37"/>
      <c r="AH251" s="37"/>
      <c r="AI251" s="37"/>
      <c r="AJ251" s="37"/>
      <c r="AK251" s="37"/>
      <c r="AL251" s="37"/>
      <c r="AM251" s="38"/>
      <c r="AN251" s="37"/>
      <c r="AO251" s="37"/>
      <c r="AP251" s="37"/>
      <c r="AQ251" s="37"/>
      <c r="AR251" s="37"/>
      <c r="AS251" s="37"/>
      <c r="AT251" s="37"/>
      <c r="AU251" s="38"/>
      <c r="AV251" s="38"/>
      <c r="AW251" s="38"/>
      <c r="AX251" s="37"/>
      <c r="AY251" s="37"/>
      <c r="AZ251" s="37"/>
      <c r="BA251" s="37"/>
      <c r="BB251" s="37"/>
      <c r="BC251" s="37"/>
      <c r="BD251" s="38"/>
      <c r="BE251" s="37"/>
      <c r="BF251" s="37"/>
      <c r="BG251" s="37"/>
      <c r="BH251" s="37"/>
      <c r="BI251" s="37"/>
      <c r="BJ251" s="37"/>
      <c r="BK251" s="37"/>
      <c r="BL251" s="37"/>
    </row>
    <row r="252" ht="15.75" customHeight="1">
      <c r="A252" s="37"/>
      <c r="B252" s="37"/>
      <c r="C252" s="38"/>
      <c r="D252" s="37"/>
      <c r="E252" s="37"/>
      <c r="F252" s="37"/>
      <c r="G252" s="37"/>
      <c r="H252" s="37"/>
      <c r="I252" s="37"/>
      <c r="J252" s="38"/>
      <c r="K252" s="38"/>
      <c r="L252" s="37"/>
      <c r="M252" s="37"/>
      <c r="N252" s="37"/>
      <c r="O252" s="37"/>
      <c r="P252" s="37"/>
      <c r="Q252" s="37"/>
      <c r="R252" s="38"/>
      <c r="S252" s="37"/>
      <c r="T252" s="37"/>
      <c r="U252" s="37"/>
      <c r="V252" s="37"/>
      <c r="W252" s="37"/>
      <c r="X252" s="37"/>
      <c r="Y252" s="38"/>
      <c r="Z252" s="37"/>
      <c r="AA252" s="37"/>
      <c r="AB252" s="37"/>
      <c r="AC252" s="37"/>
      <c r="AD252" s="37"/>
      <c r="AE252" s="37"/>
      <c r="AF252" s="38"/>
      <c r="AG252" s="37"/>
      <c r="AH252" s="37"/>
      <c r="AI252" s="37"/>
      <c r="AJ252" s="37"/>
      <c r="AK252" s="37"/>
      <c r="AL252" s="37"/>
      <c r="AM252" s="38"/>
      <c r="AN252" s="37"/>
      <c r="AO252" s="37"/>
      <c r="AP252" s="37"/>
      <c r="AQ252" s="37"/>
      <c r="AR252" s="37"/>
      <c r="AS252" s="37"/>
      <c r="AT252" s="37"/>
      <c r="AU252" s="38"/>
      <c r="AV252" s="38"/>
      <c r="AW252" s="38"/>
      <c r="AX252" s="37"/>
      <c r="AY252" s="37"/>
      <c r="AZ252" s="37"/>
      <c r="BA252" s="37"/>
      <c r="BB252" s="37"/>
      <c r="BC252" s="37"/>
      <c r="BD252" s="38"/>
      <c r="BE252" s="37"/>
      <c r="BF252" s="37"/>
      <c r="BG252" s="37"/>
      <c r="BH252" s="37"/>
      <c r="BI252" s="37"/>
      <c r="BJ252" s="37"/>
      <c r="BK252" s="37"/>
      <c r="BL252" s="37"/>
    </row>
    <row r="253" ht="15.75" customHeight="1">
      <c r="A253" s="37"/>
      <c r="B253" s="37"/>
      <c r="C253" s="38"/>
      <c r="D253" s="37"/>
      <c r="E253" s="37"/>
      <c r="F253" s="37"/>
      <c r="G253" s="37"/>
      <c r="H253" s="37"/>
      <c r="I253" s="37"/>
      <c r="J253" s="38"/>
      <c r="K253" s="38"/>
      <c r="L253" s="37"/>
      <c r="M253" s="37"/>
      <c r="N253" s="37"/>
      <c r="O253" s="37"/>
      <c r="P253" s="37"/>
      <c r="Q253" s="37"/>
      <c r="R253" s="38"/>
      <c r="S253" s="37"/>
      <c r="T253" s="37"/>
      <c r="U253" s="37"/>
      <c r="V253" s="37"/>
      <c r="W253" s="37"/>
      <c r="X253" s="37"/>
      <c r="Y253" s="38"/>
      <c r="Z253" s="37"/>
      <c r="AA253" s="37"/>
      <c r="AB253" s="37"/>
      <c r="AC253" s="37"/>
      <c r="AD253" s="37"/>
      <c r="AE253" s="37"/>
      <c r="AF253" s="38"/>
      <c r="AG253" s="37"/>
      <c r="AH253" s="37"/>
      <c r="AI253" s="37"/>
      <c r="AJ253" s="37"/>
      <c r="AK253" s="37"/>
      <c r="AL253" s="37"/>
      <c r="AM253" s="38"/>
      <c r="AN253" s="37"/>
      <c r="AO253" s="37"/>
      <c r="AP253" s="37"/>
      <c r="AQ253" s="37"/>
      <c r="AR253" s="37"/>
      <c r="AS253" s="37"/>
      <c r="AT253" s="37"/>
      <c r="AU253" s="38"/>
      <c r="AV253" s="38"/>
      <c r="AW253" s="38"/>
      <c r="AX253" s="37"/>
      <c r="AY253" s="37"/>
      <c r="AZ253" s="37"/>
      <c r="BA253" s="37"/>
      <c r="BB253" s="37"/>
      <c r="BC253" s="37"/>
      <c r="BD253" s="38"/>
      <c r="BE253" s="37"/>
      <c r="BF253" s="37"/>
      <c r="BG253" s="37"/>
      <c r="BH253" s="37"/>
      <c r="BI253" s="37"/>
      <c r="BJ253" s="37"/>
      <c r="BK253" s="37"/>
      <c r="BL253" s="37"/>
    </row>
    <row r="254" ht="15.75" customHeight="1">
      <c r="A254" s="37"/>
      <c r="B254" s="37"/>
      <c r="C254" s="38"/>
      <c r="D254" s="37"/>
      <c r="E254" s="37"/>
      <c r="F254" s="37"/>
      <c r="G254" s="37"/>
      <c r="H254" s="37"/>
      <c r="I254" s="37"/>
      <c r="J254" s="38"/>
      <c r="K254" s="38"/>
      <c r="L254" s="37"/>
      <c r="M254" s="37"/>
      <c r="N254" s="37"/>
      <c r="O254" s="37"/>
      <c r="P254" s="37"/>
      <c r="Q254" s="37"/>
      <c r="R254" s="38"/>
      <c r="S254" s="37"/>
      <c r="T254" s="37"/>
      <c r="U254" s="37"/>
      <c r="V254" s="37"/>
      <c r="W254" s="37"/>
      <c r="X254" s="37"/>
      <c r="Y254" s="38"/>
      <c r="Z254" s="37"/>
      <c r="AA254" s="37"/>
      <c r="AB254" s="37"/>
      <c r="AC254" s="37"/>
      <c r="AD254" s="37"/>
      <c r="AE254" s="37"/>
      <c r="AF254" s="38"/>
      <c r="AG254" s="37"/>
      <c r="AH254" s="37"/>
      <c r="AI254" s="37"/>
      <c r="AJ254" s="37"/>
      <c r="AK254" s="37"/>
      <c r="AL254" s="37"/>
      <c r="AM254" s="38"/>
      <c r="AN254" s="37"/>
      <c r="AO254" s="37"/>
      <c r="AP254" s="37"/>
      <c r="AQ254" s="37"/>
      <c r="AR254" s="37"/>
      <c r="AS254" s="37"/>
      <c r="AT254" s="37"/>
      <c r="AU254" s="38"/>
      <c r="AV254" s="38"/>
      <c r="AW254" s="38"/>
      <c r="AX254" s="37"/>
      <c r="AY254" s="37"/>
      <c r="AZ254" s="37"/>
      <c r="BA254" s="37"/>
      <c r="BB254" s="37"/>
      <c r="BC254" s="37"/>
      <c r="BD254" s="38"/>
      <c r="BE254" s="37"/>
      <c r="BF254" s="37"/>
      <c r="BG254" s="37"/>
      <c r="BH254" s="37"/>
      <c r="BI254" s="37"/>
      <c r="BJ254" s="37"/>
      <c r="BK254" s="37"/>
      <c r="BL254" s="37"/>
    </row>
    <row r="255" ht="15.75" customHeight="1">
      <c r="A255" s="37"/>
      <c r="B255" s="37"/>
      <c r="C255" s="38"/>
      <c r="D255" s="37"/>
      <c r="E255" s="37"/>
      <c r="F255" s="37"/>
      <c r="G255" s="37"/>
      <c r="H255" s="37"/>
      <c r="I255" s="37"/>
      <c r="J255" s="38"/>
      <c r="K255" s="38"/>
      <c r="L255" s="37"/>
      <c r="M255" s="37"/>
      <c r="N255" s="37"/>
      <c r="O255" s="37"/>
      <c r="P255" s="37"/>
      <c r="Q255" s="37"/>
      <c r="R255" s="38"/>
      <c r="S255" s="37"/>
      <c r="T255" s="37"/>
      <c r="U255" s="37"/>
      <c r="V255" s="37"/>
      <c r="W255" s="37"/>
      <c r="X255" s="37"/>
      <c r="Y255" s="38"/>
      <c r="Z255" s="37"/>
      <c r="AA255" s="37"/>
      <c r="AB255" s="37"/>
      <c r="AC255" s="37"/>
      <c r="AD255" s="37"/>
      <c r="AE255" s="37"/>
      <c r="AF255" s="38"/>
      <c r="AG255" s="37"/>
      <c r="AH255" s="37"/>
      <c r="AI255" s="37"/>
      <c r="AJ255" s="37"/>
      <c r="AK255" s="37"/>
      <c r="AL255" s="37"/>
      <c r="AM255" s="38"/>
      <c r="AN255" s="37"/>
      <c r="AO255" s="37"/>
      <c r="AP255" s="37"/>
      <c r="AQ255" s="37"/>
      <c r="AR255" s="37"/>
      <c r="AS255" s="37"/>
      <c r="AT255" s="37"/>
      <c r="AU255" s="38"/>
      <c r="AV255" s="38"/>
      <c r="AW255" s="38"/>
      <c r="AX255" s="37"/>
      <c r="AY255" s="37"/>
      <c r="AZ255" s="37"/>
      <c r="BA255" s="37"/>
      <c r="BB255" s="37"/>
      <c r="BC255" s="37"/>
      <c r="BD255" s="38"/>
      <c r="BE255" s="37"/>
      <c r="BF255" s="37"/>
      <c r="BG255" s="37"/>
      <c r="BH255" s="37"/>
      <c r="BI255" s="37"/>
      <c r="BJ255" s="37"/>
      <c r="BK255" s="37"/>
      <c r="BL255" s="37"/>
    </row>
    <row r="256" ht="15.75" customHeight="1">
      <c r="A256" s="37"/>
      <c r="B256" s="37"/>
      <c r="C256" s="38"/>
      <c r="D256" s="37"/>
      <c r="E256" s="37"/>
      <c r="F256" s="37"/>
      <c r="G256" s="37"/>
      <c r="H256" s="37"/>
      <c r="I256" s="37"/>
      <c r="J256" s="38"/>
      <c r="K256" s="38"/>
      <c r="L256" s="37"/>
      <c r="M256" s="37"/>
      <c r="N256" s="37"/>
      <c r="O256" s="37"/>
      <c r="P256" s="37"/>
      <c r="Q256" s="37"/>
      <c r="R256" s="38"/>
      <c r="S256" s="37"/>
      <c r="T256" s="37"/>
      <c r="U256" s="37"/>
      <c r="V256" s="37"/>
      <c r="W256" s="37"/>
      <c r="X256" s="37"/>
      <c r="Y256" s="38"/>
      <c r="Z256" s="37"/>
      <c r="AA256" s="37"/>
      <c r="AB256" s="37"/>
      <c r="AC256" s="37"/>
      <c r="AD256" s="37"/>
      <c r="AE256" s="37"/>
      <c r="AF256" s="38"/>
      <c r="AG256" s="37"/>
      <c r="AH256" s="37"/>
      <c r="AI256" s="37"/>
      <c r="AJ256" s="37"/>
      <c r="AK256" s="37"/>
      <c r="AL256" s="37"/>
      <c r="AM256" s="38"/>
      <c r="AN256" s="37"/>
      <c r="AO256" s="37"/>
      <c r="AP256" s="37"/>
      <c r="AQ256" s="37"/>
      <c r="AR256" s="37"/>
      <c r="AS256" s="37"/>
      <c r="AT256" s="37"/>
      <c r="AU256" s="38"/>
      <c r="AV256" s="38"/>
      <c r="AW256" s="38"/>
      <c r="AX256" s="37"/>
      <c r="AY256" s="37"/>
      <c r="AZ256" s="37"/>
      <c r="BA256" s="37"/>
      <c r="BB256" s="37"/>
      <c r="BC256" s="37"/>
      <c r="BD256" s="38"/>
      <c r="BE256" s="37"/>
      <c r="BF256" s="37"/>
      <c r="BG256" s="37"/>
      <c r="BH256" s="37"/>
      <c r="BI256" s="37"/>
      <c r="BJ256" s="37"/>
      <c r="BK256" s="37"/>
      <c r="BL256" s="37"/>
    </row>
    <row r="257" ht="15.75" customHeight="1">
      <c r="A257" s="37"/>
      <c r="B257" s="37"/>
      <c r="C257" s="38"/>
      <c r="D257" s="37"/>
      <c r="E257" s="37"/>
      <c r="F257" s="37"/>
      <c r="G257" s="37"/>
      <c r="H257" s="37"/>
      <c r="I257" s="37"/>
      <c r="J257" s="38"/>
      <c r="K257" s="38"/>
      <c r="L257" s="37"/>
      <c r="M257" s="37"/>
      <c r="N257" s="37"/>
      <c r="O257" s="37"/>
      <c r="P257" s="37"/>
      <c r="Q257" s="37"/>
      <c r="R257" s="38"/>
      <c r="S257" s="37"/>
      <c r="T257" s="37"/>
      <c r="U257" s="37"/>
      <c r="V257" s="37"/>
      <c r="W257" s="37"/>
      <c r="X257" s="37"/>
      <c r="Y257" s="38"/>
      <c r="Z257" s="37"/>
      <c r="AA257" s="37"/>
      <c r="AB257" s="37"/>
      <c r="AC257" s="37"/>
      <c r="AD257" s="37"/>
      <c r="AE257" s="37"/>
      <c r="AF257" s="38"/>
      <c r="AG257" s="37"/>
      <c r="AH257" s="37"/>
      <c r="AI257" s="37"/>
      <c r="AJ257" s="37"/>
      <c r="AK257" s="37"/>
      <c r="AL257" s="37"/>
      <c r="AM257" s="38"/>
      <c r="AN257" s="37"/>
      <c r="AO257" s="37"/>
      <c r="AP257" s="37"/>
      <c r="AQ257" s="37"/>
      <c r="AR257" s="37"/>
      <c r="AS257" s="37"/>
      <c r="AT257" s="37"/>
      <c r="AU257" s="38"/>
      <c r="AV257" s="38"/>
      <c r="AW257" s="38"/>
      <c r="AX257" s="37"/>
      <c r="AY257" s="37"/>
      <c r="AZ257" s="37"/>
      <c r="BA257" s="37"/>
      <c r="BB257" s="37"/>
      <c r="BC257" s="37"/>
      <c r="BD257" s="38"/>
      <c r="BE257" s="37"/>
      <c r="BF257" s="37"/>
      <c r="BG257" s="37"/>
      <c r="BH257" s="37"/>
      <c r="BI257" s="37"/>
      <c r="BJ257" s="37"/>
      <c r="BK257" s="37"/>
      <c r="BL257" s="37"/>
    </row>
    <row r="258" ht="15.75" customHeight="1">
      <c r="A258" s="37"/>
      <c r="B258" s="37"/>
      <c r="C258" s="38"/>
      <c r="D258" s="37"/>
      <c r="E258" s="37"/>
      <c r="F258" s="37"/>
      <c r="G258" s="37"/>
      <c r="H258" s="37"/>
      <c r="I258" s="37"/>
      <c r="J258" s="38"/>
      <c r="K258" s="38"/>
      <c r="L258" s="37"/>
      <c r="M258" s="37"/>
      <c r="N258" s="37"/>
      <c r="O258" s="37"/>
      <c r="P258" s="37"/>
      <c r="Q258" s="37"/>
      <c r="R258" s="38"/>
      <c r="S258" s="37"/>
      <c r="T258" s="37"/>
      <c r="U258" s="37"/>
      <c r="V258" s="37"/>
      <c r="W258" s="37"/>
      <c r="X258" s="37"/>
      <c r="Y258" s="38"/>
      <c r="Z258" s="37"/>
      <c r="AA258" s="37"/>
      <c r="AB258" s="37"/>
      <c r="AC258" s="37"/>
      <c r="AD258" s="37"/>
      <c r="AE258" s="37"/>
      <c r="AF258" s="38"/>
      <c r="AG258" s="37"/>
      <c r="AH258" s="37"/>
      <c r="AI258" s="37"/>
      <c r="AJ258" s="37"/>
      <c r="AK258" s="37"/>
      <c r="AL258" s="37"/>
      <c r="AM258" s="38"/>
      <c r="AN258" s="37"/>
      <c r="AO258" s="37"/>
      <c r="AP258" s="37"/>
      <c r="AQ258" s="37"/>
      <c r="AR258" s="37"/>
      <c r="AS258" s="37"/>
      <c r="AT258" s="37"/>
      <c r="AU258" s="38"/>
      <c r="AV258" s="38"/>
      <c r="AW258" s="38"/>
      <c r="AX258" s="37"/>
      <c r="AY258" s="37"/>
      <c r="AZ258" s="37"/>
      <c r="BA258" s="37"/>
      <c r="BB258" s="37"/>
      <c r="BC258" s="37"/>
      <c r="BD258" s="38"/>
      <c r="BE258" s="37"/>
      <c r="BF258" s="37"/>
      <c r="BG258" s="37"/>
      <c r="BH258" s="37"/>
      <c r="BI258" s="37"/>
      <c r="BJ258" s="37"/>
      <c r="BK258" s="37"/>
      <c r="BL258" s="37"/>
    </row>
    <row r="259" ht="15.75" customHeight="1">
      <c r="A259" s="37"/>
      <c r="B259" s="37"/>
      <c r="C259" s="38"/>
      <c r="D259" s="37"/>
      <c r="E259" s="37"/>
      <c r="F259" s="37"/>
      <c r="G259" s="37"/>
      <c r="H259" s="37"/>
      <c r="I259" s="37"/>
      <c r="J259" s="38"/>
      <c r="K259" s="38"/>
      <c r="L259" s="37"/>
      <c r="M259" s="37"/>
      <c r="N259" s="37"/>
      <c r="O259" s="37"/>
      <c r="P259" s="37"/>
      <c r="Q259" s="37"/>
      <c r="R259" s="38"/>
      <c r="S259" s="37"/>
      <c r="T259" s="37"/>
      <c r="U259" s="37"/>
      <c r="V259" s="37"/>
      <c r="W259" s="37"/>
      <c r="X259" s="37"/>
      <c r="Y259" s="38"/>
      <c r="Z259" s="37"/>
      <c r="AA259" s="37"/>
      <c r="AB259" s="37"/>
      <c r="AC259" s="37"/>
      <c r="AD259" s="37"/>
      <c r="AE259" s="37"/>
      <c r="AF259" s="38"/>
      <c r="AG259" s="37"/>
      <c r="AH259" s="37"/>
      <c r="AI259" s="37"/>
      <c r="AJ259" s="37"/>
      <c r="AK259" s="37"/>
      <c r="AL259" s="37"/>
      <c r="AM259" s="38"/>
      <c r="AN259" s="37"/>
      <c r="AO259" s="37"/>
      <c r="AP259" s="37"/>
      <c r="AQ259" s="37"/>
      <c r="AR259" s="37"/>
      <c r="AS259" s="37"/>
      <c r="AT259" s="37"/>
      <c r="AU259" s="38"/>
      <c r="AV259" s="38"/>
      <c r="AW259" s="38"/>
      <c r="AX259" s="37"/>
      <c r="AY259" s="37"/>
      <c r="AZ259" s="37"/>
      <c r="BA259" s="37"/>
      <c r="BB259" s="37"/>
      <c r="BC259" s="37"/>
      <c r="BD259" s="38"/>
      <c r="BE259" s="37"/>
      <c r="BF259" s="37"/>
      <c r="BG259" s="37"/>
      <c r="BH259" s="37"/>
      <c r="BI259" s="37"/>
      <c r="BJ259" s="37"/>
      <c r="BK259" s="37"/>
      <c r="BL259" s="37"/>
    </row>
    <row r="260" ht="15.75" customHeight="1">
      <c r="A260" s="37"/>
      <c r="B260" s="37"/>
      <c r="C260" s="38"/>
      <c r="D260" s="37"/>
      <c r="E260" s="37"/>
      <c r="F260" s="37"/>
      <c r="G260" s="37"/>
      <c r="H260" s="37"/>
      <c r="I260" s="37"/>
      <c r="J260" s="38"/>
      <c r="K260" s="38"/>
      <c r="L260" s="37"/>
      <c r="M260" s="37"/>
      <c r="N260" s="37"/>
      <c r="O260" s="37"/>
      <c r="P260" s="37"/>
      <c r="Q260" s="37"/>
      <c r="R260" s="38"/>
      <c r="S260" s="37"/>
      <c r="T260" s="37"/>
      <c r="U260" s="37"/>
      <c r="V260" s="37"/>
      <c r="W260" s="37"/>
      <c r="X260" s="37"/>
      <c r="Y260" s="38"/>
      <c r="Z260" s="37"/>
      <c r="AA260" s="37"/>
      <c r="AB260" s="37"/>
      <c r="AC260" s="37"/>
      <c r="AD260" s="37"/>
      <c r="AE260" s="37"/>
      <c r="AF260" s="38"/>
      <c r="AG260" s="37"/>
      <c r="AH260" s="37"/>
      <c r="AI260" s="37"/>
      <c r="AJ260" s="37"/>
      <c r="AK260" s="37"/>
      <c r="AL260" s="37"/>
      <c r="AM260" s="38"/>
      <c r="AN260" s="37"/>
      <c r="AO260" s="37"/>
      <c r="AP260" s="37"/>
      <c r="AQ260" s="37"/>
      <c r="AR260" s="37"/>
      <c r="AS260" s="37"/>
      <c r="AT260" s="37"/>
      <c r="AU260" s="38"/>
      <c r="AV260" s="38"/>
      <c r="AW260" s="38"/>
      <c r="AX260" s="37"/>
      <c r="AY260" s="37"/>
      <c r="AZ260" s="37"/>
      <c r="BA260" s="37"/>
      <c r="BB260" s="37"/>
      <c r="BC260" s="37"/>
      <c r="BD260" s="38"/>
      <c r="BE260" s="37"/>
      <c r="BF260" s="37"/>
      <c r="BG260" s="37"/>
      <c r="BH260" s="37"/>
      <c r="BI260" s="37"/>
      <c r="BJ260" s="37"/>
      <c r="BK260" s="37"/>
      <c r="BL260" s="37"/>
    </row>
    <row r="261" ht="15.75" customHeight="1">
      <c r="A261" s="37"/>
      <c r="B261" s="37"/>
      <c r="C261" s="38"/>
      <c r="D261" s="37"/>
      <c r="E261" s="37"/>
      <c r="F261" s="37"/>
      <c r="G261" s="37"/>
      <c r="H261" s="37"/>
      <c r="I261" s="37"/>
      <c r="J261" s="38"/>
      <c r="K261" s="38"/>
      <c r="L261" s="37"/>
      <c r="M261" s="37"/>
      <c r="N261" s="37"/>
      <c r="O261" s="37"/>
      <c r="P261" s="37"/>
      <c r="Q261" s="37"/>
      <c r="R261" s="38"/>
      <c r="S261" s="37"/>
      <c r="T261" s="37"/>
      <c r="U261" s="37"/>
      <c r="V261" s="37"/>
      <c r="W261" s="37"/>
      <c r="X261" s="37"/>
      <c r="Y261" s="38"/>
      <c r="Z261" s="37"/>
      <c r="AA261" s="37"/>
      <c r="AB261" s="37"/>
      <c r="AC261" s="37"/>
      <c r="AD261" s="37"/>
      <c r="AE261" s="37"/>
      <c r="AF261" s="38"/>
      <c r="AG261" s="37"/>
      <c r="AH261" s="37"/>
      <c r="AI261" s="37"/>
      <c r="AJ261" s="37"/>
      <c r="AK261" s="37"/>
      <c r="AL261" s="37"/>
      <c r="AM261" s="38"/>
      <c r="AN261" s="37"/>
      <c r="AO261" s="37"/>
      <c r="AP261" s="37"/>
      <c r="AQ261" s="37"/>
      <c r="AR261" s="37"/>
      <c r="AS261" s="37"/>
      <c r="AT261" s="37"/>
      <c r="AU261" s="38"/>
      <c r="AV261" s="38"/>
      <c r="AW261" s="38"/>
      <c r="AX261" s="37"/>
      <c r="AY261" s="37"/>
      <c r="AZ261" s="37"/>
      <c r="BA261" s="37"/>
      <c r="BB261" s="37"/>
      <c r="BC261" s="37"/>
      <c r="BD261" s="38"/>
      <c r="BE261" s="37"/>
      <c r="BF261" s="37"/>
      <c r="BG261" s="37"/>
      <c r="BH261" s="37"/>
      <c r="BI261" s="37"/>
      <c r="BJ261" s="37"/>
      <c r="BK261" s="37"/>
      <c r="BL261" s="37"/>
    </row>
    <row r="262" ht="15.75" customHeight="1">
      <c r="A262" s="37"/>
      <c r="B262" s="37"/>
      <c r="C262" s="38"/>
      <c r="D262" s="37"/>
      <c r="E262" s="37"/>
      <c r="F262" s="37"/>
      <c r="G262" s="37"/>
      <c r="H262" s="37"/>
      <c r="I262" s="37"/>
      <c r="J262" s="38"/>
      <c r="K262" s="38"/>
      <c r="L262" s="37"/>
      <c r="M262" s="37"/>
      <c r="N262" s="37"/>
      <c r="O262" s="37"/>
      <c r="P262" s="37"/>
      <c r="Q262" s="37"/>
      <c r="R262" s="38"/>
      <c r="S262" s="37"/>
      <c r="T262" s="37"/>
      <c r="U262" s="37"/>
      <c r="V262" s="37"/>
      <c r="W262" s="37"/>
      <c r="X262" s="37"/>
      <c r="Y262" s="38"/>
      <c r="Z262" s="37"/>
      <c r="AA262" s="37"/>
      <c r="AB262" s="37"/>
      <c r="AC262" s="37"/>
      <c r="AD262" s="37"/>
      <c r="AE262" s="37"/>
      <c r="AF262" s="38"/>
      <c r="AG262" s="37"/>
      <c r="AH262" s="37"/>
      <c r="AI262" s="37"/>
      <c r="AJ262" s="37"/>
      <c r="AK262" s="37"/>
      <c r="AL262" s="37"/>
      <c r="AM262" s="38"/>
      <c r="AN262" s="37"/>
      <c r="AO262" s="37"/>
      <c r="AP262" s="37"/>
      <c r="AQ262" s="37"/>
      <c r="AR262" s="37"/>
      <c r="AS262" s="37"/>
      <c r="AT262" s="37"/>
      <c r="AU262" s="38"/>
      <c r="AV262" s="38"/>
      <c r="AW262" s="38"/>
      <c r="AX262" s="37"/>
      <c r="AY262" s="37"/>
      <c r="AZ262" s="37"/>
      <c r="BA262" s="37"/>
      <c r="BB262" s="37"/>
      <c r="BC262" s="37"/>
      <c r="BD262" s="38"/>
      <c r="BE262" s="37"/>
      <c r="BF262" s="37"/>
      <c r="BG262" s="37"/>
      <c r="BH262" s="37"/>
      <c r="BI262" s="37"/>
      <c r="BJ262" s="37"/>
      <c r="BK262" s="37"/>
      <c r="BL262" s="37"/>
    </row>
    <row r="263" ht="15.75" customHeight="1">
      <c r="A263" s="37"/>
      <c r="B263" s="37"/>
      <c r="C263" s="38"/>
      <c r="D263" s="37"/>
      <c r="E263" s="37"/>
      <c r="F263" s="37"/>
      <c r="G263" s="37"/>
      <c r="H263" s="37"/>
      <c r="I263" s="37"/>
      <c r="J263" s="38"/>
      <c r="K263" s="38"/>
      <c r="L263" s="37"/>
      <c r="M263" s="37"/>
      <c r="N263" s="37"/>
      <c r="O263" s="37"/>
      <c r="P263" s="37"/>
      <c r="Q263" s="37"/>
      <c r="R263" s="38"/>
      <c r="S263" s="37"/>
      <c r="T263" s="37"/>
      <c r="U263" s="37"/>
      <c r="V263" s="37"/>
      <c r="W263" s="37"/>
      <c r="X263" s="37"/>
      <c r="Y263" s="38"/>
      <c r="Z263" s="37"/>
      <c r="AA263" s="37"/>
      <c r="AB263" s="37"/>
      <c r="AC263" s="37"/>
      <c r="AD263" s="37"/>
      <c r="AE263" s="37"/>
      <c r="AF263" s="38"/>
      <c r="AG263" s="37"/>
      <c r="AH263" s="37"/>
      <c r="AI263" s="37"/>
      <c r="AJ263" s="37"/>
      <c r="AK263" s="37"/>
      <c r="AL263" s="37"/>
      <c r="AM263" s="38"/>
      <c r="AN263" s="37"/>
      <c r="AO263" s="37"/>
      <c r="AP263" s="37"/>
      <c r="AQ263" s="37"/>
      <c r="AR263" s="37"/>
      <c r="AS263" s="37"/>
      <c r="AT263" s="37"/>
      <c r="AU263" s="38"/>
      <c r="AV263" s="38"/>
      <c r="AW263" s="38"/>
      <c r="AX263" s="37"/>
      <c r="AY263" s="37"/>
      <c r="AZ263" s="37"/>
      <c r="BA263" s="37"/>
      <c r="BB263" s="37"/>
      <c r="BC263" s="37"/>
      <c r="BD263" s="38"/>
      <c r="BE263" s="37"/>
      <c r="BF263" s="37"/>
      <c r="BG263" s="37"/>
      <c r="BH263" s="37"/>
      <c r="BI263" s="37"/>
      <c r="BJ263" s="37"/>
      <c r="BK263" s="37"/>
      <c r="BL263" s="37"/>
    </row>
    <row r="264" ht="15.75" customHeight="1">
      <c r="A264" s="37"/>
      <c r="B264" s="37"/>
      <c r="C264" s="38"/>
      <c r="D264" s="37"/>
      <c r="E264" s="37"/>
      <c r="F264" s="37"/>
      <c r="G264" s="37"/>
      <c r="H264" s="37"/>
      <c r="I264" s="37"/>
      <c r="J264" s="38"/>
      <c r="K264" s="38"/>
      <c r="L264" s="37"/>
      <c r="M264" s="37"/>
      <c r="N264" s="37"/>
      <c r="O264" s="37"/>
      <c r="P264" s="37"/>
      <c r="Q264" s="37"/>
      <c r="R264" s="38"/>
      <c r="S264" s="37"/>
      <c r="T264" s="37"/>
      <c r="U264" s="37"/>
      <c r="V264" s="37"/>
      <c r="W264" s="37"/>
      <c r="X264" s="37"/>
      <c r="Y264" s="38"/>
      <c r="Z264" s="37"/>
      <c r="AA264" s="37"/>
      <c r="AB264" s="37"/>
      <c r="AC264" s="37"/>
      <c r="AD264" s="37"/>
      <c r="AE264" s="37"/>
      <c r="AF264" s="38"/>
      <c r="AG264" s="37"/>
      <c r="AH264" s="37"/>
      <c r="AI264" s="37"/>
      <c r="AJ264" s="37"/>
      <c r="AK264" s="37"/>
      <c r="AL264" s="37"/>
      <c r="AM264" s="38"/>
      <c r="AN264" s="37"/>
      <c r="AO264" s="37"/>
      <c r="AP264" s="37"/>
      <c r="AQ264" s="37"/>
      <c r="AR264" s="37"/>
      <c r="AS264" s="37"/>
      <c r="AT264" s="37"/>
      <c r="AU264" s="38"/>
      <c r="AV264" s="38"/>
      <c r="AW264" s="38"/>
      <c r="AX264" s="37"/>
      <c r="AY264" s="37"/>
      <c r="AZ264" s="37"/>
      <c r="BA264" s="37"/>
      <c r="BB264" s="37"/>
      <c r="BC264" s="37"/>
      <c r="BD264" s="38"/>
      <c r="BE264" s="37"/>
      <c r="BF264" s="37"/>
      <c r="BG264" s="37"/>
      <c r="BH264" s="37"/>
      <c r="BI264" s="37"/>
      <c r="BJ264" s="37"/>
      <c r="BK264" s="37"/>
      <c r="BL264" s="37"/>
    </row>
    <row r="265" ht="15.75" customHeight="1">
      <c r="A265" s="37"/>
      <c r="B265" s="37"/>
      <c r="C265" s="38"/>
      <c r="D265" s="37"/>
      <c r="E265" s="37"/>
      <c r="F265" s="37"/>
      <c r="G265" s="37"/>
      <c r="H265" s="37"/>
      <c r="I265" s="37"/>
      <c r="J265" s="38"/>
      <c r="K265" s="38"/>
      <c r="L265" s="37"/>
      <c r="M265" s="37"/>
      <c r="N265" s="37"/>
      <c r="O265" s="37"/>
      <c r="P265" s="37"/>
      <c r="Q265" s="37"/>
      <c r="R265" s="38"/>
      <c r="S265" s="37"/>
      <c r="T265" s="37"/>
      <c r="U265" s="37"/>
      <c r="V265" s="37"/>
      <c r="W265" s="37"/>
      <c r="X265" s="37"/>
      <c r="Y265" s="38"/>
      <c r="Z265" s="37"/>
      <c r="AA265" s="37"/>
      <c r="AB265" s="37"/>
      <c r="AC265" s="37"/>
      <c r="AD265" s="37"/>
      <c r="AE265" s="37"/>
      <c r="AF265" s="38"/>
      <c r="AG265" s="37"/>
      <c r="AH265" s="37"/>
      <c r="AI265" s="37"/>
      <c r="AJ265" s="37"/>
      <c r="AK265" s="37"/>
      <c r="AL265" s="37"/>
      <c r="AM265" s="38"/>
      <c r="AN265" s="37"/>
      <c r="AO265" s="37"/>
      <c r="AP265" s="37"/>
      <c r="AQ265" s="37"/>
      <c r="AR265" s="37"/>
      <c r="AS265" s="37"/>
      <c r="AT265" s="37"/>
      <c r="AU265" s="38"/>
      <c r="AV265" s="38"/>
      <c r="AW265" s="38"/>
      <c r="AX265" s="37"/>
      <c r="AY265" s="37"/>
      <c r="AZ265" s="37"/>
      <c r="BA265" s="37"/>
      <c r="BB265" s="37"/>
      <c r="BC265" s="37"/>
      <c r="BD265" s="38"/>
      <c r="BE265" s="37"/>
      <c r="BF265" s="37"/>
      <c r="BG265" s="37"/>
      <c r="BH265" s="37"/>
      <c r="BI265" s="37"/>
      <c r="BJ265" s="37"/>
      <c r="BK265" s="37"/>
      <c r="BL265" s="37"/>
    </row>
    <row r="266" ht="15.75" customHeight="1">
      <c r="A266" s="37"/>
      <c r="B266" s="37"/>
      <c r="C266" s="38"/>
      <c r="D266" s="37"/>
      <c r="E266" s="37"/>
      <c r="F266" s="37"/>
      <c r="G266" s="37"/>
      <c r="H266" s="37"/>
      <c r="I266" s="37"/>
      <c r="J266" s="38"/>
      <c r="K266" s="38"/>
      <c r="L266" s="37"/>
      <c r="M266" s="37"/>
      <c r="N266" s="37"/>
      <c r="O266" s="37"/>
      <c r="P266" s="37"/>
      <c r="Q266" s="37"/>
      <c r="R266" s="38"/>
      <c r="S266" s="37"/>
      <c r="T266" s="37"/>
      <c r="U266" s="37"/>
      <c r="V266" s="37"/>
      <c r="W266" s="37"/>
      <c r="X266" s="37"/>
      <c r="Y266" s="38"/>
      <c r="Z266" s="37"/>
      <c r="AA266" s="37"/>
      <c r="AB266" s="37"/>
      <c r="AC266" s="37"/>
      <c r="AD266" s="37"/>
      <c r="AE266" s="37"/>
      <c r="AF266" s="38"/>
      <c r="AG266" s="37"/>
      <c r="AH266" s="37"/>
      <c r="AI266" s="37"/>
      <c r="AJ266" s="37"/>
      <c r="AK266" s="37"/>
      <c r="AL266" s="37"/>
      <c r="AM266" s="38"/>
      <c r="AN266" s="37"/>
      <c r="AO266" s="37"/>
      <c r="AP266" s="37"/>
      <c r="AQ266" s="37"/>
      <c r="AR266" s="37"/>
      <c r="AS266" s="37"/>
      <c r="AT266" s="37"/>
      <c r="AU266" s="38"/>
      <c r="AV266" s="38"/>
      <c r="AW266" s="38"/>
      <c r="AX266" s="37"/>
      <c r="AY266" s="37"/>
      <c r="AZ266" s="37"/>
      <c r="BA266" s="37"/>
      <c r="BB266" s="37"/>
      <c r="BC266" s="37"/>
      <c r="BD266" s="38"/>
      <c r="BE266" s="37"/>
      <c r="BF266" s="37"/>
      <c r="BG266" s="37"/>
      <c r="BH266" s="37"/>
      <c r="BI266" s="37"/>
      <c r="BJ266" s="37"/>
      <c r="BK266" s="37"/>
      <c r="BL266" s="37"/>
    </row>
    <row r="267" ht="15.75" customHeight="1">
      <c r="A267" s="37"/>
      <c r="B267" s="37"/>
      <c r="C267" s="38"/>
      <c r="D267" s="37"/>
      <c r="E267" s="37"/>
      <c r="F267" s="37"/>
      <c r="G267" s="37"/>
      <c r="H267" s="37"/>
      <c r="I267" s="37"/>
      <c r="J267" s="38"/>
      <c r="K267" s="38"/>
      <c r="L267" s="37"/>
      <c r="M267" s="37"/>
      <c r="N267" s="37"/>
      <c r="O267" s="37"/>
      <c r="P267" s="37"/>
      <c r="Q267" s="37"/>
      <c r="R267" s="38"/>
      <c r="S267" s="37"/>
      <c r="T267" s="37"/>
      <c r="U267" s="37"/>
      <c r="V267" s="37"/>
      <c r="W267" s="37"/>
      <c r="X267" s="37"/>
      <c r="Y267" s="38"/>
      <c r="Z267" s="37"/>
      <c r="AA267" s="37"/>
      <c r="AB267" s="37"/>
      <c r="AC267" s="37"/>
      <c r="AD267" s="37"/>
      <c r="AE267" s="37"/>
      <c r="AF267" s="38"/>
      <c r="AG267" s="37"/>
      <c r="AH267" s="37"/>
      <c r="AI267" s="37"/>
      <c r="AJ267" s="37"/>
      <c r="AK267" s="37"/>
      <c r="AL267" s="37"/>
      <c r="AM267" s="38"/>
      <c r="AN267" s="37"/>
      <c r="AO267" s="37"/>
      <c r="AP267" s="37"/>
      <c r="AQ267" s="37"/>
      <c r="AR267" s="37"/>
      <c r="AS267" s="37"/>
      <c r="AT267" s="37"/>
      <c r="AU267" s="38"/>
      <c r="AV267" s="38"/>
      <c r="AW267" s="38"/>
      <c r="AX267" s="37"/>
      <c r="AY267" s="37"/>
      <c r="AZ267" s="37"/>
      <c r="BA267" s="37"/>
      <c r="BB267" s="37"/>
      <c r="BC267" s="37"/>
      <c r="BD267" s="38"/>
      <c r="BE267" s="37"/>
      <c r="BF267" s="37"/>
      <c r="BG267" s="37"/>
      <c r="BH267" s="37"/>
      <c r="BI267" s="37"/>
      <c r="BJ267" s="37"/>
      <c r="BK267" s="37"/>
      <c r="BL267" s="37"/>
    </row>
    <row r="268" ht="15.75" customHeight="1">
      <c r="A268" s="37"/>
      <c r="B268" s="37"/>
      <c r="C268" s="38"/>
      <c r="D268" s="37"/>
      <c r="E268" s="37"/>
      <c r="F268" s="37"/>
      <c r="G268" s="37"/>
      <c r="H268" s="37"/>
      <c r="I268" s="37"/>
      <c r="J268" s="38"/>
      <c r="K268" s="38"/>
      <c r="L268" s="37"/>
      <c r="M268" s="37"/>
      <c r="N268" s="37"/>
      <c r="O268" s="37"/>
      <c r="P268" s="37"/>
      <c r="Q268" s="37"/>
      <c r="R268" s="38"/>
      <c r="S268" s="37"/>
      <c r="T268" s="37"/>
      <c r="U268" s="37"/>
      <c r="V268" s="37"/>
      <c r="W268" s="37"/>
      <c r="X268" s="37"/>
      <c r="Y268" s="38"/>
      <c r="Z268" s="37"/>
      <c r="AA268" s="37"/>
      <c r="AB268" s="37"/>
      <c r="AC268" s="37"/>
      <c r="AD268" s="37"/>
      <c r="AE268" s="37"/>
      <c r="AF268" s="38"/>
      <c r="AG268" s="37"/>
      <c r="AH268" s="37"/>
      <c r="AI268" s="37"/>
      <c r="AJ268" s="37"/>
      <c r="AK268" s="37"/>
      <c r="AL268" s="37"/>
      <c r="AM268" s="38"/>
      <c r="AN268" s="37"/>
      <c r="AO268" s="37"/>
      <c r="AP268" s="37"/>
      <c r="AQ268" s="37"/>
      <c r="AR268" s="37"/>
      <c r="AS268" s="37"/>
      <c r="AT268" s="37"/>
      <c r="AU268" s="38"/>
      <c r="AV268" s="38"/>
      <c r="AW268" s="38"/>
      <c r="AX268" s="37"/>
      <c r="AY268" s="37"/>
      <c r="AZ268" s="37"/>
      <c r="BA268" s="37"/>
      <c r="BB268" s="37"/>
      <c r="BC268" s="37"/>
      <c r="BD268" s="38"/>
      <c r="BE268" s="37"/>
      <c r="BF268" s="37"/>
      <c r="BG268" s="37"/>
      <c r="BH268" s="37"/>
      <c r="BI268" s="37"/>
      <c r="BJ268" s="37"/>
      <c r="BK268" s="37"/>
      <c r="BL268" s="37"/>
    </row>
    <row r="269" ht="15.75" customHeight="1">
      <c r="A269" s="37"/>
      <c r="B269" s="37"/>
      <c r="C269" s="38"/>
      <c r="D269" s="37"/>
      <c r="E269" s="37"/>
      <c r="F269" s="37"/>
      <c r="G269" s="37"/>
      <c r="H269" s="37"/>
      <c r="I269" s="37"/>
      <c r="J269" s="38"/>
      <c r="K269" s="38"/>
      <c r="L269" s="37"/>
      <c r="M269" s="37"/>
      <c r="N269" s="37"/>
      <c r="O269" s="37"/>
      <c r="P269" s="37"/>
      <c r="Q269" s="37"/>
      <c r="R269" s="38"/>
      <c r="S269" s="37"/>
      <c r="T269" s="37"/>
      <c r="U269" s="37"/>
      <c r="V269" s="37"/>
      <c r="W269" s="37"/>
      <c r="X269" s="37"/>
      <c r="Y269" s="38"/>
      <c r="Z269" s="37"/>
      <c r="AA269" s="37"/>
      <c r="AB269" s="37"/>
      <c r="AC269" s="37"/>
      <c r="AD269" s="37"/>
      <c r="AE269" s="37"/>
      <c r="AF269" s="38"/>
      <c r="AG269" s="37"/>
      <c r="AH269" s="37"/>
      <c r="AI269" s="37"/>
      <c r="AJ269" s="37"/>
      <c r="AK269" s="37"/>
      <c r="AL269" s="37"/>
      <c r="AM269" s="38"/>
      <c r="AN269" s="37"/>
      <c r="AO269" s="37"/>
      <c r="AP269" s="37"/>
      <c r="AQ269" s="37"/>
      <c r="AR269" s="37"/>
      <c r="AS269" s="37"/>
      <c r="AT269" s="37"/>
      <c r="AU269" s="38"/>
      <c r="AV269" s="38"/>
      <c r="AW269" s="38"/>
      <c r="AX269" s="37"/>
      <c r="AY269" s="37"/>
      <c r="AZ269" s="37"/>
      <c r="BA269" s="37"/>
      <c r="BB269" s="37"/>
      <c r="BC269" s="37"/>
      <c r="BD269" s="38"/>
      <c r="BE269" s="37"/>
      <c r="BF269" s="37"/>
      <c r="BG269" s="37"/>
      <c r="BH269" s="37"/>
      <c r="BI269" s="37"/>
      <c r="BJ269" s="37"/>
      <c r="BK269" s="37"/>
      <c r="BL269" s="37"/>
    </row>
    <row r="270" ht="15.75" customHeight="1">
      <c r="A270" s="37"/>
      <c r="B270" s="37"/>
      <c r="C270" s="38"/>
      <c r="D270" s="37"/>
      <c r="E270" s="37"/>
      <c r="F270" s="37"/>
      <c r="G270" s="37"/>
      <c r="H270" s="37"/>
      <c r="I270" s="37"/>
      <c r="J270" s="38"/>
      <c r="K270" s="38"/>
      <c r="L270" s="37"/>
      <c r="M270" s="37"/>
      <c r="N270" s="37"/>
      <c r="O270" s="37"/>
      <c r="P270" s="37"/>
      <c r="Q270" s="37"/>
      <c r="R270" s="38"/>
      <c r="S270" s="37"/>
      <c r="T270" s="37"/>
      <c r="U270" s="37"/>
      <c r="V270" s="37"/>
      <c r="W270" s="37"/>
      <c r="X270" s="37"/>
      <c r="Y270" s="38"/>
      <c r="Z270" s="37"/>
      <c r="AA270" s="37"/>
      <c r="AB270" s="37"/>
      <c r="AC270" s="37"/>
      <c r="AD270" s="37"/>
      <c r="AE270" s="37"/>
      <c r="AF270" s="38"/>
      <c r="AG270" s="37"/>
      <c r="AH270" s="37"/>
      <c r="AI270" s="37"/>
      <c r="AJ270" s="37"/>
      <c r="AK270" s="37"/>
      <c r="AL270" s="37"/>
      <c r="AM270" s="38"/>
      <c r="AN270" s="37"/>
      <c r="AO270" s="37"/>
      <c r="AP270" s="37"/>
      <c r="AQ270" s="37"/>
      <c r="AR270" s="37"/>
      <c r="AS270" s="37"/>
      <c r="AT270" s="37"/>
      <c r="AU270" s="38"/>
      <c r="AV270" s="38"/>
      <c r="AW270" s="38"/>
      <c r="AX270" s="37"/>
      <c r="AY270" s="37"/>
      <c r="AZ270" s="37"/>
      <c r="BA270" s="37"/>
      <c r="BB270" s="37"/>
      <c r="BC270" s="37"/>
      <c r="BD270" s="38"/>
      <c r="BE270" s="37"/>
      <c r="BF270" s="37"/>
      <c r="BG270" s="37"/>
      <c r="BH270" s="37"/>
      <c r="BI270" s="37"/>
      <c r="BJ270" s="37"/>
      <c r="BK270" s="37"/>
      <c r="BL270" s="37"/>
    </row>
    <row r="271" ht="15.75" customHeight="1">
      <c r="A271" s="37"/>
      <c r="B271" s="37"/>
      <c r="C271" s="38"/>
      <c r="D271" s="37"/>
      <c r="E271" s="37"/>
      <c r="F271" s="37"/>
      <c r="G271" s="37"/>
      <c r="H271" s="37"/>
      <c r="I271" s="37"/>
      <c r="J271" s="38"/>
      <c r="K271" s="38"/>
      <c r="L271" s="37"/>
      <c r="M271" s="37"/>
      <c r="N271" s="37"/>
      <c r="O271" s="37"/>
      <c r="P271" s="37"/>
      <c r="Q271" s="37"/>
      <c r="R271" s="38"/>
      <c r="S271" s="37"/>
      <c r="T271" s="37"/>
      <c r="U271" s="37"/>
      <c r="V271" s="37"/>
      <c r="W271" s="37"/>
      <c r="X271" s="37"/>
      <c r="Y271" s="38"/>
      <c r="Z271" s="37"/>
      <c r="AA271" s="37"/>
      <c r="AB271" s="37"/>
      <c r="AC271" s="37"/>
      <c r="AD271" s="37"/>
      <c r="AE271" s="37"/>
      <c r="AF271" s="38"/>
      <c r="AG271" s="37"/>
      <c r="AH271" s="37"/>
      <c r="AI271" s="37"/>
      <c r="AJ271" s="37"/>
      <c r="AK271" s="37"/>
      <c r="AL271" s="37"/>
      <c r="AM271" s="38"/>
      <c r="AN271" s="37"/>
      <c r="AO271" s="37"/>
      <c r="AP271" s="37"/>
      <c r="AQ271" s="37"/>
      <c r="AR271" s="37"/>
      <c r="AS271" s="37"/>
      <c r="AT271" s="37"/>
      <c r="AU271" s="38"/>
      <c r="AV271" s="38"/>
      <c r="AW271" s="38"/>
      <c r="AX271" s="37"/>
      <c r="AY271" s="37"/>
      <c r="AZ271" s="37"/>
      <c r="BA271" s="37"/>
      <c r="BB271" s="37"/>
      <c r="BC271" s="37"/>
      <c r="BD271" s="38"/>
      <c r="BE271" s="37"/>
      <c r="BF271" s="37"/>
      <c r="BG271" s="37"/>
      <c r="BH271" s="37"/>
      <c r="BI271" s="37"/>
      <c r="BJ271" s="37"/>
      <c r="BK271" s="37"/>
      <c r="BL271" s="37"/>
    </row>
    <row r="272" ht="15.75" customHeight="1">
      <c r="A272" s="37"/>
      <c r="B272" s="37"/>
      <c r="C272" s="38"/>
      <c r="D272" s="37"/>
      <c r="E272" s="37"/>
      <c r="F272" s="37"/>
      <c r="G272" s="37"/>
      <c r="H272" s="37"/>
      <c r="I272" s="37"/>
      <c r="J272" s="38"/>
      <c r="K272" s="38"/>
      <c r="L272" s="37"/>
      <c r="M272" s="37"/>
      <c r="N272" s="37"/>
      <c r="O272" s="37"/>
      <c r="P272" s="37"/>
      <c r="Q272" s="37"/>
      <c r="R272" s="38"/>
      <c r="S272" s="37"/>
      <c r="T272" s="37"/>
      <c r="U272" s="37"/>
      <c r="V272" s="37"/>
      <c r="W272" s="37"/>
      <c r="X272" s="37"/>
      <c r="Y272" s="38"/>
      <c r="Z272" s="37"/>
      <c r="AA272" s="37"/>
      <c r="AB272" s="37"/>
      <c r="AC272" s="37"/>
      <c r="AD272" s="37"/>
      <c r="AE272" s="37"/>
      <c r="AF272" s="38"/>
      <c r="AG272" s="37"/>
      <c r="AH272" s="37"/>
      <c r="AI272" s="37"/>
      <c r="AJ272" s="37"/>
      <c r="AK272" s="37"/>
      <c r="AL272" s="37"/>
      <c r="AM272" s="38"/>
      <c r="AN272" s="37"/>
      <c r="AO272" s="37"/>
      <c r="AP272" s="37"/>
      <c r="AQ272" s="37"/>
      <c r="AR272" s="37"/>
      <c r="AS272" s="37"/>
      <c r="AT272" s="37"/>
      <c r="AU272" s="38"/>
      <c r="AV272" s="38"/>
      <c r="AW272" s="38"/>
      <c r="AX272" s="37"/>
      <c r="AY272" s="37"/>
      <c r="AZ272" s="37"/>
      <c r="BA272" s="37"/>
      <c r="BB272" s="37"/>
      <c r="BC272" s="37"/>
      <c r="BD272" s="38"/>
      <c r="BE272" s="37"/>
      <c r="BF272" s="37"/>
      <c r="BG272" s="37"/>
      <c r="BH272" s="37"/>
      <c r="BI272" s="37"/>
      <c r="BJ272" s="37"/>
      <c r="BK272" s="37"/>
      <c r="BL272" s="37"/>
    </row>
    <row r="273" ht="15.75" customHeight="1">
      <c r="A273" s="37"/>
      <c r="B273" s="37"/>
      <c r="C273" s="38"/>
      <c r="D273" s="37"/>
      <c r="E273" s="37"/>
      <c r="F273" s="37"/>
      <c r="G273" s="37"/>
      <c r="H273" s="37"/>
      <c r="I273" s="37"/>
      <c r="J273" s="38"/>
      <c r="K273" s="38"/>
      <c r="L273" s="37"/>
      <c r="M273" s="37"/>
      <c r="N273" s="37"/>
      <c r="O273" s="37"/>
      <c r="P273" s="37"/>
      <c r="Q273" s="37"/>
      <c r="R273" s="38"/>
      <c r="S273" s="37"/>
      <c r="T273" s="37"/>
      <c r="U273" s="37"/>
      <c r="V273" s="37"/>
      <c r="W273" s="37"/>
      <c r="X273" s="37"/>
      <c r="Y273" s="38"/>
      <c r="Z273" s="37"/>
      <c r="AA273" s="37"/>
      <c r="AB273" s="37"/>
      <c r="AC273" s="37"/>
      <c r="AD273" s="37"/>
      <c r="AE273" s="37"/>
      <c r="AF273" s="38"/>
      <c r="AG273" s="37"/>
      <c r="AH273" s="37"/>
      <c r="AI273" s="37"/>
      <c r="AJ273" s="37"/>
      <c r="AK273" s="37"/>
      <c r="AL273" s="37"/>
      <c r="AM273" s="38"/>
      <c r="AN273" s="37"/>
      <c r="AO273" s="37"/>
      <c r="AP273" s="37"/>
      <c r="AQ273" s="37"/>
      <c r="AR273" s="37"/>
      <c r="AS273" s="37"/>
      <c r="AT273" s="37"/>
      <c r="AU273" s="38"/>
      <c r="AV273" s="38"/>
      <c r="AW273" s="38"/>
      <c r="AX273" s="37"/>
      <c r="AY273" s="37"/>
      <c r="AZ273" s="37"/>
      <c r="BA273" s="37"/>
      <c r="BB273" s="37"/>
      <c r="BC273" s="37"/>
      <c r="BD273" s="38"/>
      <c r="BE273" s="37"/>
      <c r="BF273" s="37"/>
      <c r="BG273" s="37"/>
      <c r="BH273" s="37"/>
      <c r="BI273" s="37"/>
      <c r="BJ273" s="37"/>
      <c r="BK273" s="37"/>
      <c r="BL273" s="37"/>
    </row>
    <row r="274" ht="15.75" customHeight="1">
      <c r="A274" s="37"/>
      <c r="B274" s="37"/>
      <c r="C274" s="38"/>
      <c r="D274" s="37"/>
      <c r="E274" s="37"/>
      <c r="F274" s="37"/>
      <c r="G274" s="37"/>
      <c r="H274" s="37"/>
      <c r="I274" s="37"/>
      <c r="J274" s="38"/>
      <c r="K274" s="38"/>
      <c r="L274" s="37"/>
      <c r="M274" s="37"/>
      <c r="N274" s="37"/>
      <c r="O274" s="37"/>
      <c r="P274" s="37"/>
      <c r="Q274" s="37"/>
      <c r="R274" s="38"/>
      <c r="S274" s="37"/>
      <c r="T274" s="37"/>
      <c r="U274" s="37"/>
      <c r="V274" s="37"/>
      <c r="W274" s="37"/>
      <c r="X274" s="37"/>
      <c r="Y274" s="38"/>
      <c r="Z274" s="37"/>
      <c r="AA274" s="37"/>
      <c r="AB274" s="37"/>
      <c r="AC274" s="37"/>
      <c r="AD274" s="37"/>
      <c r="AE274" s="37"/>
      <c r="AF274" s="38"/>
      <c r="AG274" s="37"/>
      <c r="AH274" s="37"/>
      <c r="AI274" s="37"/>
      <c r="AJ274" s="37"/>
      <c r="AK274" s="37"/>
      <c r="AL274" s="37"/>
      <c r="AM274" s="38"/>
      <c r="AN274" s="37"/>
      <c r="AO274" s="37"/>
      <c r="AP274" s="37"/>
      <c r="AQ274" s="37"/>
      <c r="AR274" s="37"/>
      <c r="AS274" s="37"/>
      <c r="AT274" s="37"/>
      <c r="AU274" s="38"/>
      <c r="AV274" s="38"/>
      <c r="AW274" s="38"/>
      <c r="AX274" s="37"/>
      <c r="AY274" s="37"/>
      <c r="AZ274" s="37"/>
      <c r="BA274" s="37"/>
      <c r="BB274" s="37"/>
      <c r="BC274" s="37"/>
      <c r="BD274" s="38"/>
      <c r="BE274" s="37"/>
      <c r="BF274" s="37"/>
      <c r="BG274" s="37"/>
      <c r="BH274" s="37"/>
      <c r="BI274" s="37"/>
      <c r="BJ274" s="37"/>
      <c r="BK274" s="37"/>
      <c r="BL274" s="37"/>
    </row>
    <row r="275" ht="15.75" customHeight="1">
      <c r="A275" s="37"/>
      <c r="B275" s="37"/>
      <c r="C275" s="38"/>
      <c r="D275" s="37"/>
      <c r="E275" s="37"/>
      <c r="F275" s="37"/>
      <c r="G275" s="37"/>
      <c r="H275" s="37"/>
      <c r="I275" s="37"/>
      <c r="J275" s="38"/>
      <c r="K275" s="38"/>
      <c r="L275" s="37"/>
      <c r="M275" s="37"/>
      <c r="N275" s="37"/>
      <c r="O275" s="37"/>
      <c r="P275" s="37"/>
      <c r="Q275" s="37"/>
      <c r="R275" s="38"/>
      <c r="S275" s="37"/>
      <c r="T275" s="37"/>
      <c r="U275" s="37"/>
      <c r="V275" s="37"/>
      <c r="W275" s="37"/>
      <c r="X275" s="37"/>
      <c r="Y275" s="38"/>
      <c r="Z275" s="37"/>
      <c r="AA275" s="37"/>
      <c r="AB275" s="37"/>
      <c r="AC275" s="37"/>
      <c r="AD275" s="37"/>
      <c r="AE275" s="37"/>
      <c r="AF275" s="38"/>
      <c r="AG275" s="37"/>
      <c r="AH275" s="37"/>
      <c r="AI275" s="37"/>
      <c r="AJ275" s="37"/>
      <c r="AK275" s="37"/>
      <c r="AL275" s="37"/>
      <c r="AM275" s="38"/>
      <c r="AN275" s="37"/>
      <c r="AO275" s="37"/>
      <c r="AP275" s="37"/>
      <c r="AQ275" s="37"/>
      <c r="AR275" s="37"/>
      <c r="AS275" s="37"/>
      <c r="AT275" s="37"/>
      <c r="AU275" s="38"/>
      <c r="AV275" s="38"/>
      <c r="AW275" s="38"/>
      <c r="AX275" s="37"/>
      <c r="AY275" s="37"/>
      <c r="AZ275" s="37"/>
      <c r="BA275" s="37"/>
      <c r="BB275" s="37"/>
      <c r="BC275" s="37"/>
      <c r="BD275" s="38"/>
      <c r="BE275" s="37"/>
      <c r="BF275" s="37"/>
      <c r="BG275" s="37"/>
      <c r="BH275" s="37"/>
      <c r="BI275" s="37"/>
      <c r="BJ275" s="37"/>
      <c r="BK275" s="37"/>
      <c r="BL275" s="37"/>
    </row>
    <row r="276" ht="15.75" customHeight="1">
      <c r="A276" s="37"/>
      <c r="B276" s="37"/>
      <c r="C276" s="38"/>
      <c r="D276" s="37"/>
      <c r="E276" s="37"/>
      <c r="F276" s="37"/>
      <c r="G276" s="37"/>
      <c r="H276" s="37"/>
      <c r="I276" s="37"/>
      <c r="J276" s="38"/>
      <c r="K276" s="38"/>
      <c r="L276" s="37"/>
      <c r="M276" s="37"/>
      <c r="N276" s="37"/>
      <c r="O276" s="37"/>
      <c r="P276" s="37"/>
      <c r="Q276" s="37"/>
      <c r="R276" s="38"/>
      <c r="S276" s="37"/>
      <c r="T276" s="37"/>
      <c r="U276" s="37"/>
      <c r="V276" s="37"/>
      <c r="W276" s="37"/>
      <c r="X276" s="37"/>
      <c r="Y276" s="38"/>
      <c r="Z276" s="37"/>
      <c r="AA276" s="37"/>
      <c r="AB276" s="37"/>
      <c r="AC276" s="37"/>
      <c r="AD276" s="37"/>
      <c r="AE276" s="37"/>
      <c r="AF276" s="38"/>
      <c r="AG276" s="37"/>
      <c r="AH276" s="37"/>
      <c r="AI276" s="37"/>
      <c r="AJ276" s="37"/>
      <c r="AK276" s="37"/>
      <c r="AL276" s="37"/>
      <c r="AM276" s="38"/>
      <c r="AN276" s="37"/>
      <c r="AO276" s="37"/>
      <c r="AP276" s="37"/>
      <c r="AQ276" s="37"/>
      <c r="AR276" s="37"/>
      <c r="AS276" s="37"/>
      <c r="AT276" s="37"/>
      <c r="AU276" s="38"/>
      <c r="AV276" s="38"/>
      <c r="AW276" s="38"/>
      <c r="AX276" s="37"/>
      <c r="AY276" s="37"/>
      <c r="AZ276" s="37"/>
      <c r="BA276" s="37"/>
      <c r="BB276" s="37"/>
      <c r="BC276" s="37"/>
      <c r="BD276" s="38"/>
      <c r="BE276" s="37"/>
      <c r="BF276" s="37"/>
      <c r="BG276" s="37"/>
      <c r="BH276" s="37"/>
      <c r="BI276" s="37"/>
      <c r="BJ276" s="37"/>
      <c r="BK276" s="37"/>
      <c r="BL276" s="37"/>
    </row>
    <row r="277" ht="15.75" customHeight="1">
      <c r="A277" s="37"/>
      <c r="B277" s="37"/>
      <c r="C277" s="38"/>
      <c r="D277" s="37"/>
      <c r="E277" s="37"/>
      <c r="F277" s="37"/>
      <c r="G277" s="37"/>
      <c r="H277" s="37"/>
      <c r="I277" s="37"/>
      <c r="J277" s="38"/>
      <c r="K277" s="38"/>
      <c r="L277" s="37"/>
      <c r="M277" s="37"/>
      <c r="N277" s="37"/>
      <c r="O277" s="37"/>
      <c r="P277" s="37"/>
      <c r="Q277" s="37"/>
      <c r="R277" s="38"/>
      <c r="S277" s="37"/>
      <c r="T277" s="37"/>
      <c r="U277" s="37"/>
      <c r="V277" s="37"/>
      <c r="W277" s="37"/>
      <c r="X277" s="37"/>
      <c r="Y277" s="38"/>
      <c r="Z277" s="37"/>
      <c r="AA277" s="37"/>
      <c r="AB277" s="37"/>
      <c r="AC277" s="37"/>
      <c r="AD277" s="37"/>
      <c r="AE277" s="37"/>
      <c r="AF277" s="38"/>
      <c r="AG277" s="37"/>
      <c r="AH277" s="37"/>
      <c r="AI277" s="37"/>
      <c r="AJ277" s="37"/>
      <c r="AK277" s="37"/>
      <c r="AL277" s="37"/>
      <c r="AM277" s="38"/>
      <c r="AN277" s="37"/>
      <c r="AO277" s="37"/>
      <c r="AP277" s="37"/>
      <c r="AQ277" s="37"/>
      <c r="AR277" s="37"/>
      <c r="AS277" s="37"/>
      <c r="AT277" s="37"/>
      <c r="AU277" s="38"/>
      <c r="AV277" s="38"/>
      <c r="AW277" s="38"/>
      <c r="AX277" s="37"/>
      <c r="AY277" s="37"/>
      <c r="AZ277" s="37"/>
      <c r="BA277" s="37"/>
      <c r="BB277" s="37"/>
      <c r="BC277" s="37"/>
      <c r="BD277" s="38"/>
      <c r="BE277" s="37"/>
      <c r="BF277" s="37"/>
      <c r="BG277" s="37"/>
      <c r="BH277" s="37"/>
      <c r="BI277" s="37"/>
      <c r="BJ277" s="37"/>
      <c r="BK277" s="37"/>
      <c r="BL277" s="37"/>
    </row>
    <row r="278" ht="15.75" customHeight="1">
      <c r="A278" s="37"/>
      <c r="B278" s="37"/>
      <c r="C278" s="38"/>
      <c r="D278" s="37"/>
      <c r="E278" s="37"/>
      <c r="F278" s="37"/>
      <c r="G278" s="37"/>
      <c r="H278" s="37"/>
      <c r="I278" s="37"/>
      <c r="J278" s="38"/>
      <c r="K278" s="38"/>
      <c r="L278" s="37"/>
      <c r="M278" s="37"/>
      <c r="N278" s="37"/>
      <c r="O278" s="37"/>
      <c r="P278" s="37"/>
      <c r="Q278" s="37"/>
      <c r="R278" s="38"/>
      <c r="S278" s="37"/>
      <c r="T278" s="37"/>
      <c r="U278" s="37"/>
      <c r="V278" s="37"/>
      <c r="W278" s="37"/>
      <c r="X278" s="37"/>
      <c r="Y278" s="38"/>
      <c r="Z278" s="37"/>
      <c r="AA278" s="37"/>
      <c r="AB278" s="37"/>
      <c r="AC278" s="37"/>
      <c r="AD278" s="37"/>
      <c r="AE278" s="37"/>
      <c r="AF278" s="38"/>
      <c r="AG278" s="37"/>
      <c r="AH278" s="37"/>
      <c r="AI278" s="37"/>
      <c r="AJ278" s="37"/>
      <c r="AK278" s="37"/>
      <c r="AL278" s="37"/>
      <c r="AM278" s="38"/>
      <c r="AN278" s="37"/>
      <c r="AO278" s="37"/>
      <c r="AP278" s="37"/>
      <c r="AQ278" s="37"/>
      <c r="AR278" s="37"/>
      <c r="AS278" s="37"/>
      <c r="AT278" s="37"/>
      <c r="AU278" s="38"/>
      <c r="AV278" s="38"/>
      <c r="AW278" s="38"/>
      <c r="AX278" s="37"/>
      <c r="AY278" s="37"/>
      <c r="AZ278" s="37"/>
      <c r="BA278" s="37"/>
      <c r="BB278" s="37"/>
      <c r="BC278" s="37"/>
      <c r="BD278" s="38"/>
      <c r="BE278" s="37"/>
      <c r="BF278" s="37"/>
      <c r="BG278" s="37"/>
      <c r="BH278" s="37"/>
      <c r="BI278" s="37"/>
      <c r="BJ278" s="37"/>
      <c r="BK278" s="37"/>
      <c r="BL278" s="37"/>
    </row>
    <row r="279" ht="15.75" customHeight="1">
      <c r="A279" s="37"/>
      <c r="B279" s="37"/>
      <c r="C279" s="38"/>
      <c r="D279" s="37"/>
      <c r="E279" s="37"/>
      <c r="F279" s="37"/>
      <c r="G279" s="37"/>
      <c r="H279" s="37"/>
      <c r="I279" s="37"/>
      <c r="J279" s="38"/>
      <c r="K279" s="38"/>
      <c r="L279" s="37"/>
      <c r="M279" s="37"/>
      <c r="N279" s="37"/>
      <c r="O279" s="37"/>
      <c r="P279" s="37"/>
      <c r="Q279" s="37"/>
      <c r="R279" s="38"/>
      <c r="S279" s="37"/>
      <c r="T279" s="37"/>
      <c r="U279" s="37"/>
      <c r="V279" s="37"/>
      <c r="W279" s="37"/>
      <c r="X279" s="37"/>
      <c r="Y279" s="38"/>
      <c r="Z279" s="37"/>
      <c r="AA279" s="37"/>
      <c r="AB279" s="37"/>
      <c r="AC279" s="37"/>
      <c r="AD279" s="37"/>
      <c r="AE279" s="37"/>
      <c r="AF279" s="38"/>
      <c r="AG279" s="37"/>
      <c r="AH279" s="37"/>
      <c r="AI279" s="37"/>
      <c r="AJ279" s="37"/>
      <c r="AK279" s="37"/>
      <c r="AL279" s="37"/>
      <c r="AM279" s="38"/>
      <c r="AN279" s="37"/>
      <c r="AO279" s="37"/>
      <c r="AP279" s="37"/>
      <c r="AQ279" s="37"/>
      <c r="AR279" s="37"/>
      <c r="AS279" s="37"/>
      <c r="AT279" s="37"/>
      <c r="AU279" s="38"/>
      <c r="AV279" s="38"/>
      <c r="AW279" s="38"/>
      <c r="AX279" s="37"/>
      <c r="AY279" s="37"/>
      <c r="AZ279" s="37"/>
      <c r="BA279" s="37"/>
      <c r="BB279" s="37"/>
      <c r="BC279" s="37"/>
      <c r="BD279" s="38"/>
      <c r="BE279" s="37"/>
      <c r="BF279" s="37"/>
      <c r="BG279" s="37"/>
      <c r="BH279" s="37"/>
      <c r="BI279" s="37"/>
      <c r="BJ279" s="37"/>
      <c r="BK279" s="37"/>
      <c r="BL279" s="37"/>
    </row>
    <row r="280" ht="15.75" customHeight="1">
      <c r="A280" s="37"/>
      <c r="B280" s="37"/>
      <c r="C280" s="38"/>
      <c r="D280" s="37"/>
      <c r="E280" s="37"/>
      <c r="F280" s="37"/>
      <c r="G280" s="37"/>
      <c r="H280" s="37"/>
      <c r="I280" s="37"/>
      <c r="J280" s="38"/>
      <c r="K280" s="38"/>
      <c r="L280" s="37"/>
      <c r="M280" s="37"/>
      <c r="N280" s="37"/>
      <c r="O280" s="37"/>
      <c r="P280" s="37"/>
      <c r="Q280" s="37"/>
      <c r="R280" s="38"/>
      <c r="S280" s="37"/>
      <c r="T280" s="37"/>
      <c r="U280" s="37"/>
      <c r="V280" s="37"/>
      <c r="W280" s="37"/>
      <c r="X280" s="37"/>
      <c r="Y280" s="38"/>
      <c r="Z280" s="37"/>
      <c r="AA280" s="37"/>
      <c r="AB280" s="37"/>
      <c r="AC280" s="37"/>
      <c r="AD280" s="37"/>
      <c r="AE280" s="37"/>
      <c r="AF280" s="38"/>
      <c r="AG280" s="37"/>
      <c r="AH280" s="37"/>
      <c r="AI280" s="37"/>
      <c r="AJ280" s="37"/>
      <c r="AK280" s="37"/>
      <c r="AL280" s="37"/>
      <c r="AM280" s="38"/>
      <c r="AN280" s="37"/>
      <c r="AO280" s="37"/>
      <c r="AP280" s="37"/>
      <c r="AQ280" s="37"/>
      <c r="AR280" s="37"/>
      <c r="AS280" s="37"/>
      <c r="AT280" s="37"/>
      <c r="AU280" s="38"/>
      <c r="AV280" s="38"/>
      <c r="AW280" s="38"/>
      <c r="AX280" s="37"/>
      <c r="AY280" s="37"/>
      <c r="AZ280" s="37"/>
      <c r="BA280" s="37"/>
      <c r="BB280" s="37"/>
      <c r="BC280" s="37"/>
      <c r="BD280" s="38"/>
      <c r="BE280" s="37"/>
      <c r="BF280" s="37"/>
      <c r="BG280" s="37"/>
      <c r="BH280" s="37"/>
      <c r="BI280" s="37"/>
      <c r="BJ280" s="37"/>
      <c r="BK280" s="37"/>
      <c r="BL280" s="37"/>
    </row>
    <row r="281" ht="15.75" customHeight="1">
      <c r="A281" s="37"/>
      <c r="B281" s="37"/>
      <c r="C281" s="38"/>
      <c r="D281" s="37"/>
      <c r="E281" s="37"/>
      <c r="F281" s="37"/>
      <c r="G281" s="37"/>
      <c r="H281" s="37"/>
      <c r="I281" s="37"/>
      <c r="J281" s="38"/>
      <c r="K281" s="38"/>
      <c r="L281" s="37"/>
      <c r="M281" s="37"/>
      <c r="N281" s="37"/>
      <c r="O281" s="37"/>
      <c r="P281" s="37"/>
      <c r="Q281" s="37"/>
      <c r="R281" s="38"/>
      <c r="S281" s="37"/>
      <c r="T281" s="37"/>
      <c r="U281" s="37"/>
      <c r="V281" s="37"/>
      <c r="W281" s="37"/>
      <c r="X281" s="37"/>
      <c r="Y281" s="38"/>
      <c r="Z281" s="37"/>
      <c r="AA281" s="37"/>
      <c r="AB281" s="37"/>
      <c r="AC281" s="37"/>
      <c r="AD281" s="37"/>
      <c r="AE281" s="37"/>
      <c r="AF281" s="38"/>
      <c r="AG281" s="37"/>
      <c r="AH281" s="37"/>
      <c r="AI281" s="37"/>
      <c r="AJ281" s="37"/>
      <c r="AK281" s="37"/>
      <c r="AL281" s="37"/>
      <c r="AM281" s="38"/>
      <c r="AN281" s="37"/>
      <c r="AO281" s="37"/>
      <c r="AP281" s="37"/>
      <c r="AQ281" s="37"/>
      <c r="AR281" s="37"/>
      <c r="AS281" s="37"/>
      <c r="AT281" s="37"/>
      <c r="AU281" s="38"/>
      <c r="AV281" s="38"/>
      <c r="AW281" s="38"/>
      <c r="AX281" s="37"/>
      <c r="AY281" s="37"/>
      <c r="AZ281" s="37"/>
      <c r="BA281" s="37"/>
      <c r="BB281" s="37"/>
      <c r="BC281" s="37"/>
      <c r="BD281" s="38"/>
      <c r="BE281" s="37"/>
      <c r="BF281" s="37"/>
      <c r="BG281" s="37"/>
      <c r="BH281" s="37"/>
      <c r="BI281" s="37"/>
      <c r="BJ281" s="37"/>
      <c r="BK281" s="37"/>
      <c r="BL281" s="37"/>
    </row>
    <row r="282" ht="15.75" customHeight="1">
      <c r="A282" s="37"/>
      <c r="B282" s="37"/>
      <c r="C282" s="38"/>
      <c r="D282" s="37"/>
      <c r="E282" s="37"/>
      <c r="F282" s="37"/>
      <c r="G282" s="37"/>
      <c r="H282" s="37"/>
      <c r="I282" s="37"/>
      <c r="J282" s="38"/>
      <c r="K282" s="38"/>
      <c r="L282" s="37"/>
      <c r="M282" s="37"/>
      <c r="N282" s="37"/>
      <c r="O282" s="37"/>
      <c r="P282" s="37"/>
      <c r="Q282" s="37"/>
      <c r="R282" s="38"/>
      <c r="S282" s="37"/>
      <c r="T282" s="37"/>
      <c r="U282" s="37"/>
      <c r="V282" s="37"/>
      <c r="W282" s="37"/>
      <c r="X282" s="37"/>
      <c r="Y282" s="38"/>
      <c r="Z282" s="37"/>
      <c r="AA282" s="37"/>
      <c r="AB282" s="37"/>
      <c r="AC282" s="37"/>
      <c r="AD282" s="37"/>
      <c r="AE282" s="37"/>
      <c r="AF282" s="38"/>
      <c r="AG282" s="37"/>
      <c r="AH282" s="37"/>
      <c r="AI282" s="37"/>
      <c r="AJ282" s="37"/>
      <c r="AK282" s="37"/>
      <c r="AL282" s="37"/>
      <c r="AM282" s="38"/>
      <c r="AN282" s="37"/>
      <c r="AO282" s="37"/>
      <c r="AP282" s="37"/>
      <c r="AQ282" s="37"/>
      <c r="AR282" s="37"/>
      <c r="AS282" s="37"/>
      <c r="AT282" s="37"/>
      <c r="AU282" s="38"/>
      <c r="AV282" s="38"/>
      <c r="AW282" s="38"/>
      <c r="AX282" s="37"/>
      <c r="AY282" s="37"/>
      <c r="AZ282" s="37"/>
      <c r="BA282" s="37"/>
      <c r="BB282" s="37"/>
      <c r="BC282" s="37"/>
      <c r="BD282" s="38"/>
      <c r="BE282" s="37"/>
      <c r="BF282" s="37"/>
      <c r="BG282" s="37"/>
      <c r="BH282" s="37"/>
      <c r="BI282" s="37"/>
      <c r="BJ282" s="37"/>
      <c r="BK282" s="37"/>
      <c r="BL282" s="37"/>
    </row>
    <row r="283" ht="15.75" customHeight="1">
      <c r="A283" s="37"/>
      <c r="B283" s="37"/>
      <c r="C283" s="38"/>
      <c r="D283" s="37"/>
      <c r="E283" s="37"/>
      <c r="F283" s="37"/>
      <c r="G283" s="37"/>
      <c r="H283" s="37"/>
      <c r="I283" s="37"/>
      <c r="J283" s="38"/>
      <c r="K283" s="38"/>
      <c r="L283" s="37"/>
      <c r="M283" s="37"/>
      <c r="N283" s="37"/>
      <c r="O283" s="37"/>
      <c r="P283" s="37"/>
      <c r="Q283" s="37"/>
      <c r="R283" s="38"/>
      <c r="S283" s="37"/>
      <c r="T283" s="37"/>
      <c r="U283" s="37"/>
      <c r="V283" s="37"/>
      <c r="W283" s="37"/>
      <c r="X283" s="37"/>
      <c r="Y283" s="38"/>
      <c r="Z283" s="37"/>
      <c r="AA283" s="37"/>
      <c r="AB283" s="37"/>
      <c r="AC283" s="37"/>
      <c r="AD283" s="37"/>
      <c r="AE283" s="37"/>
      <c r="AF283" s="38"/>
      <c r="AG283" s="37"/>
      <c r="AH283" s="37"/>
      <c r="AI283" s="37"/>
      <c r="AJ283" s="37"/>
      <c r="AK283" s="37"/>
      <c r="AL283" s="37"/>
      <c r="AM283" s="38"/>
      <c r="AN283" s="37"/>
      <c r="AO283" s="37"/>
      <c r="AP283" s="37"/>
      <c r="AQ283" s="37"/>
      <c r="AR283" s="37"/>
      <c r="AS283" s="37"/>
      <c r="AT283" s="37"/>
      <c r="AU283" s="38"/>
      <c r="AV283" s="38"/>
      <c r="AW283" s="38"/>
      <c r="AX283" s="37"/>
      <c r="AY283" s="37"/>
      <c r="AZ283" s="37"/>
      <c r="BA283" s="37"/>
      <c r="BB283" s="37"/>
      <c r="BC283" s="37"/>
      <c r="BD283" s="38"/>
      <c r="BE283" s="37"/>
      <c r="BF283" s="37"/>
      <c r="BG283" s="37"/>
      <c r="BH283" s="37"/>
      <c r="BI283" s="37"/>
      <c r="BJ283" s="37"/>
      <c r="BK283" s="37"/>
      <c r="BL283" s="37"/>
    </row>
    <row r="284" ht="15.75" customHeight="1">
      <c r="A284" s="37"/>
      <c r="B284" s="37"/>
      <c r="C284" s="38"/>
      <c r="D284" s="37"/>
      <c r="E284" s="37"/>
      <c r="F284" s="37"/>
      <c r="G284" s="37"/>
      <c r="H284" s="37"/>
      <c r="I284" s="37"/>
      <c r="J284" s="38"/>
      <c r="K284" s="38"/>
      <c r="L284" s="37"/>
      <c r="M284" s="37"/>
      <c r="N284" s="37"/>
      <c r="O284" s="37"/>
      <c r="P284" s="37"/>
      <c r="Q284" s="37"/>
      <c r="R284" s="38"/>
      <c r="S284" s="37"/>
      <c r="T284" s="37"/>
      <c r="U284" s="37"/>
      <c r="V284" s="37"/>
      <c r="W284" s="37"/>
      <c r="X284" s="37"/>
      <c r="Y284" s="38"/>
      <c r="Z284" s="37"/>
      <c r="AA284" s="37"/>
      <c r="AB284" s="37"/>
      <c r="AC284" s="37"/>
      <c r="AD284" s="37"/>
      <c r="AE284" s="37"/>
      <c r="AF284" s="38"/>
      <c r="AG284" s="37"/>
      <c r="AH284" s="37"/>
      <c r="AI284" s="37"/>
      <c r="AJ284" s="37"/>
      <c r="AK284" s="37"/>
      <c r="AL284" s="37"/>
      <c r="AM284" s="38"/>
      <c r="AN284" s="37"/>
      <c r="AO284" s="37"/>
      <c r="AP284" s="37"/>
      <c r="AQ284" s="37"/>
      <c r="AR284" s="37"/>
      <c r="AS284" s="37"/>
      <c r="AT284" s="37"/>
      <c r="AU284" s="38"/>
      <c r="AV284" s="38"/>
      <c r="AW284" s="38"/>
      <c r="AX284" s="37"/>
      <c r="AY284" s="37"/>
      <c r="AZ284" s="37"/>
      <c r="BA284" s="37"/>
      <c r="BB284" s="37"/>
      <c r="BC284" s="37"/>
      <c r="BD284" s="38"/>
      <c r="BE284" s="37"/>
      <c r="BF284" s="37"/>
      <c r="BG284" s="37"/>
      <c r="BH284" s="37"/>
      <c r="BI284" s="37"/>
      <c r="BJ284" s="37"/>
      <c r="BK284" s="37"/>
      <c r="BL284" s="37"/>
    </row>
    <row r="285" ht="15.75" customHeight="1">
      <c r="A285" s="37"/>
      <c r="B285" s="37"/>
      <c r="C285" s="38"/>
      <c r="D285" s="37"/>
      <c r="E285" s="37"/>
      <c r="F285" s="37"/>
      <c r="G285" s="37"/>
      <c r="H285" s="37"/>
      <c r="I285" s="37"/>
      <c r="J285" s="38"/>
      <c r="K285" s="38"/>
      <c r="L285" s="37"/>
      <c r="M285" s="37"/>
      <c r="N285" s="37"/>
      <c r="O285" s="37"/>
      <c r="P285" s="37"/>
      <c r="Q285" s="37"/>
      <c r="R285" s="38"/>
      <c r="S285" s="37"/>
      <c r="T285" s="37"/>
      <c r="U285" s="37"/>
      <c r="V285" s="37"/>
      <c r="W285" s="37"/>
      <c r="X285" s="37"/>
      <c r="Y285" s="38"/>
      <c r="Z285" s="37"/>
      <c r="AA285" s="37"/>
      <c r="AB285" s="37"/>
      <c r="AC285" s="37"/>
      <c r="AD285" s="37"/>
      <c r="AE285" s="37"/>
      <c r="AF285" s="38"/>
      <c r="AG285" s="37"/>
      <c r="AH285" s="37"/>
      <c r="AI285" s="37"/>
      <c r="AJ285" s="37"/>
      <c r="AK285" s="37"/>
      <c r="AL285" s="37"/>
      <c r="AM285" s="38"/>
      <c r="AN285" s="37"/>
      <c r="AO285" s="37"/>
      <c r="AP285" s="37"/>
      <c r="AQ285" s="37"/>
      <c r="AR285" s="37"/>
      <c r="AS285" s="37"/>
      <c r="AT285" s="37"/>
      <c r="AU285" s="38"/>
      <c r="AV285" s="38"/>
      <c r="AW285" s="38"/>
      <c r="AX285" s="37"/>
      <c r="AY285" s="37"/>
      <c r="AZ285" s="37"/>
      <c r="BA285" s="37"/>
      <c r="BB285" s="37"/>
      <c r="BC285" s="37"/>
      <c r="BD285" s="38"/>
      <c r="BE285" s="37"/>
      <c r="BF285" s="37"/>
      <c r="BG285" s="37"/>
      <c r="BH285" s="37"/>
      <c r="BI285" s="37"/>
      <c r="BJ285" s="37"/>
      <c r="BK285" s="37"/>
      <c r="BL285" s="37"/>
    </row>
    <row r="286" ht="15.75" customHeight="1">
      <c r="A286" s="37"/>
      <c r="B286" s="37"/>
      <c r="C286" s="38"/>
      <c r="D286" s="37"/>
      <c r="E286" s="37"/>
      <c r="F286" s="37"/>
      <c r="G286" s="37"/>
      <c r="H286" s="37"/>
      <c r="I286" s="37"/>
      <c r="J286" s="38"/>
      <c r="K286" s="38"/>
      <c r="L286" s="37"/>
      <c r="M286" s="37"/>
      <c r="N286" s="37"/>
      <c r="O286" s="37"/>
      <c r="P286" s="37"/>
      <c r="Q286" s="37"/>
      <c r="R286" s="38"/>
      <c r="S286" s="37"/>
      <c r="T286" s="37"/>
      <c r="U286" s="37"/>
      <c r="V286" s="37"/>
      <c r="W286" s="37"/>
      <c r="X286" s="37"/>
      <c r="Y286" s="38"/>
      <c r="Z286" s="37"/>
      <c r="AA286" s="37"/>
      <c r="AB286" s="37"/>
      <c r="AC286" s="37"/>
      <c r="AD286" s="37"/>
      <c r="AE286" s="37"/>
      <c r="AF286" s="38"/>
      <c r="AG286" s="37"/>
      <c r="AH286" s="37"/>
      <c r="AI286" s="37"/>
      <c r="AJ286" s="37"/>
      <c r="AK286" s="37"/>
      <c r="AL286" s="37"/>
      <c r="AM286" s="38"/>
      <c r="AN286" s="37"/>
      <c r="AO286" s="37"/>
      <c r="AP286" s="37"/>
      <c r="AQ286" s="37"/>
      <c r="AR286" s="37"/>
      <c r="AS286" s="37"/>
      <c r="AT286" s="37"/>
      <c r="AU286" s="38"/>
      <c r="AV286" s="38"/>
      <c r="AW286" s="38"/>
      <c r="AX286" s="37"/>
      <c r="AY286" s="37"/>
      <c r="AZ286" s="37"/>
      <c r="BA286" s="37"/>
      <c r="BB286" s="37"/>
      <c r="BC286" s="37"/>
      <c r="BD286" s="38"/>
      <c r="BE286" s="37"/>
      <c r="BF286" s="37"/>
      <c r="BG286" s="37"/>
      <c r="BH286" s="37"/>
      <c r="BI286" s="37"/>
      <c r="BJ286" s="37"/>
      <c r="BK286" s="37"/>
      <c r="BL286" s="37"/>
    </row>
    <row r="287" ht="15.75" customHeight="1">
      <c r="A287" s="37"/>
      <c r="B287" s="37"/>
      <c r="C287" s="38"/>
      <c r="D287" s="37"/>
      <c r="E287" s="37"/>
      <c r="F287" s="37"/>
      <c r="G287" s="37"/>
      <c r="H287" s="37"/>
      <c r="I287" s="37"/>
      <c r="J287" s="38"/>
      <c r="K287" s="38"/>
      <c r="L287" s="37"/>
      <c r="M287" s="37"/>
      <c r="N287" s="37"/>
      <c r="O287" s="37"/>
      <c r="P287" s="37"/>
      <c r="Q287" s="37"/>
      <c r="R287" s="38"/>
      <c r="S287" s="37"/>
      <c r="T287" s="37"/>
      <c r="U287" s="37"/>
      <c r="V287" s="37"/>
      <c r="W287" s="37"/>
      <c r="X287" s="37"/>
      <c r="Y287" s="38"/>
      <c r="Z287" s="37"/>
      <c r="AA287" s="37"/>
      <c r="AB287" s="37"/>
      <c r="AC287" s="37"/>
      <c r="AD287" s="37"/>
      <c r="AE287" s="37"/>
      <c r="AF287" s="38"/>
      <c r="AG287" s="37"/>
      <c r="AH287" s="37"/>
      <c r="AI287" s="37"/>
      <c r="AJ287" s="37"/>
      <c r="AK287" s="37"/>
      <c r="AL287" s="37"/>
      <c r="AM287" s="38"/>
      <c r="AN287" s="37"/>
      <c r="AO287" s="37"/>
      <c r="AP287" s="37"/>
      <c r="AQ287" s="37"/>
      <c r="AR287" s="37"/>
      <c r="AS287" s="37"/>
      <c r="AT287" s="37"/>
      <c r="AU287" s="38"/>
      <c r="AV287" s="38"/>
      <c r="AW287" s="38"/>
      <c r="AX287" s="37"/>
      <c r="AY287" s="37"/>
      <c r="AZ287" s="37"/>
      <c r="BA287" s="37"/>
      <c r="BB287" s="37"/>
      <c r="BC287" s="37"/>
      <c r="BD287" s="38"/>
      <c r="BE287" s="37"/>
      <c r="BF287" s="37"/>
      <c r="BG287" s="37"/>
      <c r="BH287" s="37"/>
      <c r="BI287" s="37"/>
      <c r="BJ287" s="37"/>
      <c r="BK287" s="37"/>
      <c r="BL287" s="37"/>
    </row>
    <row r="288" ht="15.75" customHeight="1">
      <c r="A288" s="37"/>
      <c r="B288" s="37"/>
      <c r="C288" s="38"/>
      <c r="D288" s="37"/>
      <c r="E288" s="37"/>
      <c r="F288" s="37"/>
      <c r="G288" s="37"/>
      <c r="H288" s="37"/>
      <c r="I288" s="37"/>
      <c r="J288" s="38"/>
      <c r="K288" s="38"/>
      <c r="L288" s="37"/>
      <c r="M288" s="37"/>
      <c r="N288" s="37"/>
      <c r="O288" s="37"/>
      <c r="P288" s="37"/>
      <c r="Q288" s="37"/>
      <c r="R288" s="38"/>
      <c r="S288" s="37"/>
      <c r="T288" s="37"/>
      <c r="U288" s="37"/>
      <c r="V288" s="37"/>
      <c r="W288" s="37"/>
      <c r="X288" s="37"/>
      <c r="Y288" s="38"/>
      <c r="Z288" s="37"/>
      <c r="AA288" s="37"/>
      <c r="AB288" s="37"/>
      <c r="AC288" s="37"/>
      <c r="AD288" s="37"/>
      <c r="AE288" s="37"/>
      <c r="AF288" s="38"/>
      <c r="AG288" s="37"/>
      <c r="AH288" s="37"/>
      <c r="AI288" s="37"/>
      <c r="AJ288" s="37"/>
      <c r="AK288" s="37"/>
      <c r="AL288" s="37"/>
      <c r="AM288" s="38"/>
      <c r="AN288" s="37"/>
      <c r="AO288" s="37"/>
      <c r="AP288" s="37"/>
      <c r="AQ288" s="37"/>
      <c r="AR288" s="37"/>
      <c r="AS288" s="37"/>
      <c r="AT288" s="37"/>
      <c r="AU288" s="38"/>
      <c r="AV288" s="38"/>
      <c r="AW288" s="38"/>
      <c r="AX288" s="37"/>
      <c r="AY288" s="37"/>
      <c r="AZ288" s="37"/>
      <c r="BA288" s="37"/>
      <c r="BB288" s="37"/>
      <c r="BC288" s="37"/>
      <c r="BD288" s="38"/>
      <c r="BE288" s="37"/>
      <c r="BF288" s="37"/>
      <c r="BG288" s="37"/>
      <c r="BH288" s="37"/>
      <c r="BI288" s="37"/>
      <c r="BJ288" s="37"/>
      <c r="BK288" s="37"/>
      <c r="BL288" s="37"/>
    </row>
    <row r="289" ht="15.75" customHeight="1">
      <c r="A289" s="37"/>
      <c r="B289" s="37"/>
      <c r="C289" s="38"/>
      <c r="D289" s="37"/>
      <c r="E289" s="37"/>
      <c r="F289" s="37"/>
      <c r="G289" s="37"/>
      <c r="H289" s="37"/>
      <c r="I289" s="37"/>
      <c r="J289" s="38"/>
      <c r="K289" s="38"/>
      <c r="L289" s="37"/>
      <c r="M289" s="37"/>
      <c r="N289" s="37"/>
      <c r="O289" s="37"/>
      <c r="P289" s="37"/>
      <c r="Q289" s="37"/>
      <c r="R289" s="38"/>
      <c r="S289" s="37"/>
      <c r="T289" s="37"/>
      <c r="U289" s="37"/>
      <c r="V289" s="37"/>
      <c r="W289" s="37"/>
      <c r="X289" s="37"/>
      <c r="Y289" s="38"/>
      <c r="Z289" s="37"/>
      <c r="AA289" s="37"/>
      <c r="AB289" s="37"/>
      <c r="AC289" s="37"/>
      <c r="AD289" s="37"/>
      <c r="AE289" s="37"/>
      <c r="AF289" s="38"/>
      <c r="AG289" s="37"/>
      <c r="AH289" s="37"/>
      <c r="AI289" s="37"/>
      <c r="AJ289" s="37"/>
      <c r="AK289" s="37"/>
      <c r="AL289" s="37"/>
      <c r="AM289" s="38"/>
      <c r="AN289" s="37"/>
      <c r="AO289" s="37"/>
      <c r="AP289" s="37"/>
      <c r="AQ289" s="37"/>
      <c r="AR289" s="37"/>
      <c r="AS289" s="37"/>
      <c r="AT289" s="37"/>
      <c r="AU289" s="38"/>
      <c r="AV289" s="38"/>
      <c r="AW289" s="38"/>
      <c r="AX289" s="37"/>
      <c r="AY289" s="37"/>
      <c r="AZ289" s="37"/>
      <c r="BA289" s="37"/>
      <c r="BB289" s="37"/>
      <c r="BC289" s="37"/>
      <c r="BD289" s="38"/>
      <c r="BE289" s="37"/>
      <c r="BF289" s="37"/>
      <c r="BG289" s="37"/>
      <c r="BH289" s="37"/>
      <c r="BI289" s="37"/>
      <c r="BJ289" s="37"/>
      <c r="BK289" s="37"/>
      <c r="BL289" s="37"/>
    </row>
    <row r="290" ht="15.75" customHeight="1">
      <c r="A290" s="37"/>
      <c r="B290" s="37"/>
      <c r="C290" s="38"/>
      <c r="D290" s="37"/>
      <c r="E290" s="37"/>
      <c r="F290" s="37"/>
      <c r="G290" s="37"/>
      <c r="H290" s="37"/>
      <c r="I290" s="37"/>
      <c r="J290" s="38"/>
      <c r="K290" s="38"/>
      <c r="L290" s="37"/>
      <c r="M290" s="37"/>
      <c r="N290" s="37"/>
      <c r="O290" s="37"/>
      <c r="P290" s="37"/>
      <c r="Q290" s="37"/>
      <c r="R290" s="38"/>
      <c r="S290" s="37"/>
      <c r="T290" s="37"/>
      <c r="U290" s="37"/>
      <c r="V290" s="37"/>
      <c r="W290" s="37"/>
      <c r="X290" s="37"/>
      <c r="Y290" s="38"/>
      <c r="Z290" s="37"/>
      <c r="AA290" s="37"/>
      <c r="AB290" s="37"/>
      <c r="AC290" s="37"/>
      <c r="AD290" s="37"/>
      <c r="AE290" s="37"/>
      <c r="AF290" s="38"/>
      <c r="AG290" s="37"/>
      <c r="AH290" s="37"/>
      <c r="AI290" s="37"/>
      <c r="AJ290" s="37"/>
      <c r="AK290" s="37"/>
      <c r="AL290" s="37"/>
      <c r="AM290" s="38"/>
      <c r="AN290" s="37"/>
      <c r="AO290" s="37"/>
      <c r="AP290" s="37"/>
      <c r="AQ290" s="37"/>
      <c r="AR290" s="37"/>
      <c r="AS290" s="37"/>
      <c r="AT290" s="37"/>
      <c r="AU290" s="38"/>
      <c r="AV290" s="38"/>
      <c r="AW290" s="38"/>
      <c r="AX290" s="37"/>
      <c r="AY290" s="37"/>
      <c r="AZ290" s="37"/>
      <c r="BA290" s="37"/>
      <c r="BB290" s="37"/>
      <c r="BC290" s="37"/>
      <c r="BD290" s="38"/>
      <c r="BE290" s="37"/>
      <c r="BF290" s="37"/>
      <c r="BG290" s="37"/>
      <c r="BH290" s="37"/>
      <c r="BI290" s="37"/>
      <c r="BJ290" s="37"/>
      <c r="BK290" s="37"/>
      <c r="BL290" s="37"/>
    </row>
    <row r="291" ht="15.75" customHeight="1">
      <c r="A291" s="37"/>
      <c r="B291" s="37"/>
      <c r="C291" s="38"/>
      <c r="D291" s="37"/>
      <c r="E291" s="37"/>
      <c r="F291" s="37"/>
      <c r="G291" s="37"/>
      <c r="H291" s="37"/>
      <c r="I291" s="37"/>
      <c r="J291" s="38"/>
      <c r="K291" s="38"/>
      <c r="L291" s="37"/>
      <c r="M291" s="37"/>
      <c r="N291" s="37"/>
      <c r="O291" s="37"/>
      <c r="P291" s="37"/>
      <c r="Q291" s="37"/>
      <c r="R291" s="38"/>
      <c r="S291" s="37"/>
      <c r="T291" s="37"/>
      <c r="U291" s="37"/>
      <c r="V291" s="37"/>
      <c r="W291" s="37"/>
      <c r="X291" s="37"/>
      <c r="Y291" s="38"/>
      <c r="Z291" s="37"/>
      <c r="AA291" s="37"/>
      <c r="AB291" s="37"/>
      <c r="AC291" s="37"/>
      <c r="AD291" s="37"/>
      <c r="AE291" s="37"/>
      <c r="AF291" s="38"/>
      <c r="AG291" s="37"/>
      <c r="AH291" s="37"/>
      <c r="AI291" s="37"/>
      <c r="AJ291" s="37"/>
      <c r="AK291" s="37"/>
      <c r="AL291" s="37"/>
      <c r="AM291" s="38"/>
      <c r="AN291" s="37"/>
      <c r="AO291" s="37"/>
      <c r="AP291" s="37"/>
      <c r="AQ291" s="37"/>
      <c r="AR291" s="37"/>
      <c r="AS291" s="37"/>
      <c r="AT291" s="37"/>
      <c r="AU291" s="38"/>
      <c r="AV291" s="38"/>
      <c r="AW291" s="38"/>
      <c r="AX291" s="37"/>
      <c r="AY291" s="37"/>
      <c r="AZ291" s="37"/>
      <c r="BA291" s="37"/>
      <c r="BB291" s="37"/>
      <c r="BC291" s="37"/>
      <c r="BD291" s="38"/>
      <c r="BE291" s="37"/>
      <c r="BF291" s="37"/>
      <c r="BG291" s="37"/>
      <c r="BH291" s="37"/>
      <c r="BI291" s="37"/>
      <c r="BJ291" s="37"/>
      <c r="BK291" s="37"/>
      <c r="BL291" s="37"/>
    </row>
    <row r="292" ht="15.75" customHeight="1">
      <c r="A292" s="37"/>
      <c r="B292" s="37"/>
      <c r="C292" s="38"/>
      <c r="D292" s="37"/>
      <c r="E292" s="37"/>
      <c r="F292" s="37"/>
      <c r="G292" s="37"/>
      <c r="H292" s="37"/>
      <c r="I292" s="37"/>
      <c r="J292" s="38"/>
      <c r="K292" s="38"/>
      <c r="L292" s="37"/>
      <c r="M292" s="37"/>
      <c r="N292" s="37"/>
      <c r="O292" s="37"/>
      <c r="P292" s="37"/>
      <c r="Q292" s="37"/>
      <c r="R292" s="38"/>
      <c r="S292" s="37"/>
      <c r="T292" s="37"/>
      <c r="U292" s="37"/>
      <c r="V292" s="37"/>
      <c r="W292" s="37"/>
      <c r="X292" s="37"/>
      <c r="Y292" s="38"/>
      <c r="Z292" s="37"/>
      <c r="AA292" s="37"/>
      <c r="AB292" s="37"/>
      <c r="AC292" s="37"/>
      <c r="AD292" s="37"/>
      <c r="AE292" s="37"/>
      <c r="AF292" s="38"/>
      <c r="AG292" s="37"/>
      <c r="AH292" s="37"/>
      <c r="AI292" s="37"/>
      <c r="AJ292" s="37"/>
      <c r="AK292" s="37"/>
      <c r="AL292" s="37"/>
      <c r="AM292" s="38"/>
      <c r="AN292" s="37"/>
      <c r="AO292" s="37"/>
      <c r="AP292" s="37"/>
      <c r="AQ292" s="37"/>
      <c r="AR292" s="37"/>
      <c r="AS292" s="37"/>
      <c r="AT292" s="37"/>
      <c r="AU292" s="38"/>
      <c r="AV292" s="38"/>
      <c r="AW292" s="38"/>
      <c r="AX292" s="37"/>
      <c r="AY292" s="37"/>
      <c r="AZ292" s="37"/>
      <c r="BA292" s="37"/>
      <c r="BB292" s="37"/>
      <c r="BC292" s="37"/>
      <c r="BD292" s="38"/>
      <c r="BE292" s="37"/>
      <c r="BF292" s="37"/>
      <c r="BG292" s="37"/>
      <c r="BH292" s="37"/>
      <c r="BI292" s="37"/>
      <c r="BJ292" s="37"/>
      <c r="BK292" s="37"/>
      <c r="BL292" s="37"/>
    </row>
    <row r="293" ht="15.75" customHeight="1">
      <c r="A293" s="37"/>
      <c r="B293" s="37"/>
      <c r="C293" s="38"/>
      <c r="D293" s="37"/>
      <c r="E293" s="37"/>
      <c r="F293" s="37"/>
      <c r="G293" s="37"/>
      <c r="H293" s="37"/>
      <c r="I293" s="37"/>
      <c r="J293" s="38"/>
      <c r="K293" s="38"/>
      <c r="L293" s="37"/>
      <c r="M293" s="37"/>
      <c r="N293" s="37"/>
      <c r="O293" s="37"/>
      <c r="P293" s="37"/>
      <c r="Q293" s="37"/>
      <c r="R293" s="38"/>
      <c r="S293" s="37"/>
      <c r="T293" s="37"/>
      <c r="U293" s="37"/>
      <c r="V293" s="37"/>
      <c r="W293" s="37"/>
      <c r="X293" s="37"/>
      <c r="Y293" s="38"/>
      <c r="Z293" s="37"/>
      <c r="AA293" s="37"/>
      <c r="AB293" s="37"/>
      <c r="AC293" s="37"/>
      <c r="AD293" s="37"/>
      <c r="AE293" s="37"/>
      <c r="AF293" s="38"/>
      <c r="AG293" s="37"/>
      <c r="AH293" s="37"/>
      <c r="AI293" s="37"/>
      <c r="AJ293" s="37"/>
      <c r="AK293" s="37"/>
      <c r="AL293" s="37"/>
      <c r="AM293" s="38"/>
      <c r="AN293" s="37"/>
      <c r="AO293" s="37"/>
      <c r="AP293" s="37"/>
      <c r="AQ293" s="37"/>
      <c r="AR293" s="37"/>
      <c r="AS293" s="37"/>
      <c r="AT293" s="37"/>
      <c r="AU293" s="38"/>
      <c r="AV293" s="38"/>
      <c r="AW293" s="38"/>
      <c r="AX293" s="37"/>
      <c r="AY293" s="37"/>
      <c r="AZ293" s="37"/>
      <c r="BA293" s="37"/>
      <c r="BB293" s="37"/>
      <c r="BC293" s="37"/>
      <c r="BD293" s="38"/>
      <c r="BE293" s="37"/>
      <c r="BF293" s="37"/>
      <c r="BG293" s="37"/>
      <c r="BH293" s="37"/>
      <c r="BI293" s="37"/>
      <c r="BJ293" s="37"/>
      <c r="BK293" s="37"/>
      <c r="BL293" s="37"/>
    </row>
    <row r="294" ht="15.75" customHeight="1">
      <c r="A294" s="37"/>
      <c r="B294" s="37"/>
      <c r="C294" s="38"/>
      <c r="D294" s="37"/>
      <c r="E294" s="37"/>
      <c r="F294" s="37"/>
      <c r="G294" s="37"/>
      <c r="H294" s="37"/>
      <c r="I294" s="37"/>
      <c r="J294" s="38"/>
      <c r="K294" s="38"/>
      <c r="L294" s="37"/>
      <c r="M294" s="37"/>
      <c r="N294" s="37"/>
      <c r="O294" s="37"/>
      <c r="P294" s="37"/>
      <c r="Q294" s="37"/>
      <c r="R294" s="38"/>
      <c r="S294" s="37"/>
      <c r="T294" s="37"/>
      <c r="U294" s="37"/>
      <c r="V294" s="37"/>
      <c r="W294" s="37"/>
      <c r="X294" s="37"/>
      <c r="Y294" s="38"/>
      <c r="Z294" s="37"/>
      <c r="AA294" s="37"/>
      <c r="AB294" s="37"/>
      <c r="AC294" s="37"/>
      <c r="AD294" s="37"/>
      <c r="AE294" s="37"/>
      <c r="AF294" s="38"/>
      <c r="AG294" s="37"/>
      <c r="AH294" s="37"/>
      <c r="AI294" s="37"/>
      <c r="AJ294" s="37"/>
      <c r="AK294" s="37"/>
      <c r="AL294" s="37"/>
      <c r="AM294" s="38"/>
      <c r="AN294" s="37"/>
      <c r="AO294" s="37"/>
      <c r="AP294" s="37"/>
      <c r="AQ294" s="37"/>
      <c r="AR294" s="37"/>
      <c r="AS294" s="37"/>
      <c r="AT294" s="37"/>
      <c r="AU294" s="38"/>
      <c r="AV294" s="38"/>
      <c r="AW294" s="38"/>
      <c r="AX294" s="37"/>
      <c r="AY294" s="37"/>
      <c r="AZ294" s="37"/>
      <c r="BA294" s="37"/>
      <c r="BB294" s="37"/>
      <c r="BC294" s="37"/>
      <c r="BD294" s="38"/>
      <c r="BE294" s="37"/>
      <c r="BF294" s="37"/>
      <c r="BG294" s="37"/>
      <c r="BH294" s="37"/>
      <c r="BI294" s="37"/>
      <c r="BJ294" s="37"/>
      <c r="BK294" s="37"/>
      <c r="BL294" s="37"/>
    </row>
    <row r="295" ht="15.75" customHeight="1">
      <c r="A295" s="37"/>
      <c r="B295" s="37"/>
      <c r="C295" s="38"/>
      <c r="D295" s="37"/>
      <c r="E295" s="37"/>
      <c r="F295" s="37"/>
      <c r="G295" s="37"/>
      <c r="H295" s="37"/>
      <c r="I295" s="37"/>
      <c r="J295" s="38"/>
      <c r="K295" s="38"/>
      <c r="L295" s="37"/>
      <c r="M295" s="37"/>
      <c r="N295" s="37"/>
      <c r="O295" s="37"/>
      <c r="P295" s="37"/>
      <c r="Q295" s="37"/>
      <c r="R295" s="38"/>
      <c r="S295" s="37"/>
      <c r="T295" s="37"/>
      <c r="U295" s="37"/>
      <c r="V295" s="37"/>
      <c r="W295" s="37"/>
      <c r="X295" s="37"/>
      <c r="Y295" s="38"/>
      <c r="Z295" s="37"/>
      <c r="AA295" s="37"/>
      <c r="AB295" s="37"/>
      <c r="AC295" s="37"/>
      <c r="AD295" s="37"/>
      <c r="AE295" s="37"/>
      <c r="AF295" s="38"/>
      <c r="AG295" s="37"/>
      <c r="AH295" s="37"/>
      <c r="AI295" s="37"/>
      <c r="AJ295" s="37"/>
      <c r="AK295" s="37"/>
      <c r="AL295" s="37"/>
      <c r="AM295" s="38"/>
      <c r="AN295" s="37"/>
      <c r="AO295" s="37"/>
      <c r="AP295" s="37"/>
      <c r="AQ295" s="37"/>
      <c r="AR295" s="37"/>
      <c r="AS295" s="37"/>
      <c r="AT295" s="37"/>
      <c r="AU295" s="38"/>
      <c r="AV295" s="38"/>
      <c r="AW295" s="38"/>
      <c r="AX295" s="37"/>
      <c r="AY295" s="37"/>
      <c r="AZ295" s="37"/>
      <c r="BA295" s="37"/>
      <c r="BB295" s="37"/>
      <c r="BC295" s="37"/>
      <c r="BD295" s="38"/>
      <c r="BE295" s="37"/>
      <c r="BF295" s="37"/>
      <c r="BG295" s="37"/>
      <c r="BH295" s="37"/>
      <c r="BI295" s="37"/>
      <c r="BJ295" s="37"/>
      <c r="BK295" s="37"/>
      <c r="BL295" s="37"/>
    </row>
    <row r="296" ht="15.75" customHeight="1">
      <c r="A296" s="37"/>
      <c r="B296" s="37"/>
      <c r="C296" s="38"/>
      <c r="D296" s="37"/>
      <c r="E296" s="37"/>
      <c r="F296" s="37"/>
      <c r="G296" s="37"/>
      <c r="H296" s="37"/>
      <c r="I296" s="37"/>
      <c r="J296" s="38"/>
      <c r="K296" s="38"/>
      <c r="L296" s="37"/>
      <c r="M296" s="37"/>
      <c r="N296" s="37"/>
      <c r="O296" s="37"/>
      <c r="P296" s="37"/>
      <c r="Q296" s="37"/>
      <c r="R296" s="38"/>
      <c r="S296" s="37"/>
      <c r="T296" s="37"/>
      <c r="U296" s="37"/>
      <c r="V296" s="37"/>
      <c r="W296" s="37"/>
      <c r="X296" s="37"/>
      <c r="Y296" s="38"/>
      <c r="Z296" s="37"/>
      <c r="AA296" s="37"/>
      <c r="AB296" s="37"/>
      <c r="AC296" s="37"/>
      <c r="AD296" s="37"/>
      <c r="AE296" s="37"/>
      <c r="AF296" s="38"/>
      <c r="AG296" s="37"/>
      <c r="AH296" s="37"/>
      <c r="AI296" s="37"/>
      <c r="AJ296" s="37"/>
      <c r="AK296" s="37"/>
      <c r="AL296" s="37"/>
      <c r="AM296" s="38"/>
      <c r="AN296" s="37"/>
      <c r="AO296" s="37"/>
      <c r="AP296" s="37"/>
      <c r="AQ296" s="37"/>
      <c r="AR296" s="37"/>
      <c r="AS296" s="37"/>
      <c r="AT296" s="37"/>
      <c r="AU296" s="38"/>
      <c r="AV296" s="38"/>
      <c r="AW296" s="38"/>
      <c r="AX296" s="37"/>
      <c r="AY296" s="37"/>
      <c r="AZ296" s="37"/>
      <c r="BA296" s="37"/>
      <c r="BB296" s="37"/>
      <c r="BC296" s="37"/>
      <c r="BD296" s="38"/>
      <c r="BE296" s="37"/>
      <c r="BF296" s="37"/>
      <c r="BG296" s="37"/>
      <c r="BH296" s="37"/>
      <c r="BI296" s="37"/>
      <c r="BJ296" s="37"/>
      <c r="BK296" s="37"/>
      <c r="BL296" s="37"/>
    </row>
    <row r="297" ht="15.75" customHeight="1">
      <c r="A297" s="37"/>
      <c r="B297" s="37"/>
      <c r="C297" s="38"/>
      <c r="D297" s="37"/>
      <c r="E297" s="37"/>
      <c r="F297" s="37"/>
      <c r="G297" s="37"/>
      <c r="H297" s="37"/>
      <c r="I297" s="37"/>
      <c r="J297" s="38"/>
      <c r="K297" s="38"/>
      <c r="L297" s="37"/>
      <c r="M297" s="37"/>
      <c r="N297" s="37"/>
      <c r="O297" s="37"/>
      <c r="P297" s="37"/>
      <c r="Q297" s="37"/>
      <c r="R297" s="38"/>
      <c r="S297" s="37"/>
      <c r="T297" s="37"/>
      <c r="U297" s="37"/>
      <c r="V297" s="37"/>
      <c r="W297" s="37"/>
      <c r="X297" s="37"/>
      <c r="Y297" s="38"/>
      <c r="Z297" s="37"/>
      <c r="AA297" s="37"/>
      <c r="AB297" s="37"/>
      <c r="AC297" s="37"/>
      <c r="AD297" s="37"/>
      <c r="AE297" s="37"/>
      <c r="AF297" s="38"/>
      <c r="AG297" s="37"/>
      <c r="AH297" s="37"/>
      <c r="AI297" s="37"/>
      <c r="AJ297" s="37"/>
      <c r="AK297" s="37"/>
      <c r="AL297" s="37"/>
      <c r="AM297" s="38"/>
      <c r="AN297" s="37"/>
      <c r="AO297" s="37"/>
      <c r="AP297" s="37"/>
      <c r="AQ297" s="37"/>
      <c r="AR297" s="37"/>
      <c r="AS297" s="37"/>
      <c r="AT297" s="37"/>
      <c r="AU297" s="38"/>
      <c r="AV297" s="38"/>
      <c r="AW297" s="38"/>
      <c r="AX297" s="37"/>
      <c r="AY297" s="37"/>
      <c r="AZ297" s="37"/>
      <c r="BA297" s="37"/>
      <c r="BB297" s="37"/>
      <c r="BC297" s="37"/>
      <c r="BD297" s="38"/>
      <c r="BE297" s="37"/>
      <c r="BF297" s="37"/>
      <c r="BG297" s="37"/>
      <c r="BH297" s="37"/>
      <c r="BI297" s="37"/>
      <c r="BJ297" s="37"/>
      <c r="BK297" s="37"/>
      <c r="BL297" s="37"/>
    </row>
    <row r="298" ht="15.75" customHeight="1">
      <c r="A298" s="37"/>
      <c r="B298" s="37"/>
      <c r="C298" s="38"/>
      <c r="D298" s="37"/>
      <c r="E298" s="37"/>
      <c r="F298" s="37"/>
      <c r="G298" s="37"/>
      <c r="H298" s="37"/>
      <c r="I298" s="37"/>
      <c r="J298" s="38"/>
      <c r="K298" s="38"/>
      <c r="L298" s="37"/>
      <c r="M298" s="37"/>
      <c r="N298" s="37"/>
      <c r="O298" s="37"/>
      <c r="P298" s="37"/>
      <c r="Q298" s="37"/>
      <c r="R298" s="38"/>
      <c r="S298" s="37"/>
      <c r="T298" s="37"/>
      <c r="U298" s="37"/>
      <c r="V298" s="37"/>
      <c r="W298" s="37"/>
      <c r="X298" s="37"/>
      <c r="Y298" s="38"/>
      <c r="Z298" s="37"/>
      <c r="AA298" s="37"/>
      <c r="AB298" s="37"/>
      <c r="AC298" s="37"/>
      <c r="AD298" s="37"/>
      <c r="AE298" s="37"/>
      <c r="AF298" s="38"/>
      <c r="AG298" s="37"/>
      <c r="AH298" s="37"/>
      <c r="AI298" s="37"/>
      <c r="AJ298" s="37"/>
      <c r="AK298" s="37"/>
      <c r="AL298" s="37"/>
      <c r="AM298" s="38"/>
      <c r="AN298" s="37"/>
      <c r="AO298" s="37"/>
      <c r="AP298" s="37"/>
      <c r="AQ298" s="37"/>
      <c r="AR298" s="37"/>
      <c r="AS298" s="37"/>
      <c r="AT298" s="37"/>
      <c r="AU298" s="38"/>
      <c r="AV298" s="38"/>
      <c r="AW298" s="38"/>
      <c r="AX298" s="37"/>
      <c r="AY298" s="37"/>
      <c r="AZ298" s="37"/>
      <c r="BA298" s="37"/>
      <c r="BB298" s="37"/>
      <c r="BC298" s="37"/>
      <c r="BD298" s="38"/>
      <c r="BE298" s="37"/>
      <c r="BF298" s="37"/>
      <c r="BG298" s="37"/>
      <c r="BH298" s="37"/>
      <c r="BI298" s="37"/>
      <c r="BJ298" s="37"/>
      <c r="BK298" s="37"/>
      <c r="BL298" s="37"/>
    </row>
    <row r="299" ht="15.75" customHeight="1">
      <c r="A299" s="37"/>
      <c r="B299" s="37"/>
      <c r="C299" s="38"/>
      <c r="D299" s="37"/>
      <c r="E299" s="37"/>
      <c r="F299" s="37"/>
      <c r="G299" s="37"/>
      <c r="H299" s="37"/>
      <c r="I299" s="37"/>
      <c r="J299" s="38"/>
      <c r="K299" s="38"/>
      <c r="L299" s="37"/>
      <c r="M299" s="37"/>
      <c r="N299" s="37"/>
      <c r="O299" s="37"/>
      <c r="P299" s="37"/>
      <c r="Q299" s="37"/>
      <c r="R299" s="38"/>
      <c r="S299" s="37"/>
      <c r="T299" s="37"/>
      <c r="U299" s="37"/>
      <c r="V299" s="37"/>
      <c r="W299" s="37"/>
      <c r="X299" s="37"/>
      <c r="Y299" s="38"/>
      <c r="Z299" s="37"/>
      <c r="AA299" s="37"/>
      <c r="AB299" s="37"/>
      <c r="AC299" s="37"/>
      <c r="AD299" s="37"/>
      <c r="AE299" s="37"/>
      <c r="AF299" s="38"/>
      <c r="AG299" s="37"/>
      <c r="AH299" s="37"/>
      <c r="AI299" s="37"/>
      <c r="AJ299" s="37"/>
      <c r="AK299" s="37"/>
      <c r="AL299" s="37"/>
      <c r="AM299" s="38"/>
      <c r="AN299" s="37"/>
      <c r="AO299" s="37"/>
      <c r="AP299" s="37"/>
      <c r="AQ299" s="37"/>
      <c r="AR299" s="37"/>
      <c r="AS299" s="37"/>
      <c r="AT299" s="37"/>
      <c r="AU299" s="38"/>
      <c r="AV299" s="38"/>
      <c r="AW299" s="38"/>
      <c r="AX299" s="37"/>
      <c r="AY299" s="37"/>
      <c r="AZ299" s="37"/>
      <c r="BA299" s="37"/>
      <c r="BB299" s="37"/>
      <c r="BC299" s="37"/>
      <c r="BD299" s="38"/>
      <c r="BE299" s="37"/>
      <c r="BF299" s="37"/>
      <c r="BG299" s="37"/>
      <c r="BH299" s="37"/>
      <c r="BI299" s="37"/>
      <c r="BJ299" s="37"/>
      <c r="BK299" s="37"/>
      <c r="BL299" s="37"/>
    </row>
    <row r="300" ht="15.75" customHeight="1">
      <c r="A300" s="37"/>
      <c r="B300" s="37"/>
      <c r="C300" s="38"/>
      <c r="D300" s="37"/>
      <c r="E300" s="37"/>
      <c r="F300" s="37"/>
      <c r="G300" s="37"/>
      <c r="H300" s="37"/>
      <c r="I300" s="37"/>
      <c r="J300" s="38"/>
      <c r="K300" s="38"/>
      <c r="L300" s="37"/>
      <c r="M300" s="37"/>
      <c r="N300" s="37"/>
      <c r="O300" s="37"/>
      <c r="P300" s="37"/>
      <c r="Q300" s="37"/>
      <c r="R300" s="38"/>
      <c r="S300" s="37"/>
      <c r="T300" s="37"/>
      <c r="U300" s="37"/>
      <c r="V300" s="37"/>
      <c r="W300" s="37"/>
      <c r="X300" s="37"/>
      <c r="Y300" s="38"/>
      <c r="Z300" s="37"/>
      <c r="AA300" s="37"/>
      <c r="AB300" s="37"/>
      <c r="AC300" s="37"/>
      <c r="AD300" s="37"/>
      <c r="AE300" s="37"/>
      <c r="AF300" s="38"/>
      <c r="AG300" s="37"/>
      <c r="AH300" s="37"/>
      <c r="AI300" s="37"/>
      <c r="AJ300" s="37"/>
      <c r="AK300" s="37"/>
      <c r="AL300" s="37"/>
      <c r="AM300" s="38"/>
      <c r="AN300" s="37"/>
      <c r="AO300" s="37"/>
      <c r="AP300" s="37"/>
      <c r="AQ300" s="37"/>
      <c r="AR300" s="37"/>
      <c r="AS300" s="37"/>
      <c r="AT300" s="37"/>
      <c r="AU300" s="38"/>
      <c r="AV300" s="38"/>
      <c r="AW300" s="38"/>
      <c r="AX300" s="37"/>
      <c r="AY300" s="37"/>
      <c r="AZ300" s="37"/>
      <c r="BA300" s="37"/>
      <c r="BB300" s="37"/>
      <c r="BC300" s="37"/>
      <c r="BD300" s="38"/>
      <c r="BE300" s="37"/>
      <c r="BF300" s="37"/>
      <c r="BG300" s="37"/>
      <c r="BH300" s="37"/>
      <c r="BI300" s="37"/>
      <c r="BJ300" s="37"/>
      <c r="BK300" s="37"/>
      <c r="BL300" s="37"/>
    </row>
    <row r="301" ht="15.75" customHeight="1">
      <c r="A301" s="37"/>
      <c r="B301" s="37"/>
      <c r="C301" s="38"/>
      <c r="D301" s="37"/>
      <c r="E301" s="37"/>
      <c r="F301" s="37"/>
      <c r="G301" s="37"/>
      <c r="H301" s="37"/>
      <c r="I301" s="37"/>
      <c r="J301" s="38"/>
      <c r="K301" s="38"/>
      <c r="L301" s="37"/>
      <c r="M301" s="37"/>
      <c r="N301" s="37"/>
      <c r="O301" s="37"/>
      <c r="P301" s="37"/>
      <c r="Q301" s="37"/>
      <c r="R301" s="38"/>
      <c r="S301" s="37"/>
      <c r="T301" s="37"/>
      <c r="U301" s="37"/>
      <c r="V301" s="37"/>
      <c r="W301" s="37"/>
      <c r="X301" s="37"/>
      <c r="Y301" s="38"/>
      <c r="Z301" s="37"/>
      <c r="AA301" s="37"/>
      <c r="AB301" s="37"/>
      <c r="AC301" s="37"/>
      <c r="AD301" s="37"/>
      <c r="AE301" s="37"/>
      <c r="AF301" s="38"/>
      <c r="AG301" s="37"/>
      <c r="AH301" s="37"/>
      <c r="AI301" s="37"/>
      <c r="AJ301" s="37"/>
      <c r="AK301" s="37"/>
      <c r="AL301" s="37"/>
      <c r="AM301" s="38"/>
      <c r="AN301" s="37"/>
      <c r="AO301" s="37"/>
      <c r="AP301" s="37"/>
      <c r="AQ301" s="37"/>
      <c r="AR301" s="37"/>
      <c r="AS301" s="37"/>
      <c r="AT301" s="37"/>
      <c r="AU301" s="38"/>
      <c r="AV301" s="38"/>
      <c r="AW301" s="38"/>
      <c r="AX301" s="37"/>
      <c r="AY301" s="37"/>
      <c r="AZ301" s="37"/>
      <c r="BA301" s="37"/>
      <c r="BB301" s="37"/>
      <c r="BC301" s="37"/>
      <c r="BD301" s="38"/>
      <c r="BE301" s="37"/>
      <c r="BF301" s="37"/>
      <c r="BG301" s="37"/>
      <c r="BH301" s="37"/>
      <c r="BI301" s="37"/>
      <c r="BJ301" s="37"/>
      <c r="BK301" s="37"/>
      <c r="BL301" s="37"/>
    </row>
    <row r="302" ht="15.75" customHeight="1">
      <c r="A302" s="37"/>
      <c r="B302" s="37"/>
      <c r="C302" s="38"/>
      <c r="D302" s="37"/>
      <c r="E302" s="37"/>
      <c r="F302" s="37"/>
      <c r="G302" s="37"/>
      <c r="H302" s="37"/>
      <c r="I302" s="37"/>
      <c r="J302" s="38"/>
      <c r="K302" s="38"/>
      <c r="L302" s="37"/>
      <c r="M302" s="37"/>
      <c r="N302" s="37"/>
      <c r="O302" s="37"/>
      <c r="P302" s="37"/>
      <c r="Q302" s="37"/>
      <c r="R302" s="38"/>
      <c r="S302" s="37"/>
      <c r="T302" s="37"/>
      <c r="U302" s="37"/>
      <c r="V302" s="37"/>
      <c r="W302" s="37"/>
      <c r="X302" s="37"/>
      <c r="Y302" s="38"/>
      <c r="Z302" s="37"/>
      <c r="AA302" s="37"/>
      <c r="AB302" s="37"/>
      <c r="AC302" s="37"/>
      <c r="AD302" s="37"/>
      <c r="AE302" s="37"/>
      <c r="AF302" s="38"/>
      <c r="AG302" s="37"/>
      <c r="AH302" s="37"/>
      <c r="AI302" s="37"/>
      <c r="AJ302" s="37"/>
      <c r="AK302" s="37"/>
      <c r="AL302" s="37"/>
      <c r="AM302" s="38"/>
      <c r="AN302" s="37"/>
      <c r="AO302" s="37"/>
      <c r="AP302" s="37"/>
      <c r="AQ302" s="37"/>
      <c r="AR302" s="37"/>
      <c r="AS302" s="37"/>
      <c r="AT302" s="37"/>
      <c r="AU302" s="38"/>
      <c r="AV302" s="38"/>
      <c r="AW302" s="38"/>
      <c r="AX302" s="37"/>
      <c r="AY302" s="37"/>
      <c r="AZ302" s="37"/>
      <c r="BA302" s="37"/>
      <c r="BB302" s="37"/>
      <c r="BC302" s="37"/>
      <c r="BD302" s="38"/>
      <c r="BE302" s="37"/>
      <c r="BF302" s="37"/>
      <c r="BG302" s="37"/>
      <c r="BH302" s="37"/>
      <c r="BI302" s="37"/>
      <c r="BJ302" s="37"/>
      <c r="BK302" s="37"/>
      <c r="BL302" s="37"/>
    </row>
    <row r="303" ht="15.75" customHeight="1">
      <c r="A303" s="37"/>
      <c r="B303" s="37"/>
      <c r="C303" s="38"/>
      <c r="D303" s="37"/>
      <c r="E303" s="37"/>
      <c r="F303" s="37"/>
      <c r="G303" s="37"/>
      <c r="H303" s="37"/>
      <c r="I303" s="37"/>
      <c r="J303" s="38"/>
      <c r="K303" s="38"/>
      <c r="L303" s="37"/>
      <c r="M303" s="37"/>
      <c r="N303" s="37"/>
      <c r="O303" s="37"/>
      <c r="P303" s="37"/>
      <c r="Q303" s="37"/>
      <c r="R303" s="38"/>
      <c r="S303" s="37"/>
      <c r="T303" s="37"/>
      <c r="U303" s="37"/>
      <c r="V303" s="37"/>
      <c r="W303" s="37"/>
      <c r="X303" s="37"/>
      <c r="Y303" s="38"/>
      <c r="Z303" s="37"/>
      <c r="AA303" s="37"/>
      <c r="AB303" s="37"/>
      <c r="AC303" s="37"/>
      <c r="AD303" s="37"/>
      <c r="AE303" s="37"/>
      <c r="AF303" s="38"/>
      <c r="AG303" s="37"/>
      <c r="AH303" s="37"/>
      <c r="AI303" s="37"/>
      <c r="AJ303" s="37"/>
      <c r="AK303" s="37"/>
      <c r="AL303" s="37"/>
      <c r="AM303" s="38"/>
      <c r="AN303" s="37"/>
      <c r="AO303" s="37"/>
      <c r="AP303" s="37"/>
      <c r="AQ303" s="37"/>
      <c r="AR303" s="37"/>
      <c r="AS303" s="37"/>
      <c r="AT303" s="37"/>
      <c r="AU303" s="38"/>
      <c r="AV303" s="38"/>
      <c r="AW303" s="38"/>
      <c r="AX303" s="37"/>
      <c r="AY303" s="37"/>
      <c r="AZ303" s="37"/>
      <c r="BA303" s="37"/>
      <c r="BB303" s="37"/>
      <c r="BC303" s="37"/>
      <c r="BD303" s="38"/>
      <c r="BE303" s="37"/>
      <c r="BF303" s="37"/>
      <c r="BG303" s="37"/>
      <c r="BH303" s="37"/>
      <c r="BI303" s="37"/>
      <c r="BJ303" s="37"/>
      <c r="BK303" s="37"/>
      <c r="BL303" s="37"/>
    </row>
    <row r="304" ht="15.75" customHeight="1">
      <c r="A304" s="37"/>
      <c r="B304" s="37"/>
      <c r="C304" s="38"/>
      <c r="D304" s="37"/>
      <c r="E304" s="37"/>
      <c r="F304" s="37"/>
      <c r="G304" s="37"/>
      <c r="H304" s="37"/>
      <c r="I304" s="37"/>
      <c r="J304" s="38"/>
      <c r="K304" s="38"/>
      <c r="L304" s="37"/>
      <c r="M304" s="37"/>
      <c r="N304" s="37"/>
      <c r="O304" s="37"/>
      <c r="P304" s="37"/>
      <c r="Q304" s="37"/>
      <c r="R304" s="38"/>
      <c r="S304" s="37"/>
      <c r="T304" s="37"/>
      <c r="U304" s="37"/>
      <c r="V304" s="37"/>
      <c r="W304" s="37"/>
      <c r="X304" s="37"/>
      <c r="Y304" s="38"/>
      <c r="Z304" s="37"/>
      <c r="AA304" s="37"/>
      <c r="AB304" s="37"/>
      <c r="AC304" s="37"/>
      <c r="AD304" s="37"/>
      <c r="AE304" s="37"/>
      <c r="AF304" s="38"/>
      <c r="AG304" s="37"/>
      <c r="AH304" s="37"/>
      <c r="AI304" s="37"/>
      <c r="AJ304" s="37"/>
      <c r="AK304" s="37"/>
      <c r="AL304" s="37"/>
      <c r="AM304" s="38"/>
      <c r="AN304" s="37"/>
      <c r="AO304" s="37"/>
      <c r="AP304" s="37"/>
      <c r="AQ304" s="37"/>
      <c r="AR304" s="37"/>
      <c r="AS304" s="37"/>
      <c r="AT304" s="37"/>
      <c r="AU304" s="38"/>
      <c r="AV304" s="38"/>
      <c r="AW304" s="38"/>
      <c r="AX304" s="37"/>
      <c r="AY304" s="37"/>
      <c r="AZ304" s="37"/>
      <c r="BA304" s="37"/>
      <c r="BB304" s="37"/>
      <c r="BC304" s="37"/>
      <c r="BD304" s="38"/>
      <c r="BE304" s="37"/>
      <c r="BF304" s="37"/>
      <c r="BG304" s="37"/>
      <c r="BH304" s="37"/>
      <c r="BI304" s="37"/>
      <c r="BJ304" s="37"/>
      <c r="BK304" s="37"/>
      <c r="BL304" s="37"/>
    </row>
    <row r="305" ht="15.75" customHeight="1">
      <c r="A305" s="37"/>
      <c r="B305" s="37"/>
      <c r="C305" s="38"/>
      <c r="D305" s="37"/>
      <c r="E305" s="37"/>
      <c r="F305" s="37"/>
      <c r="G305" s="37"/>
      <c r="H305" s="37"/>
      <c r="I305" s="37"/>
      <c r="J305" s="38"/>
      <c r="K305" s="38"/>
      <c r="L305" s="37"/>
      <c r="M305" s="37"/>
      <c r="N305" s="37"/>
      <c r="O305" s="37"/>
      <c r="P305" s="37"/>
      <c r="Q305" s="37"/>
      <c r="R305" s="38"/>
      <c r="S305" s="37"/>
      <c r="T305" s="37"/>
      <c r="U305" s="37"/>
      <c r="V305" s="37"/>
      <c r="W305" s="37"/>
      <c r="X305" s="37"/>
      <c r="Y305" s="38"/>
      <c r="Z305" s="37"/>
      <c r="AA305" s="37"/>
      <c r="AB305" s="37"/>
      <c r="AC305" s="37"/>
      <c r="AD305" s="37"/>
      <c r="AE305" s="37"/>
      <c r="AF305" s="38"/>
      <c r="AG305" s="37"/>
      <c r="AH305" s="37"/>
      <c r="AI305" s="37"/>
      <c r="AJ305" s="37"/>
      <c r="AK305" s="37"/>
      <c r="AL305" s="37"/>
      <c r="AM305" s="38"/>
      <c r="AN305" s="37"/>
      <c r="AO305" s="37"/>
      <c r="AP305" s="37"/>
      <c r="AQ305" s="37"/>
      <c r="AR305" s="37"/>
      <c r="AS305" s="37"/>
      <c r="AT305" s="37"/>
      <c r="AU305" s="38"/>
      <c r="AV305" s="38"/>
      <c r="AW305" s="38"/>
      <c r="AX305" s="37"/>
      <c r="AY305" s="37"/>
      <c r="AZ305" s="37"/>
      <c r="BA305" s="37"/>
      <c r="BB305" s="37"/>
      <c r="BC305" s="37"/>
      <c r="BD305" s="38"/>
      <c r="BE305" s="37"/>
      <c r="BF305" s="37"/>
      <c r="BG305" s="37"/>
      <c r="BH305" s="37"/>
      <c r="BI305" s="37"/>
      <c r="BJ305" s="37"/>
      <c r="BK305" s="37"/>
      <c r="BL305" s="37"/>
    </row>
    <row r="306" ht="15.75" customHeight="1">
      <c r="A306" s="37"/>
      <c r="B306" s="37"/>
      <c r="C306" s="38"/>
      <c r="D306" s="37"/>
      <c r="E306" s="37"/>
      <c r="F306" s="37"/>
      <c r="G306" s="37"/>
      <c r="H306" s="37"/>
      <c r="I306" s="37"/>
      <c r="J306" s="38"/>
      <c r="K306" s="38"/>
      <c r="L306" s="37"/>
      <c r="M306" s="37"/>
      <c r="N306" s="37"/>
      <c r="O306" s="37"/>
      <c r="P306" s="37"/>
      <c r="Q306" s="37"/>
      <c r="R306" s="38"/>
      <c r="S306" s="37"/>
      <c r="T306" s="37"/>
      <c r="U306" s="37"/>
      <c r="V306" s="37"/>
      <c r="W306" s="37"/>
      <c r="X306" s="37"/>
      <c r="Y306" s="38"/>
      <c r="Z306" s="37"/>
      <c r="AA306" s="37"/>
      <c r="AB306" s="37"/>
      <c r="AC306" s="37"/>
      <c r="AD306" s="37"/>
      <c r="AE306" s="37"/>
      <c r="AF306" s="38"/>
      <c r="AG306" s="37"/>
      <c r="AH306" s="37"/>
      <c r="AI306" s="37"/>
      <c r="AJ306" s="37"/>
      <c r="AK306" s="37"/>
      <c r="AL306" s="37"/>
      <c r="AM306" s="38"/>
      <c r="AN306" s="37"/>
      <c r="AO306" s="37"/>
      <c r="AP306" s="37"/>
      <c r="AQ306" s="37"/>
      <c r="AR306" s="37"/>
      <c r="AS306" s="37"/>
      <c r="AT306" s="37"/>
      <c r="AU306" s="38"/>
      <c r="AV306" s="38"/>
      <c r="AW306" s="38"/>
      <c r="AX306" s="37"/>
      <c r="AY306" s="37"/>
      <c r="AZ306" s="37"/>
      <c r="BA306" s="37"/>
      <c r="BB306" s="37"/>
      <c r="BC306" s="37"/>
      <c r="BD306" s="38"/>
      <c r="BE306" s="37"/>
      <c r="BF306" s="37"/>
      <c r="BG306" s="37"/>
      <c r="BH306" s="37"/>
      <c r="BI306" s="37"/>
      <c r="BJ306" s="37"/>
      <c r="BK306" s="37"/>
      <c r="BL306" s="37"/>
    </row>
    <row r="307" ht="15.75" customHeight="1">
      <c r="A307" s="37"/>
      <c r="B307" s="37"/>
      <c r="C307" s="38"/>
      <c r="D307" s="37"/>
      <c r="E307" s="37"/>
      <c r="F307" s="37"/>
      <c r="G307" s="37"/>
      <c r="H307" s="37"/>
      <c r="I307" s="37"/>
      <c r="J307" s="38"/>
      <c r="K307" s="38"/>
      <c r="L307" s="37"/>
      <c r="M307" s="37"/>
      <c r="N307" s="37"/>
      <c r="O307" s="37"/>
      <c r="P307" s="37"/>
      <c r="Q307" s="37"/>
      <c r="R307" s="38"/>
      <c r="S307" s="37"/>
      <c r="T307" s="37"/>
      <c r="U307" s="37"/>
      <c r="V307" s="37"/>
      <c r="W307" s="37"/>
      <c r="X307" s="37"/>
      <c r="Y307" s="38"/>
      <c r="Z307" s="37"/>
      <c r="AA307" s="37"/>
      <c r="AB307" s="37"/>
      <c r="AC307" s="37"/>
      <c r="AD307" s="37"/>
      <c r="AE307" s="37"/>
      <c r="AF307" s="38"/>
      <c r="AG307" s="37"/>
      <c r="AH307" s="37"/>
      <c r="AI307" s="37"/>
      <c r="AJ307" s="37"/>
      <c r="AK307" s="37"/>
      <c r="AL307" s="37"/>
      <c r="AM307" s="38"/>
      <c r="AN307" s="37"/>
      <c r="AO307" s="37"/>
      <c r="AP307" s="37"/>
      <c r="AQ307" s="37"/>
      <c r="AR307" s="37"/>
      <c r="AS307" s="37"/>
      <c r="AT307" s="37"/>
      <c r="AU307" s="38"/>
      <c r="AV307" s="38"/>
      <c r="AW307" s="38"/>
      <c r="AX307" s="37"/>
      <c r="AY307" s="37"/>
      <c r="AZ307" s="37"/>
      <c r="BA307" s="37"/>
      <c r="BB307" s="37"/>
      <c r="BC307" s="37"/>
      <c r="BD307" s="38"/>
      <c r="BE307" s="37"/>
      <c r="BF307" s="37"/>
      <c r="BG307" s="37"/>
      <c r="BH307" s="37"/>
      <c r="BI307" s="37"/>
      <c r="BJ307" s="37"/>
      <c r="BK307" s="37"/>
      <c r="BL307" s="37"/>
    </row>
    <row r="308" ht="15.75" customHeight="1">
      <c r="A308" s="37"/>
      <c r="B308" s="37"/>
      <c r="C308" s="38"/>
      <c r="D308" s="37"/>
      <c r="E308" s="37"/>
      <c r="F308" s="37"/>
      <c r="G308" s="37"/>
      <c r="H308" s="37"/>
      <c r="I308" s="37"/>
      <c r="J308" s="38"/>
      <c r="K308" s="38"/>
      <c r="L308" s="37"/>
      <c r="M308" s="37"/>
      <c r="N308" s="37"/>
      <c r="O308" s="37"/>
      <c r="P308" s="37"/>
      <c r="Q308" s="37"/>
      <c r="R308" s="38"/>
      <c r="S308" s="37"/>
      <c r="T308" s="37"/>
      <c r="U308" s="37"/>
      <c r="V308" s="37"/>
      <c r="W308" s="37"/>
      <c r="X308" s="37"/>
      <c r="Y308" s="38"/>
      <c r="Z308" s="37"/>
      <c r="AA308" s="37"/>
      <c r="AB308" s="37"/>
      <c r="AC308" s="37"/>
      <c r="AD308" s="37"/>
      <c r="AE308" s="37"/>
      <c r="AF308" s="38"/>
      <c r="AG308" s="37"/>
      <c r="AH308" s="37"/>
      <c r="AI308" s="37"/>
      <c r="AJ308" s="37"/>
      <c r="AK308" s="37"/>
      <c r="AL308" s="37"/>
      <c r="AM308" s="38"/>
      <c r="AN308" s="37"/>
      <c r="AO308" s="37"/>
      <c r="AP308" s="37"/>
      <c r="AQ308" s="37"/>
      <c r="AR308" s="37"/>
      <c r="AS308" s="37"/>
      <c r="AT308" s="37"/>
      <c r="AU308" s="38"/>
      <c r="AV308" s="38"/>
      <c r="AW308" s="38"/>
      <c r="AX308" s="37"/>
      <c r="AY308" s="37"/>
      <c r="AZ308" s="37"/>
      <c r="BA308" s="37"/>
      <c r="BB308" s="37"/>
      <c r="BC308" s="37"/>
      <c r="BD308" s="38"/>
      <c r="BE308" s="37"/>
      <c r="BF308" s="37"/>
      <c r="BG308" s="37"/>
      <c r="BH308" s="37"/>
      <c r="BI308" s="37"/>
      <c r="BJ308" s="37"/>
      <c r="BK308" s="37"/>
      <c r="BL308" s="37"/>
    </row>
    <row r="309" ht="15.75" customHeight="1">
      <c r="A309" s="37"/>
      <c r="B309" s="37"/>
      <c r="C309" s="38"/>
      <c r="D309" s="37"/>
      <c r="E309" s="37"/>
      <c r="F309" s="37"/>
      <c r="G309" s="37"/>
      <c r="H309" s="37"/>
      <c r="I309" s="37"/>
      <c r="J309" s="38"/>
      <c r="K309" s="38"/>
      <c r="L309" s="37"/>
      <c r="M309" s="37"/>
      <c r="N309" s="37"/>
      <c r="O309" s="37"/>
      <c r="P309" s="37"/>
      <c r="Q309" s="37"/>
      <c r="R309" s="38"/>
      <c r="S309" s="37"/>
      <c r="T309" s="37"/>
      <c r="U309" s="37"/>
      <c r="V309" s="37"/>
      <c r="W309" s="37"/>
      <c r="X309" s="37"/>
      <c r="Y309" s="38"/>
      <c r="Z309" s="37"/>
      <c r="AA309" s="37"/>
      <c r="AB309" s="37"/>
      <c r="AC309" s="37"/>
      <c r="AD309" s="37"/>
      <c r="AE309" s="37"/>
      <c r="AF309" s="38"/>
      <c r="AG309" s="37"/>
      <c r="AH309" s="37"/>
      <c r="AI309" s="37"/>
      <c r="AJ309" s="37"/>
      <c r="AK309" s="37"/>
      <c r="AL309" s="37"/>
      <c r="AM309" s="38"/>
      <c r="AN309" s="37"/>
      <c r="AO309" s="37"/>
      <c r="AP309" s="37"/>
      <c r="AQ309" s="37"/>
      <c r="AR309" s="37"/>
      <c r="AS309" s="37"/>
      <c r="AT309" s="37"/>
      <c r="AU309" s="38"/>
      <c r="AV309" s="38"/>
      <c r="AW309" s="38"/>
      <c r="AX309" s="37"/>
      <c r="AY309" s="37"/>
      <c r="AZ309" s="37"/>
      <c r="BA309" s="37"/>
      <c r="BB309" s="37"/>
      <c r="BC309" s="37"/>
      <c r="BD309" s="38"/>
      <c r="BE309" s="37"/>
      <c r="BF309" s="37"/>
      <c r="BG309" s="37"/>
      <c r="BH309" s="37"/>
      <c r="BI309" s="37"/>
      <c r="BJ309" s="37"/>
      <c r="BK309" s="37"/>
      <c r="BL309" s="37"/>
    </row>
    <row r="310" ht="15.75" customHeight="1">
      <c r="A310" s="37"/>
      <c r="B310" s="37"/>
      <c r="C310" s="38"/>
      <c r="D310" s="37"/>
      <c r="E310" s="37"/>
      <c r="F310" s="37"/>
      <c r="G310" s="37"/>
      <c r="H310" s="37"/>
      <c r="I310" s="37"/>
      <c r="J310" s="38"/>
      <c r="K310" s="38"/>
      <c r="L310" s="37"/>
      <c r="M310" s="37"/>
      <c r="N310" s="37"/>
      <c r="O310" s="37"/>
      <c r="P310" s="37"/>
      <c r="Q310" s="37"/>
      <c r="R310" s="38"/>
      <c r="S310" s="37"/>
      <c r="T310" s="37"/>
      <c r="U310" s="37"/>
      <c r="V310" s="37"/>
      <c r="W310" s="37"/>
      <c r="X310" s="37"/>
      <c r="Y310" s="38"/>
      <c r="Z310" s="37"/>
      <c r="AA310" s="37"/>
      <c r="AB310" s="37"/>
      <c r="AC310" s="37"/>
      <c r="AD310" s="37"/>
      <c r="AE310" s="37"/>
      <c r="AF310" s="38"/>
      <c r="AG310" s="37"/>
      <c r="AH310" s="37"/>
      <c r="AI310" s="37"/>
      <c r="AJ310" s="37"/>
      <c r="AK310" s="37"/>
      <c r="AL310" s="37"/>
      <c r="AM310" s="38"/>
      <c r="AN310" s="37"/>
      <c r="AO310" s="37"/>
      <c r="AP310" s="37"/>
      <c r="AQ310" s="37"/>
      <c r="AR310" s="37"/>
      <c r="AS310" s="37"/>
      <c r="AT310" s="37"/>
      <c r="AU310" s="38"/>
      <c r="AV310" s="38"/>
      <c r="AW310" s="38"/>
      <c r="AX310" s="37"/>
      <c r="AY310" s="37"/>
      <c r="AZ310" s="37"/>
      <c r="BA310" s="37"/>
      <c r="BB310" s="37"/>
      <c r="BC310" s="37"/>
      <c r="BD310" s="38"/>
      <c r="BE310" s="37"/>
      <c r="BF310" s="37"/>
      <c r="BG310" s="37"/>
      <c r="BH310" s="37"/>
      <c r="BI310" s="37"/>
      <c r="BJ310" s="37"/>
      <c r="BK310" s="37"/>
      <c r="BL310" s="37"/>
    </row>
    <row r="311" ht="15.75" customHeight="1">
      <c r="A311" s="37"/>
      <c r="B311" s="37"/>
      <c r="C311" s="38"/>
      <c r="D311" s="37"/>
      <c r="E311" s="37"/>
      <c r="F311" s="37"/>
      <c r="G311" s="37"/>
      <c r="H311" s="37"/>
      <c r="I311" s="37"/>
      <c r="J311" s="38"/>
      <c r="K311" s="38"/>
      <c r="L311" s="37"/>
      <c r="M311" s="37"/>
      <c r="N311" s="37"/>
      <c r="O311" s="37"/>
      <c r="P311" s="37"/>
      <c r="Q311" s="37"/>
      <c r="R311" s="38"/>
      <c r="S311" s="37"/>
      <c r="T311" s="37"/>
      <c r="U311" s="37"/>
      <c r="V311" s="37"/>
      <c r="W311" s="37"/>
      <c r="X311" s="37"/>
      <c r="Y311" s="38"/>
      <c r="Z311" s="37"/>
      <c r="AA311" s="37"/>
      <c r="AB311" s="37"/>
      <c r="AC311" s="37"/>
      <c r="AD311" s="37"/>
      <c r="AE311" s="37"/>
      <c r="AF311" s="38"/>
      <c r="AG311" s="37"/>
      <c r="AH311" s="37"/>
      <c r="AI311" s="37"/>
      <c r="AJ311" s="37"/>
      <c r="AK311" s="37"/>
      <c r="AL311" s="37"/>
      <c r="AM311" s="38"/>
      <c r="AN311" s="37"/>
      <c r="AO311" s="37"/>
      <c r="AP311" s="37"/>
      <c r="AQ311" s="37"/>
      <c r="AR311" s="37"/>
      <c r="AS311" s="37"/>
      <c r="AT311" s="37"/>
      <c r="AU311" s="38"/>
      <c r="AV311" s="38"/>
      <c r="AW311" s="38"/>
      <c r="AX311" s="37"/>
      <c r="AY311" s="37"/>
      <c r="AZ311" s="37"/>
      <c r="BA311" s="37"/>
      <c r="BB311" s="37"/>
      <c r="BC311" s="37"/>
      <c r="BD311" s="38"/>
      <c r="BE311" s="37"/>
      <c r="BF311" s="37"/>
      <c r="BG311" s="37"/>
      <c r="BH311" s="37"/>
      <c r="BI311" s="37"/>
      <c r="BJ311" s="37"/>
      <c r="BK311" s="37"/>
      <c r="BL311" s="37"/>
    </row>
    <row r="312" ht="15.75" customHeight="1">
      <c r="A312" s="37"/>
      <c r="B312" s="37"/>
      <c r="C312" s="38"/>
      <c r="D312" s="37"/>
      <c r="E312" s="37"/>
      <c r="F312" s="37"/>
      <c r="G312" s="37"/>
      <c r="H312" s="37"/>
      <c r="I312" s="37"/>
      <c r="J312" s="38"/>
      <c r="K312" s="38"/>
      <c r="L312" s="37"/>
      <c r="M312" s="37"/>
      <c r="N312" s="37"/>
      <c r="O312" s="37"/>
      <c r="P312" s="37"/>
      <c r="Q312" s="37"/>
      <c r="R312" s="38"/>
      <c r="S312" s="37"/>
      <c r="T312" s="37"/>
      <c r="U312" s="37"/>
      <c r="V312" s="37"/>
      <c r="W312" s="37"/>
      <c r="X312" s="37"/>
      <c r="Y312" s="38"/>
      <c r="Z312" s="37"/>
      <c r="AA312" s="37"/>
      <c r="AB312" s="37"/>
      <c r="AC312" s="37"/>
      <c r="AD312" s="37"/>
      <c r="AE312" s="37"/>
      <c r="AF312" s="38"/>
      <c r="AG312" s="37"/>
      <c r="AH312" s="37"/>
      <c r="AI312" s="37"/>
      <c r="AJ312" s="37"/>
      <c r="AK312" s="37"/>
      <c r="AL312" s="37"/>
      <c r="AM312" s="38"/>
      <c r="AN312" s="37"/>
      <c r="AO312" s="37"/>
      <c r="AP312" s="37"/>
      <c r="AQ312" s="37"/>
      <c r="AR312" s="37"/>
      <c r="AS312" s="37"/>
      <c r="AT312" s="37"/>
      <c r="AU312" s="38"/>
      <c r="AV312" s="38"/>
      <c r="AW312" s="38"/>
      <c r="AX312" s="37"/>
      <c r="AY312" s="37"/>
      <c r="AZ312" s="37"/>
      <c r="BA312" s="37"/>
      <c r="BB312" s="37"/>
      <c r="BC312" s="37"/>
      <c r="BD312" s="38"/>
      <c r="BE312" s="37"/>
      <c r="BF312" s="37"/>
      <c r="BG312" s="37"/>
      <c r="BH312" s="37"/>
      <c r="BI312" s="37"/>
      <c r="BJ312" s="37"/>
      <c r="BK312" s="37"/>
      <c r="BL312" s="37"/>
    </row>
    <row r="313" ht="15.75" customHeight="1">
      <c r="A313" s="37"/>
      <c r="B313" s="37"/>
      <c r="C313" s="38"/>
      <c r="D313" s="37"/>
      <c r="E313" s="37"/>
      <c r="F313" s="37"/>
      <c r="G313" s="37"/>
      <c r="H313" s="37"/>
      <c r="I313" s="37"/>
      <c r="J313" s="38"/>
      <c r="K313" s="38"/>
      <c r="L313" s="37"/>
      <c r="M313" s="37"/>
      <c r="N313" s="37"/>
      <c r="O313" s="37"/>
      <c r="P313" s="37"/>
      <c r="Q313" s="37"/>
      <c r="R313" s="38"/>
      <c r="S313" s="37"/>
      <c r="T313" s="37"/>
      <c r="U313" s="37"/>
      <c r="V313" s="37"/>
      <c r="W313" s="37"/>
      <c r="X313" s="37"/>
      <c r="Y313" s="38"/>
      <c r="Z313" s="37"/>
      <c r="AA313" s="37"/>
      <c r="AB313" s="37"/>
      <c r="AC313" s="37"/>
      <c r="AD313" s="37"/>
      <c r="AE313" s="37"/>
      <c r="AF313" s="38"/>
      <c r="AG313" s="37"/>
      <c r="AH313" s="37"/>
      <c r="AI313" s="37"/>
      <c r="AJ313" s="37"/>
      <c r="AK313" s="37"/>
      <c r="AL313" s="37"/>
      <c r="AM313" s="38"/>
      <c r="AN313" s="37"/>
      <c r="AO313" s="37"/>
      <c r="AP313" s="37"/>
      <c r="AQ313" s="37"/>
      <c r="AR313" s="37"/>
      <c r="AS313" s="37"/>
      <c r="AT313" s="37"/>
      <c r="AU313" s="38"/>
      <c r="AV313" s="38"/>
      <c r="AW313" s="38"/>
      <c r="AX313" s="37"/>
      <c r="AY313" s="37"/>
      <c r="AZ313" s="37"/>
      <c r="BA313" s="37"/>
      <c r="BB313" s="37"/>
      <c r="BC313" s="37"/>
      <c r="BD313" s="38"/>
      <c r="BE313" s="37"/>
      <c r="BF313" s="37"/>
      <c r="BG313" s="37"/>
      <c r="BH313" s="37"/>
      <c r="BI313" s="37"/>
      <c r="BJ313" s="37"/>
      <c r="BK313" s="37"/>
      <c r="BL313" s="37"/>
    </row>
    <row r="314" ht="15.75" customHeight="1">
      <c r="A314" s="37"/>
      <c r="B314" s="37"/>
      <c r="C314" s="38"/>
      <c r="D314" s="37"/>
      <c r="E314" s="37"/>
      <c r="F314" s="37"/>
      <c r="G314" s="37"/>
      <c r="H314" s="37"/>
      <c r="I314" s="37"/>
      <c r="J314" s="38"/>
      <c r="K314" s="38"/>
      <c r="L314" s="37"/>
      <c r="M314" s="37"/>
      <c r="N314" s="37"/>
      <c r="O314" s="37"/>
      <c r="P314" s="37"/>
      <c r="Q314" s="37"/>
      <c r="R314" s="38"/>
      <c r="S314" s="37"/>
      <c r="T314" s="37"/>
      <c r="U314" s="37"/>
      <c r="V314" s="37"/>
      <c r="W314" s="37"/>
      <c r="X314" s="37"/>
      <c r="Y314" s="38"/>
      <c r="Z314" s="37"/>
      <c r="AA314" s="37"/>
      <c r="AB314" s="37"/>
      <c r="AC314" s="37"/>
      <c r="AD314" s="37"/>
      <c r="AE314" s="37"/>
      <c r="AF314" s="38"/>
      <c r="AG314" s="37"/>
      <c r="AH314" s="37"/>
      <c r="AI314" s="37"/>
      <c r="AJ314" s="37"/>
      <c r="AK314" s="37"/>
      <c r="AL314" s="37"/>
      <c r="AM314" s="38"/>
      <c r="AN314" s="37"/>
      <c r="AO314" s="37"/>
      <c r="AP314" s="37"/>
      <c r="AQ314" s="37"/>
      <c r="AR314" s="37"/>
      <c r="AS314" s="37"/>
      <c r="AT314" s="37"/>
      <c r="AU314" s="38"/>
      <c r="AV314" s="38"/>
      <c r="AW314" s="38"/>
      <c r="AX314" s="37"/>
      <c r="AY314" s="37"/>
      <c r="AZ314" s="37"/>
      <c r="BA314" s="37"/>
      <c r="BB314" s="37"/>
      <c r="BC314" s="37"/>
      <c r="BD314" s="38"/>
      <c r="BE314" s="37"/>
      <c r="BF314" s="37"/>
      <c r="BG314" s="37"/>
      <c r="BH314" s="37"/>
      <c r="BI314" s="37"/>
      <c r="BJ314" s="37"/>
      <c r="BK314" s="37"/>
      <c r="BL314" s="37"/>
    </row>
    <row r="315" ht="15.75" customHeight="1">
      <c r="A315" s="37"/>
      <c r="B315" s="37"/>
      <c r="C315" s="38"/>
      <c r="D315" s="37"/>
      <c r="E315" s="37"/>
      <c r="F315" s="37"/>
      <c r="G315" s="37"/>
      <c r="H315" s="37"/>
      <c r="I315" s="37"/>
      <c r="J315" s="38"/>
      <c r="K315" s="38"/>
      <c r="L315" s="37"/>
      <c r="M315" s="37"/>
      <c r="N315" s="37"/>
      <c r="O315" s="37"/>
      <c r="P315" s="37"/>
      <c r="Q315" s="37"/>
      <c r="R315" s="38"/>
      <c r="S315" s="37"/>
      <c r="T315" s="37"/>
      <c r="U315" s="37"/>
      <c r="V315" s="37"/>
      <c r="W315" s="37"/>
      <c r="X315" s="37"/>
      <c r="Y315" s="38"/>
      <c r="Z315" s="37"/>
      <c r="AA315" s="37"/>
      <c r="AB315" s="37"/>
      <c r="AC315" s="37"/>
      <c r="AD315" s="37"/>
      <c r="AE315" s="37"/>
      <c r="AF315" s="38"/>
      <c r="AG315" s="37"/>
      <c r="AH315" s="37"/>
      <c r="AI315" s="37"/>
      <c r="AJ315" s="37"/>
      <c r="AK315" s="37"/>
      <c r="AL315" s="37"/>
      <c r="AM315" s="38"/>
      <c r="AN315" s="37"/>
      <c r="AO315" s="37"/>
      <c r="AP315" s="37"/>
      <c r="AQ315" s="37"/>
      <c r="AR315" s="37"/>
      <c r="AS315" s="37"/>
      <c r="AT315" s="37"/>
      <c r="AU315" s="38"/>
      <c r="AV315" s="38"/>
      <c r="AW315" s="38"/>
      <c r="AX315" s="37"/>
      <c r="AY315" s="37"/>
      <c r="AZ315" s="37"/>
      <c r="BA315" s="37"/>
      <c r="BB315" s="37"/>
      <c r="BC315" s="37"/>
      <c r="BD315" s="38"/>
      <c r="BE315" s="37"/>
      <c r="BF315" s="37"/>
      <c r="BG315" s="37"/>
      <c r="BH315" s="37"/>
      <c r="BI315" s="37"/>
      <c r="BJ315" s="37"/>
      <c r="BK315" s="37"/>
      <c r="BL315" s="37"/>
    </row>
    <row r="316" ht="15.75" customHeight="1">
      <c r="A316" s="37"/>
      <c r="B316" s="37"/>
      <c r="C316" s="38"/>
      <c r="D316" s="37"/>
      <c r="E316" s="37"/>
      <c r="F316" s="37"/>
      <c r="G316" s="37"/>
      <c r="H316" s="37"/>
      <c r="I316" s="37"/>
      <c r="J316" s="38"/>
      <c r="K316" s="38"/>
      <c r="L316" s="37"/>
      <c r="M316" s="37"/>
      <c r="N316" s="37"/>
      <c r="O316" s="37"/>
      <c r="P316" s="37"/>
      <c r="Q316" s="37"/>
      <c r="R316" s="38"/>
      <c r="S316" s="37"/>
      <c r="T316" s="37"/>
      <c r="U316" s="37"/>
      <c r="V316" s="37"/>
      <c r="W316" s="37"/>
      <c r="X316" s="37"/>
      <c r="Y316" s="38"/>
      <c r="Z316" s="37"/>
      <c r="AA316" s="37"/>
      <c r="AB316" s="37"/>
      <c r="AC316" s="37"/>
      <c r="AD316" s="37"/>
      <c r="AE316" s="37"/>
      <c r="AF316" s="38"/>
      <c r="AG316" s="37"/>
      <c r="AH316" s="37"/>
      <c r="AI316" s="37"/>
      <c r="AJ316" s="37"/>
      <c r="AK316" s="37"/>
      <c r="AL316" s="37"/>
      <c r="AM316" s="38"/>
      <c r="AN316" s="37"/>
      <c r="AO316" s="37"/>
      <c r="AP316" s="37"/>
      <c r="AQ316" s="37"/>
      <c r="AR316" s="37"/>
      <c r="AS316" s="37"/>
      <c r="AT316" s="37"/>
      <c r="AU316" s="38"/>
      <c r="AV316" s="38"/>
      <c r="AW316" s="38"/>
      <c r="AX316" s="37"/>
      <c r="AY316" s="37"/>
      <c r="AZ316" s="37"/>
      <c r="BA316" s="37"/>
      <c r="BB316" s="37"/>
      <c r="BC316" s="37"/>
      <c r="BD316" s="38"/>
      <c r="BE316" s="37"/>
      <c r="BF316" s="37"/>
      <c r="BG316" s="37"/>
      <c r="BH316" s="37"/>
      <c r="BI316" s="37"/>
      <c r="BJ316" s="37"/>
      <c r="BK316" s="37"/>
      <c r="BL316" s="37"/>
    </row>
    <row r="317" ht="15.75" customHeight="1">
      <c r="A317" s="37"/>
      <c r="B317" s="37"/>
      <c r="C317" s="38"/>
      <c r="D317" s="37"/>
      <c r="E317" s="37"/>
      <c r="F317" s="37"/>
      <c r="G317" s="37"/>
      <c r="H317" s="37"/>
      <c r="I317" s="37"/>
      <c r="J317" s="38"/>
      <c r="K317" s="38"/>
      <c r="L317" s="37"/>
      <c r="M317" s="37"/>
      <c r="N317" s="37"/>
      <c r="O317" s="37"/>
      <c r="P317" s="37"/>
      <c r="Q317" s="37"/>
      <c r="R317" s="38"/>
      <c r="S317" s="37"/>
      <c r="T317" s="37"/>
      <c r="U317" s="37"/>
      <c r="V317" s="37"/>
      <c r="W317" s="37"/>
      <c r="X317" s="37"/>
      <c r="Y317" s="38"/>
      <c r="Z317" s="37"/>
      <c r="AA317" s="37"/>
      <c r="AB317" s="37"/>
      <c r="AC317" s="37"/>
      <c r="AD317" s="37"/>
      <c r="AE317" s="37"/>
      <c r="AF317" s="38"/>
      <c r="AG317" s="37"/>
      <c r="AH317" s="37"/>
      <c r="AI317" s="37"/>
      <c r="AJ317" s="37"/>
      <c r="AK317" s="37"/>
      <c r="AL317" s="37"/>
      <c r="AM317" s="38"/>
      <c r="AN317" s="37"/>
      <c r="AO317" s="37"/>
      <c r="AP317" s="37"/>
      <c r="AQ317" s="37"/>
      <c r="AR317" s="37"/>
      <c r="AS317" s="37"/>
      <c r="AT317" s="37"/>
      <c r="AU317" s="38"/>
      <c r="AV317" s="38"/>
      <c r="AW317" s="38"/>
      <c r="AX317" s="37"/>
      <c r="AY317" s="37"/>
      <c r="AZ317" s="37"/>
      <c r="BA317" s="37"/>
      <c r="BB317" s="37"/>
      <c r="BC317" s="37"/>
      <c r="BD317" s="38"/>
      <c r="BE317" s="37"/>
      <c r="BF317" s="37"/>
      <c r="BG317" s="37"/>
      <c r="BH317" s="37"/>
      <c r="BI317" s="37"/>
      <c r="BJ317" s="37"/>
      <c r="BK317" s="37"/>
      <c r="BL317" s="37"/>
    </row>
    <row r="318" ht="15.75" customHeight="1">
      <c r="A318" s="37"/>
      <c r="B318" s="37"/>
      <c r="C318" s="38"/>
      <c r="D318" s="37"/>
      <c r="E318" s="37"/>
      <c r="F318" s="37"/>
      <c r="G318" s="37"/>
      <c r="H318" s="37"/>
      <c r="I318" s="37"/>
      <c r="J318" s="38"/>
      <c r="K318" s="38"/>
      <c r="L318" s="37"/>
      <c r="M318" s="37"/>
      <c r="N318" s="37"/>
      <c r="O318" s="37"/>
      <c r="P318" s="37"/>
      <c r="Q318" s="37"/>
      <c r="R318" s="38"/>
      <c r="S318" s="37"/>
      <c r="T318" s="37"/>
      <c r="U318" s="37"/>
      <c r="V318" s="37"/>
      <c r="W318" s="37"/>
      <c r="X318" s="37"/>
      <c r="Y318" s="38"/>
      <c r="Z318" s="37"/>
      <c r="AA318" s="37"/>
      <c r="AB318" s="37"/>
      <c r="AC318" s="37"/>
      <c r="AD318" s="37"/>
      <c r="AE318" s="37"/>
      <c r="AF318" s="38"/>
      <c r="AG318" s="37"/>
      <c r="AH318" s="37"/>
      <c r="AI318" s="37"/>
      <c r="AJ318" s="37"/>
      <c r="AK318" s="37"/>
      <c r="AL318" s="37"/>
      <c r="AM318" s="38"/>
      <c r="AN318" s="37"/>
      <c r="AO318" s="37"/>
      <c r="AP318" s="37"/>
      <c r="AQ318" s="37"/>
      <c r="AR318" s="37"/>
      <c r="AS318" s="37"/>
      <c r="AT318" s="37"/>
      <c r="AU318" s="38"/>
      <c r="AV318" s="38"/>
      <c r="AW318" s="38"/>
      <c r="AX318" s="37"/>
      <c r="AY318" s="37"/>
      <c r="AZ318" s="37"/>
      <c r="BA318" s="37"/>
      <c r="BB318" s="37"/>
      <c r="BC318" s="37"/>
      <c r="BD318" s="38"/>
      <c r="BE318" s="37"/>
      <c r="BF318" s="37"/>
      <c r="BG318" s="37"/>
      <c r="BH318" s="37"/>
      <c r="BI318" s="37"/>
      <c r="BJ318" s="37"/>
      <c r="BK318" s="37"/>
      <c r="BL318" s="37"/>
    </row>
    <row r="319" ht="15.75" customHeight="1">
      <c r="A319" s="37"/>
      <c r="B319" s="37"/>
      <c r="C319" s="38"/>
      <c r="D319" s="37"/>
      <c r="E319" s="37"/>
      <c r="F319" s="37"/>
      <c r="G319" s="37"/>
      <c r="H319" s="37"/>
      <c r="I319" s="37"/>
      <c r="J319" s="38"/>
      <c r="K319" s="38"/>
      <c r="L319" s="37"/>
      <c r="M319" s="37"/>
      <c r="N319" s="37"/>
      <c r="O319" s="37"/>
      <c r="P319" s="37"/>
      <c r="Q319" s="37"/>
      <c r="R319" s="38"/>
      <c r="S319" s="37"/>
      <c r="T319" s="37"/>
      <c r="U319" s="37"/>
      <c r="V319" s="37"/>
      <c r="W319" s="37"/>
      <c r="X319" s="37"/>
      <c r="Y319" s="38"/>
      <c r="Z319" s="37"/>
      <c r="AA319" s="37"/>
      <c r="AB319" s="37"/>
      <c r="AC319" s="37"/>
      <c r="AD319" s="37"/>
      <c r="AE319" s="37"/>
      <c r="AF319" s="38"/>
      <c r="AG319" s="37"/>
      <c r="AH319" s="37"/>
      <c r="AI319" s="37"/>
      <c r="AJ319" s="37"/>
      <c r="AK319" s="37"/>
      <c r="AL319" s="37"/>
      <c r="AM319" s="38"/>
      <c r="AN319" s="37"/>
      <c r="AO319" s="37"/>
      <c r="AP319" s="37"/>
      <c r="AQ319" s="37"/>
      <c r="AR319" s="37"/>
      <c r="AS319" s="37"/>
      <c r="AT319" s="37"/>
      <c r="AU319" s="38"/>
      <c r="AV319" s="38"/>
      <c r="AW319" s="38"/>
      <c r="AX319" s="37"/>
      <c r="AY319" s="37"/>
      <c r="AZ319" s="37"/>
      <c r="BA319" s="37"/>
      <c r="BB319" s="37"/>
      <c r="BC319" s="37"/>
      <c r="BD319" s="38"/>
      <c r="BE319" s="37"/>
      <c r="BF319" s="37"/>
      <c r="BG319" s="37"/>
      <c r="BH319" s="37"/>
      <c r="BI319" s="37"/>
      <c r="BJ319" s="37"/>
      <c r="BK319" s="37"/>
      <c r="BL319" s="37"/>
    </row>
    <row r="320" ht="15.75" customHeight="1">
      <c r="A320" s="37"/>
      <c r="B320" s="37"/>
      <c r="C320" s="38"/>
      <c r="D320" s="37"/>
      <c r="E320" s="37"/>
      <c r="F320" s="37"/>
      <c r="G320" s="37"/>
      <c r="H320" s="37"/>
      <c r="I320" s="37"/>
      <c r="J320" s="38"/>
      <c r="K320" s="38"/>
      <c r="L320" s="37"/>
      <c r="M320" s="37"/>
      <c r="N320" s="37"/>
      <c r="O320" s="37"/>
      <c r="P320" s="37"/>
      <c r="Q320" s="37"/>
      <c r="R320" s="38"/>
      <c r="S320" s="37"/>
      <c r="T320" s="37"/>
      <c r="U320" s="37"/>
      <c r="V320" s="37"/>
      <c r="W320" s="37"/>
      <c r="X320" s="37"/>
      <c r="Y320" s="38"/>
      <c r="Z320" s="37"/>
      <c r="AA320" s="37"/>
      <c r="AB320" s="37"/>
      <c r="AC320" s="37"/>
      <c r="AD320" s="37"/>
      <c r="AE320" s="37"/>
      <c r="AF320" s="38"/>
      <c r="AG320" s="37"/>
      <c r="AH320" s="37"/>
      <c r="AI320" s="37"/>
      <c r="AJ320" s="37"/>
      <c r="AK320" s="37"/>
      <c r="AL320" s="37"/>
      <c r="AM320" s="38"/>
      <c r="AN320" s="37"/>
      <c r="AO320" s="37"/>
      <c r="AP320" s="37"/>
      <c r="AQ320" s="37"/>
      <c r="AR320" s="37"/>
      <c r="AS320" s="37"/>
      <c r="AT320" s="37"/>
      <c r="AU320" s="38"/>
      <c r="AV320" s="38"/>
      <c r="AW320" s="38"/>
      <c r="AX320" s="37"/>
      <c r="AY320" s="37"/>
      <c r="AZ320" s="37"/>
      <c r="BA320" s="37"/>
      <c r="BB320" s="37"/>
      <c r="BC320" s="37"/>
      <c r="BD320" s="38"/>
      <c r="BE320" s="37"/>
      <c r="BF320" s="37"/>
      <c r="BG320" s="37"/>
      <c r="BH320" s="37"/>
      <c r="BI320" s="37"/>
      <c r="BJ320" s="37"/>
      <c r="BK320" s="37"/>
      <c r="BL320" s="37"/>
    </row>
    <row r="321" ht="15.75" customHeight="1">
      <c r="A321" s="37"/>
      <c r="B321" s="37"/>
      <c r="C321" s="38"/>
      <c r="D321" s="37"/>
      <c r="E321" s="37"/>
      <c r="F321" s="37"/>
      <c r="G321" s="37"/>
      <c r="H321" s="37"/>
      <c r="I321" s="37"/>
      <c r="J321" s="38"/>
      <c r="K321" s="38"/>
      <c r="L321" s="37"/>
      <c r="M321" s="37"/>
      <c r="N321" s="37"/>
      <c r="O321" s="37"/>
      <c r="P321" s="37"/>
      <c r="Q321" s="37"/>
      <c r="R321" s="38"/>
      <c r="S321" s="37"/>
      <c r="T321" s="37"/>
      <c r="U321" s="37"/>
      <c r="V321" s="37"/>
      <c r="W321" s="37"/>
      <c r="X321" s="37"/>
      <c r="Y321" s="38"/>
      <c r="Z321" s="37"/>
      <c r="AA321" s="37"/>
      <c r="AB321" s="37"/>
      <c r="AC321" s="37"/>
      <c r="AD321" s="37"/>
      <c r="AE321" s="37"/>
      <c r="AF321" s="38"/>
      <c r="AG321" s="37"/>
      <c r="AH321" s="37"/>
      <c r="AI321" s="37"/>
      <c r="AJ321" s="37"/>
      <c r="AK321" s="37"/>
      <c r="AL321" s="37"/>
      <c r="AM321" s="38"/>
      <c r="AN321" s="37"/>
      <c r="AO321" s="37"/>
      <c r="AP321" s="37"/>
      <c r="AQ321" s="37"/>
      <c r="AR321" s="37"/>
      <c r="AS321" s="37"/>
      <c r="AT321" s="37"/>
      <c r="AU321" s="38"/>
      <c r="AV321" s="38"/>
      <c r="AW321" s="38"/>
      <c r="AX321" s="37"/>
      <c r="AY321" s="37"/>
      <c r="AZ321" s="37"/>
      <c r="BA321" s="37"/>
      <c r="BB321" s="37"/>
      <c r="BC321" s="37"/>
      <c r="BD321" s="38"/>
      <c r="BE321" s="37"/>
      <c r="BF321" s="37"/>
      <c r="BG321" s="37"/>
      <c r="BH321" s="37"/>
      <c r="BI321" s="37"/>
      <c r="BJ321" s="37"/>
      <c r="BK321" s="37"/>
      <c r="BL321" s="37"/>
    </row>
    <row r="322" ht="15.75" customHeight="1">
      <c r="A322" s="37"/>
      <c r="B322" s="37"/>
      <c r="C322" s="38"/>
      <c r="D322" s="37"/>
      <c r="E322" s="37"/>
      <c r="F322" s="37"/>
      <c r="G322" s="37"/>
      <c r="H322" s="37"/>
      <c r="I322" s="37"/>
      <c r="J322" s="38"/>
      <c r="K322" s="38"/>
      <c r="L322" s="37"/>
      <c r="M322" s="37"/>
      <c r="N322" s="37"/>
      <c r="O322" s="37"/>
      <c r="P322" s="37"/>
      <c r="Q322" s="37"/>
      <c r="R322" s="38"/>
      <c r="S322" s="37"/>
      <c r="T322" s="37"/>
      <c r="U322" s="37"/>
      <c r="V322" s="37"/>
      <c r="W322" s="37"/>
      <c r="X322" s="37"/>
      <c r="Y322" s="38"/>
      <c r="Z322" s="37"/>
      <c r="AA322" s="37"/>
      <c r="AB322" s="37"/>
      <c r="AC322" s="37"/>
      <c r="AD322" s="37"/>
      <c r="AE322" s="37"/>
      <c r="AF322" s="38"/>
      <c r="AG322" s="37"/>
      <c r="AH322" s="37"/>
      <c r="AI322" s="37"/>
      <c r="AJ322" s="37"/>
      <c r="AK322" s="37"/>
      <c r="AL322" s="37"/>
      <c r="AM322" s="38"/>
      <c r="AN322" s="37"/>
      <c r="AO322" s="37"/>
      <c r="AP322" s="37"/>
      <c r="AQ322" s="37"/>
      <c r="AR322" s="37"/>
      <c r="AS322" s="37"/>
      <c r="AT322" s="37"/>
      <c r="AU322" s="38"/>
      <c r="AV322" s="38"/>
      <c r="AW322" s="38"/>
      <c r="AX322" s="37"/>
      <c r="AY322" s="37"/>
      <c r="AZ322" s="37"/>
      <c r="BA322" s="37"/>
      <c r="BB322" s="37"/>
      <c r="BC322" s="37"/>
      <c r="BD322" s="38"/>
      <c r="BE322" s="37"/>
      <c r="BF322" s="37"/>
      <c r="BG322" s="37"/>
      <c r="BH322" s="37"/>
      <c r="BI322" s="37"/>
      <c r="BJ322" s="37"/>
      <c r="BK322" s="37"/>
      <c r="BL322" s="37"/>
    </row>
    <row r="323" ht="15.75" customHeight="1">
      <c r="A323" s="37"/>
      <c r="B323" s="37"/>
      <c r="C323" s="38"/>
      <c r="D323" s="37"/>
      <c r="E323" s="37"/>
      <c r="F323" s="37"/>
      <c r="G323" s="37"/>
      <c r="H323" s="37"/>
      <c r="I323" s="37"/>
      <c r="J323" s="38"/>
      <c r="K323" s="38"/>
      <c r="L323" s="37"/>
      <c r="M323" s="37"/>
      <c r="N323" s="37"/>
      <c r="O323" s="37"/>
      <c r="P323" s="37"/>
      <c r="Q323" s="37"/>
      <c r="R323" s="38"/>
      <c r="S323" s="37"/>
      <c r="T323" s="37"/>
      <c r="U323" s="37"/>
      <c r="V323" s="37"/>
      <c r="W323" s="37"/>
      <c r="X323" s="37"/>
      <c r="Y323" s="38"/>
      <c r="Z323" s="37"/>
      <c r="AA323" s="37"/>
      <c r="AB323" s="37"/>
      <c r="AC323" s="37"/>
      <c r="AD323" s="37"/>
      <c r="AE323" s="37"/>
      <c r="AF323" s="38"/>
      <c r="AG323" s="37"/>
      <c r="AH323" s="37"/>
      <c r="AI323" s="37"/>
      <c r="AJ323" s="37"/>
      <c r="AK323" s="37"/>
      <c r="AL323" s="37"/>
      <c r="AM323" s="38"/>
      <c r="AN323" s="37"/>
      <c r="AO323" s="37"/>
      <c r="AP323" s="37"/>
      <c r="AQ323" s="37"/>
      <c r="AR323" s="37"/>
      <c r="AS323" s="37"/>
      <c r="AT323" s="37"/>
      <c r="AU323" s="38"/>
      <c r="AV323" s="38"/>
      <c r="AW323" s="38"/>
      <c r="AX323" s="37"/>
      <c r="AY323" s="37"/>
      <c r="AZ323" s="37"/>
      <c r="BA323" s="37"/>
      <c r="BB323" s="37"/>
      <c r="BC323" s="37"/>
      <c r="BD323" s="38"/>
      <c r="BE323" s="37"/>
      <c r="BF323" s="37"/>
      <c r="BG323" s="37"/>
      <c r="BH323" s="37"/>
      <c r="BI323" s="37"/>
      <c r="BJ323" s="37"/>
      <c r="BK323" s="37"/>
      <c r="BL323" s="37"/>
    </row>
    <row r="324" ht="15.75" customHeight="1">
      <c r="A324" s="37"/>
      <c r="B324" s="37"/>
      <c r="C324" s="38"/>
      <c r="D324" s="37"/>
      <c r="E324" s="37"/>
      <c r="F324" s="37"/>
      <c r="G324" s="37"/>
      <c r="H324" s="37"/>
      <c r="I324" s="37"/>
      <c r="J324" s="38"/>
      <c r="K324" s="38"/>
      <c r="L324" s="37"/>
      <c r="M324" s="37"/>
      <c r="N324" s="37"/>
      <c r="O324" s="37"/>
      <c r="P324" s="37"/>
      <c r="Q324" s="37"/>
      <c r="R324" s="38"/>
      <c r="S324" s="37"/>
      <c r="T324" s="37"/>
      <c r="U324" s="37"/>
      <c r="V324" s="37"/>
      <c r="W324" s="37"/>
      <c r="X324" s="37"/>
      <c r="Y324" s="38"/>
      <c r="Z324" s="37"/>
      <c r="AA324" s="37"/>
      <c r="AB324" s="37"/>
      <c r="AC324" s="37"/>
      <c r="AD324" s="37"/>
      <c r="AE324" s="37"/>
      <c r="AF324" s="38"/>
      <c r="AG324" s="37"/>
      <c r="AH324" s="37"/>
      <c r="AI324" s="37"/>
      <c r="AJ324" s="37"/>
      <c r="AK324" s="37"/>
      <c r="AL324" s="37"/>
      <c r="AM324" s="38"/>
      <c r="AN324" s="37"/>
      <c r="AO324" s="37"/>
      <c r="AP324" s="37"/>
      <c r="AQ324" s="37"/>
      <c r="AR324" s="37"/>
      <c r="AS324" s="37"/>
      <c r="AT324" s="37"/>
      <c r="AU324" s="38"/>
      <c r="AV324" s="38"/>
      <c r="AW324" s="38"/>
      <c r="AX324" s="37"/>
      <c r="AY324" s="37"/>
      <c r="AZ324" s="37"/>
      <c r="BA324" s="37"/>
      <c r="BB324" s="37"/>
      <c r="BC324" s="37"/>
      <c r="BD324" s="38"/>
      <c r="BE324" s="37"/>
      <c r="BF324" s="37"/>
      <c r="BG324" s="37"/>
      <c r="BH324" s="37"/>
      <c r="BI324" s="37"/>
      <c r="BJ324" s="37"/>
      <c r="BK324" s="37"/>
      <c r="BL324" s="37"/>
    </row>
    <row r="325" ht="15.75" customHeight="1">
      <c r="A325" s="37"/>
      <c r="B325" s="37"/>
      <c r="C325" s="38"/>
      <c r="D325" s="37"/>
      <c r="E325" s="37"/>
      <c r="F325" s="37"/>
      <c r="G325" s="37"/>
      <c r="H325" s="37"/>
      <c r="I325" s="37"/>
      <c r="J325" s="38"/>
      <c r="K325" s="38"/>
      <c r="L325" s="37"/>
      <c r="M325" s="37"/>
      <c r="N325" s="37"/>
      <c r="O325" s="37"/>
      <c r="P325" s="37"/>
      <c r="Q325" s="37"/>
      <c r="R325" s="38"/>
      <c r="S325" s="37"/>
      <c r="T325" s="37"/>
      <c r="U325" s="37"/>
      <c r="V325" s="37"/>
      <c r="W325" s="37"/>
      <c r="X325" s="37"/>
      <c r="Y325" s="38"/>
      <c r="Z325" s="37"/>
      <c r="AA325" s="37"/>
      <c r="AB325" s="37"/>
      <c r="AC325" s="37"/>
      <c r="AD325" s="37"/>
      <c r="AE325" s="37"/>
      <c r="AF325" s="38"/>
      <c r="AG325" s="37"/>
      <c r="AH325" s="37"/>
      <c r="AI325" s="37"/>
      <c r="AJ325" s="37"/>
      <c r="AK325" s="37"/>
      <c r="AL325" s="37"/>
      <c r="AM325" s="38"/>
      <c r="AN325" s="37"/>
      <c r="AO325" s="37"/>
      <c r="AP325" s="37"/>
      <c r="AQ325" s="37"/>
      <c r="AR325" s="37"/>
      <c r="AS325" s="37"/>
      <c r="AT325" s="37"/>
      <c r="AU325" s="38"/>
      <c r="AV325" s="38"/>
      <c r="AW325" s="38"/>
      <c r="AX325" s="37"/>
      <c r="AY325" s="37"/>
      <c r="AZ325" s="37"/>
      <c r="BA325" s="37"/>
      <c r="BB325" s="37"/>
      <c r="BC325" s="37"/>
      <c r="BD325" s="38"/>
      <c r="BE325" s="37"/>
      <c r="BF325" s="37"/>
      <c r="BG325" s="37"/>
      <c r="BH325" s="37"/>
      <c r="BI325" s="37"/>
      <c r="BJ325" s="37"/>
      <c r="BK325" s="37"/>
      <c r="BL325" s="37"/>
    </row>
    <row r="326" ht="15.75" customHeight="1">
      <c r="A326" s="37"/>
      <c r="B326" s="37"/>
      <c r="C326" s="38"/>
      <c r="D326" s="37"/>
      <c r="E326" s="37"/>
      <c r="F326" s="37"/>
      <c r="G326" s="37"/>
      <c r="H326" s="37"/>
      <c r="I326" s="37"/>
      <c r="J326" s="38"/>
      <c r="K326" s="38"/>
      <c r="L326" s="37"/>
      <c r="M326" s="37"/>
      <c r="N326" s="37"/>
      <c r="O326" s="37"/>
      <c r="P326" s="37"/>
      <c r="Q326" s="37"/>
      <c r="R326" s="38"/>
      <c r="S326" s="37"/>
      <c r="T326" s="37"/>
      <c r="U326" s="37"/>
      <c r="V326" s="37"/>
      <c r="W326" s="37"/>
      <c r="X326" s="37"/>
      <c r="Y326" s="38"/>
      <c r="Z326" s="37"/>
      <c r="AA326" s="37"/>
      <c r="AB326" s="37"/>
      <c r="AC326" s="37"/>
      <c r="AD326" s="37"/>
      <c r="AE326" s="37"/>
      <c r="AF326" s="38"/>
      <c r="AG326" s="37"/>
      <c r="AH326" s="37"/>
      <c r="AI326" s="37"/>
      <c r="AJ326" s="37"/>
      <c r="AK326" s="37"/>
      <c r="AL326" s="37"/>
      <c r="AM326" s="38"/>
      <c r="AN326" s="37"/>
      <c r="AO326" s="37"/>
      <c r="AP326" s="37"/>
      <c r="AQ326" s="37"/>
      <c r="AR326" s="37"/>
      <c r="AS326" s="37"/>
      <c r="AT326" s="37"/>
      <c r="AU326" s="38"/>
      <c r="AV326" s="38"/>
      <c r="AW326" s="38"/>
      <c r="AX326" s="37"/>
      <c r="AY326" s="37"/>
      <c r="AZ326" s="37"/>
      <c r="BA326" s="37"/>
      <c r="BB326" s="37"/>
      <c r="BC326" s="37"/>
      <c r="BD326" s="38"/>
      <c r="BE326" s="37"/>
      <c r="BF326" s="37"/>
      <c r="BG326" s="37"/>
      <c r="BH326" s="37"/>
      <c r="BI326" s="37"/>
      <c r="BJ326" s="37"/>
      <c r="BK326" s="37"/>
      <c r="BL326" s="37"/>
    </row>
    <row r="327" ht="15.75" customHeight="1">
      <c r="A327" s="37"/>
      <c r="B327" s="37"/>
      <c r="C327" s="38"/>
      <c r="D327" s="37"/>
      <c r="E327" s="37"/>
      <c r="F327" s="37"/>
      <c r="G327" s="37"/>
      <c r="H327" s="37"/>
      <c r="I327" s="37"/>
      <c r="J327" s="38"/>
      <c r="K327" s="38"/>
      <c r="L327" s="37"/>
      <c r="M327" s="37"/>
      <c r="N327" s="37"/>
      <c r="O327" s="37"/>
      <c r="P327" s="37"/>
      <c r="Q327" s="37"/>
      <c r="R327" s="38"/>
      <c r="S327" s="37"/>
      <c r="T327" s="37"/>
      <c r="U327" s="37"/>
      <c r="V327" s="37"/>
      <c r="W327" s="37"/>
      <c r="X327" s="37"/>
      <c r="Y327" s="38"/>
      <c r="Z327" s="37"/>
      <c r="AA327" s="37"/>
      <c r="AB327" s="37"/>
      <c r="AC327" s="37"/>
      <c r="AD327" s="37"/>
      <c r="AE327" s="37"/>
      <c r="AF327" s="38"/>
      <c r="AG327" s="37"/>
      <c r="AH327" s="37"/>
      <c r="AI327" s="37"/>
      <c r="AJ327" s="37"/>
      <c r="AK327" s="37"/>
      <c r="AL327" s="37"/>
      <c r="AM327" s="38"/>
      <c r="AN327" s="37"/>
      <c r="AO327" s="37"/>
      <c r="AP327" s="37"/>
      <c r="AQ327" s="37"/>
      <c r="AR327" s="37"/>
      <c r="AS327" s="37"/>
      <c r="AT327" s="37"/>
      <c r="AU327" s="38"/>
      <c r="AV327" s="38"/>
      <c r="AW327" s="38"/>
      <c r="AX327" s="37"/>
      <c r="AY327" s="37"/>
      <c r="AZ327" s="37"/>
      <c r="BA327" s="37"/>
      <c r="BB327" s="37"/>
      <c r="BC327" s="37"/>
      <c r="BD327" s="38"/>
      <c r="BE327" s="37"/>
      <c r="BF327" s="37"/>
      <c r="BG327" s="37"/>
      <c r="BH327" s="37"/>
      <c r="BI327" s="37"/>
      <c r="BJ327" s="37"/>
      <c r="BK327" s="37"/>
      <c r="BL327" s="37"/>
    </row>
    <row r="328" ht="15.75" customHeight="1">
      <c r="A328" s="37"/>
      <c r="B328" s="37"/>
      <c r="C328" s="38"/>
      <c r="D328" s="37"/>
      <c r="E328" s="37"/>
      <c r="F328" s="37"/>
      <c r="G328" s="37"/>
      <c r="H328" s="37"/>
      <c r="I328" s="37"/>
      <c r="J328" s="38"/>
      <c r="K328" s="38"/>
      <c r="L328" s="37"/>
      <c r="M328" s="37"/>
      <c r="N328" s="37"/>
      <c r="O328" s="37"/>
      <c r="P328" s="37"/>
      <c r="Q328" s="37"/>
      <c r="R328" s="38"/>
      <c r="S328" s="37"/>
      <c r="T328" s="37"/>
      <c r="U328" s="37"/>
      <c r="V328" s="37"/>
      <c r="W328" s="37"/>
      <c r="X328" s="37"/>
      <c r="Y328" s="38"/>
      <c r="Z328" s="37"/>
      <c r="AA328" s="37"/>
      <c r="AB328" s="37"/>
      <c r="AC328" s="37"/>
      <c r="AD328" s="37"/>
      <c r="AE328" s="37"/>
      <c r="AF328" s="38"/>
      <c r="AG328" s="37"/>
      <c r="AH328" s="37"/>
      <c r="AI328" s="37"/>
      <c r="AJ328" s="37"/>
      <c r="AK328" s="37"/>
      <c r="AL328" s="37"/>
      <c r="AM328" s="38"/>
      <c r="AN328" s="37"/>
      <c r="AO328" s="37"/>
      <c r="AP328" s="37"/>
      <c r="AQ328" s="37"/>
      <c r="AR328" s="37"/>
      <c r="AS328" s="37"/>
      <c r="AT328" s="37"/>
      <c r="AU328" s="38"/>
      <c r="AV328" s="38"/>
      <c r="AW328" s="38"/>
      <c r="AX328" s="37"/>
      <c r="AY328" s="37"/>
      <c r="AZ328" s="37"/>
      <c r="BA328" s="37"/>
      <c r="BB328" s="37"/>
      <c r="BC328" s="37"/>
      <c r="BD328" s="38"/>
      <c r="BE328" s="37"/>
      <c r="BF328" s="37"/>
      <c r="BG328" s="37"/>
      <c r="BH328" s="37"/>
      <c r="BI328" s="37"/>
      <c r="BJ328" s="37"/>
      <c r="BK328" s="37"/>
      <c r="BL328" s="37"/>
    </row>
    <row r="329" ht="15.75" customHeight="1">
      <c r="A329" s="37"/>
      <c r="B329" s="37"/>
      <c r="C329" s="38"/>
      <c r="D329" s="37"/>
      <c r="E329" s="37"/>
      <c r="F329" s="37"/>
      <c r="G329" s="37"/>
      <c r="H329" s="37"/>
      <c r="I329" s="37"/>
      <c r="J329" s="38"/>
      <c r="K329" s="38"/>
      <c r="L329" s="37"/>
      <c r="M329" s="37"/>
      <c r="N329" s="37"/>
      <c r="O329" s="37"/>
      <c r="P329" s="37"/>
      <c r="Q329" s="37"/>
      <c r="R329" s="38"/>
      <c r="S329" s="37"/>
      <c r="T329" s="37"/>
      <c r="U329" s="37"/>
      <c r="V329" s="37"/>
      <c r="W329" s="37"/>
      <c r="X329" s="37"/>
      <c r="Y329" s="38"/>
      <c r="Z329" s="37"/>
      <c r="AA329" s="37"/>
      <c r="AB329" s="37"/>
      <c r="AC329" s="37"/>
      <c r="AD329" s="37"/>
      <c r="AE329" s="37"/>
      <c r="AF329" s="38"/>
      <c r="AG329" s="37"/>
      <c r="AH329" s="37"/>
      <c r="AI329" s="37"/>
      <c r="AJ329" s="37"/>
      <c r="AK329" s="37"/>
      <c r="AL329" s="37"/>
      <c r="AM329" s="38"/>
      <c r="AN329" s="37"/>
      <c r="AO329" s="37"/>
      <c r="AP329" s="37"/>
      <c r="AQ329" s="37"/>
      <c r="AR329" s="37"/>
      <c r="AS329" s="37"/>
      <c r="AT329" s="37"/>
      <c r="AU329" s="38"/>
      <c r="AV329" s="38"/>
      <c r="AW329" s="38"/>
      <c r="AX329" s="37"/>
      <c r="AY329" s="37"/>
      <c r="AZ329" s="37"/>
      <c r="BA329" s="37"/>
      <c r="BB329" s="37"/>
      <c r="BC329" s="37"/>
      <c r="BD329" s="38"/>
      <c r="BE329" s="37"/>
      <c r="BF329" s="37"/>
      <c r="BG329" s="37"/>
      <c r="BH329" s="37"/>
      <c r="BI329" s="37"/>
      <c r="BJ329" s="37"/>
      <c r="BK329" s="37"/>
      <c r="BL329" s="37"/>
    </row>
    <row r="330" ht="15.75" customHeight="1">
      <c r="A330" s="37"/>
      <c r="B330" s="37"/>
      <c r="C330" s="38"/>
      <c r="D330" s="37"/>
      <c r="E330" s="37"/>
      <c r="F330" s="37"/>
      <c r="G330" s="37"/>
      <c r="H330" s="37"/>
      <c r="I330" s="37"/>
      <c r="J330" s="38"/>
      <c r="K330" s="38"/>
      <c r="L330" s="37"/>
      <c r="M330" s="37"/>
      <c r="N330" s="37"/>
      <c r="O330" s="37"/>
      <c r="P330" s="37"/>
      <c r="Q330" s="37"/>
      <c r="R330" s="38"/>
      <c r="S330" s="37"/>
      <c r="T330" s="37"/>
      <c r="U330" s="37"/>
      <c r="V330" s="37"/>
      <c r="W330" s="37"/>
      <c r="X330" s="37"/>
      <c r="Y330" s="38"/>
      <c r="Z330" s="37"/>
      <c r="AA330" s="37"/>
      <c r="AB330" s="37"/>
      <c r="AC330" s="37"/>
      <c r="AD330" s="37"/>
      <c r="AE330" s="37"/>
      <c r="AF330" s="38"/>
      <c r="AG330" s="37"/>
      <c r="AH330" s="37"/>
      <c r="AI330" s="37"/>
      <c r="AJ330" s="37"/>
      <c r="AK330" s="37"/>
      <c r="AL330" s="37"/>
      <c r="AM330" s="38"/>
      <c r="AN330" s="37"/>
      <c r="AO330" s="37"/>
      <c r="AP330" s="37"/>
      <c r="AQ330" s="37"/>
      <c r="AR330" s="37"/>
      <c r="AS330" s="37"/>
      <c r="AT330" s="37"/>
      <c r="AU330" s="38"/>
      <c r="AV330" s="38"/>
      <c r="AW330" s="38"/>
      <c r="AX330" s="37"/>
      <c r="AY330" s="37"/>
      <c r="AZ330" s="37"/>
      <c r="BA330" s="37"/>
      <c r="BB330" s="37"/>
      <c r="BC330" s="37"/>
      <c r="BD330" s="38"/>
      <c r="BE330" s="37"/>
      <c r="BF330" s="37"/>
      <c r="BG330" s="37"/>
      <c r="BH330" s="37"/>
      <c r="BI330" s="37"/>
      <c r="BJ330" s="37"/>
      <c r="BK330" s="37"/>
      <c r="BL330" s="37"/>
    </row>
    <row r="331" ht="15.75" customHeight="1">
      <c r="A331" s="37"/>
      <c r="B331" s="37"/>
      <c r="C331" s="38"/>
      <c r="D331" s="37"/>
      <c r="E331" s="37"/>
      <c r="F331" s="37"/>
      <c r="G331" s="37"/>
      <c r="H331" s="37"/>
      <c r="I331" s="37"/>
      <c r="J331" s="38"/>
      <c r="K331" s="38"/>
      <c r="L331" s="37"/>
      <c r="M331" s="37"/>
      <c r="N331" s="37"/>
      <c r="O331" s="37"/>
      <c r="P331" s="37"/>
      <c r="Q331" s="37"/>
      <c r="R331" s="38"/>
      <c r="S331" s="37"/>
      <c r="T331" s="37"/>
      <c r="U331" s="37"/>
      <c r="V331" s="37"/>
      <c r="W331" s="37"/>
      <c r="X331" s="37"/>
      <c r="Y331" s="38"/>
      <c r="Z331" s="37"/>
      <c r="AA331" s="37"/>
      <c r="AB331" s="37"/>
      <c r="AC331" s="37"/>
      <c r="AD331" s="37"/>
      <c r="AE331" s="37"/>
      <c r="AF331" s="38"/>
      <c r="AG331" s="37"/>
      <c r="AH331" s="37"/>
      <c r="AI331" s="37"/>
      <c r="AJ331" s="37"/>
      <c r="AK331" s="37"/>
      <c r="AL331" s="37"/>
      <c r="AM331" s="38"/>
      <c r="AN331" s="37"/>
      <c r="AO331" s="37"/>
      <c r="AP331" s="37"/>
      <c r="AQ331" s="37"/>
      <c r="AR331" s="37"/>
      <c r="AS331" s="37"/>
      <c r="AT331" s="37"/>
      <c r="AU331" s="38"/>
      <c r="AV331" s="38"/>
      <c r="AW331" s="38"/>
      <c r="AX331" s="37"/>
      <c r="AY331" s="37"/>
      <c r="AZ331" s="37"/>
      <c r="BA331" s="37"/>
      <c r="BB331" s="37"/>
      <c r="BC331" s="37"/>
      <c r="BD331" s="38"/>
      <c r="BE331" s="37"/>
      <c r="BF331" s="37"/>
      <c r="BG331" s="37"/>
      <c r="BH331" s="37"/>
      <c r="BI331" s="37"/>
      <c r="BJ331" s="37"/>
      <c r="BK331" s="37"/>
      <c r="BL331" s="37"/>
    </row>
    <row r="332" ht="15.75" customHeight="1">
      <c r="A332" s="37"/>
      <c r="B332" s="37"/>
      <c r="C332" s="38"/>
      <c r="D332" s="37"/>
      <c r="E332" s="37"/>
      <c r="F332" s="37"/>
      <c r="G332" s="37"/>
      <c r="H332" s="37"/>
      <c r="I332" s="37"/>
      <c r="J332" s="38"/>
      <c r="K332" s="38"/>
      <c r="L332" s="37"/>
      <c r="M332" s="37"/>
      <c r="N332" s="37"/>
      <c r="O332" s="37"/>
      <c r="P332" s="37"/>
      <c r="Q332" s="37"/>
      <c r="R332" s="38"/>
      <c r="S332" s="37"/>
      <c r="T332" s="37"/>
      <c r="U332" s="37"/>
      <c r="V332" s="37"/>
      <c r="W332" s="37"/>
      <c r="X332" s="37"/>
      <c r="Y332" s="38"/>
      <c r="Z332" s="37"/>
      <c r="AA332" s="37"/>
      <c r="AB332" s="37"/>
      <c r="AC332" s="37"/>
      <c r="AD332" s="37"/>
      <c r="AE332" s="37"/>
      <c r="AF332" s="38"/>
      <c r="AG332" s="37"/>
      <c r="AH332" s="37"/>
      <c r="AI332" s="37"/>
      <c r="AJ332" s="37"/>
      <c r="AK332" s="37"/>
      <c r="AL332" s="37"/>
      <c r="AM332" s="38"/>
      <c r="AN332" s="37"/>
      <c r="AO332" s="37"/>
      <c r="AP332" s="37"/>
      <c r="AQ332" s="37"/>
      <c r="AR332" s="37"/>
      <c r="AS332" s="37"/>
      <c r="AT332" s="37"/>
      <c r="AU332" s="38"/>
      <c r="AV332" s="38"/>
      <c r="AW332" s="38"/>
      <c r="AX332" s="37"/>
      <c r="AY332" s="37"/>
      <c r="AZ332" s="37"/>
      <c r="BA332" s="37"/>
      <c r="BB332" s="37"/>
      <c r="BC332" s="37"/>
      <c r="BD332" s="38"/>
      <c r="BE332" s="37"/>
      <c r="BF332" s="37"/>
      <c r="BG332" s="37"/>
      <c r="BH332" s="37"/>
      <c r="BI332" s="37"/>
      <c r="BJ332" s="37"/>
      <c r="BK332" s="37"/>
      <c r="BL332" s="37"/>
    </row>
    <row r="333" ht="15.75" customHeight="1">
      <c r="A333" s="37"/>
      <c r="B333" s="37"/>
      <c r="C333" s="38"/>
      <c r="D333" s="37"/>
      <c r="E333" s="37"/>
      <c r="F333" s="37"/>
      <c r="G333" s="37"/>
      <c r="H333" s="37"/>
      <c r="I333" s="37"/>
      <c r="J333" s="38"/>
      <c r="K333" s="38"/>
      <c r="L333" s="37"/>
      <c r="M333" s="37"/>
      <c r="N333" s="37"/>
      <c r="O333" s="37"/>
      <c r="P333" s="37"/>
      <c r="Q333" s="37"/>
      <c r="R333" s="38"/>
      <c r="S333" s="37"/>
      <c r="T333" s="37"/>
      <c r="U333" s="37"/>
      <c r="V333" s="37"/>
      <c r="W333" s="37"/>
      <c r="X333" s="37"/>
      <c r="Y333" s="38"/>
      <c r="Z333" s="37"/>
      <c r="AA333" s="37"/>
      <c r="AB333" s="37"/>
      <c r="AC333" s="37"/>
      <c r="AD333" s="37"/>
      <c r="AE333" s="37"/>
      <c r="AF333" s="38"/>
      <c r="AG333" s="37"/>
      <c r="AH333" s="37"/>
      <c r="AI333" s="37"/>
      <c r="AJ333" s="37"/>
      <c r="AK333" s="37"/>
      <c r="AL333" s="37"/>
      <c r="AM333" s="38"/>
      <c r="AN333" s="37"/>
      <c r="AO333" s="37"/>
      <c r="AP333" s="37"/>
      <c r="AQ333" s="37"/>
      <c r="AR333" s="37"/>
      <c r="AS333" s="37"/>
      <c r="AT333" s="37"/>
      <c r="AU333" s="38"/>
      <c r="AV333" s="38"/>
      <c r="AW333" s="38"/>
      <c r="AX333" s="37"/>
      <c r="AY333" s="37"/>
      <c r="AZ333" s="37"/>
      <c r="BA333" s="37"/>
      <c r="BB333" s="37"/>
      <c r="BC333" s="37"/>
      <c r="BD333" s="38"/>
      <c r="BE333" s="37"/>
      <c r="BF333" s="37"/>
      <c r="BG333" s="37"/>
      <c r="BH333" s="37"/>
      <c r="BI333" s="37"/>
      <c r="BJ333" s="37"/>
      <c r="BK333" s="37"/>
      <c r="BL333" s="37"/>
    </row>
    <row r="334" ht="15.75" customHeight="1">
      <c r="A334" s="37"/>
      <c r="B334" s="37"/>
      <c r="C334" s="38"/>
      <c r="D334" s="37"/>
      <c r="E334" s="37"/>
      <c r="F334" s="37"/>
      <c r="G334" s="37"/>
      <c r="H334" s="37"/>
      <c r="I334" s="37"/>
      <c r="J334" s="38"/>
      <c r="K334" s="38"/>
      <c r="L334" s="37"/>
      <c r="M334" s="37"/>
      <c r="N334" s="37"/>
      <c r="O334" s="37"/>
      <c r="P334" s="37"/>
      <c r="Q334" s="37"/>
      <c r="R334" s="38"/>
      <c r="S334" s="37"/>
      <c r="T334" s="37"/>
      <c r="U334" s="37"/>
      <c r="V334" s="37"/>
      <c r="W334" s="37"/>
      <c r="X334" s="37"/>
      <c r="Y334" s="38"/>
      <c r="Z334" s="37"/>
      <c r="AA334" s="37"/>
      <c r="AB334" s="37"/>
      <c r="AC334" s="37"/>
      <c r="AD334" s="37"/>
      <c r="AE334" s="37"/>
      <c r="AF334" s="38"/>
      <c r="AG334" s="37"/>
      <c r="AH334" s="37"/>
      <c r="AI334" s="37"/>
      <c r="AJ334" s="37"/>
      <c r="AK334" s="37"/>
      <c r="AL334" s="37"/>
      <c r="AM334" s="38"/>
      <c r="AN334" s="37"/>
      <c r="AO334" s="37"/>
      <c r="AP334" s="37"/>
      <c r="AQ334" s="37"/>
      <c r="AR334" s="37"/>
      <c r="AS334" s="37"/>
      <c r="AT334" s="37"/>
      <c r="AU334" s="38"/>
      <c r="AV334" s="38"/>
      <c r="AW334" s="38"/>
      <c r="AX334" s="37"/>
      <c r="AY334" s="37"/>
      <c r="AZ334" s="37"/>
      <c r="BA334" s="37"/>
      <c r="BB334" s="37"/>
      <c r="BC334" s="37"/>
      <c r="BD334" s="38"/>
      <c r="BE334" s="37"/>
      <c r="BF334" s="37"/>
      <c r="BG334" s="37"/>
      <c r="BH334" s="37"/>
      <c r="BI334" s="37"/>
      <c r="BJ334" s="37"/>
      <c r="BK334" s="37"/>
      <c r="BL334" s="37"/>
    </row>
    <row r="335" ht="15.75" customHeight="1">
      <c r="A335" s="37"/>
      <c r="B335" s="37"/>
      <c r="C335" s="38"/>
      <c r="D335" s="37"/>
      <c r="E335" s="37"/>
      <c r="F335" s="37"/>
      <c r="G335" s="37"/>
      <c r="H335" s="37"/>
      <c r="I335" s="37"/>
      <c r="J335" s="38"/>
      <c r="K335" s="38"/>
      <c r="L335" s="37"/>
      <c r="M335" s="37"/>
      <c r="N335" s="37"/>
      <c r="O335" s="37"/>
      <c r="P335" s="37"/>
      <c r="Q335" s="37"/>
      <c r="R335" s="38"/>
      <c r="S335" s="37"/>
      <c r="T335" s="37"/>
      <c r="U335" s="37"/>
      <c r="V335" s="37"/>
      <c r="W335" s="37"/>
      <c r="X335" s="37"/>
      <c r="Y335" s="38"/>
      <c r="Z335" s="37"/>
      <c r="AA335" s="37"/>
      <c r="AB335" s="37"/>
      <c r="AC335" s="37"/>
      <c r="AD335" s="37"/>
      <c r="AE335" s="37"/>
      <c r="AF335" s="38"/>
      <c r="AG335" s="37"/>
      <c r="AH335" s="37"/>
      <c r="AI335" s="37"/>
      <c r="AJ335" s="37"/>
      <c r="AK335" s="37"/>
      <c r="AL335" s="37"/>
      <c r="AM335" s="38"/>
      <c r="AN335" s="37"/>
      <c r="AO335" s="37"/>
      <c r="AP335" s="37"/>
      <c r="AQ335" s="37"/>
      <c r="AR335" s="37"/>
      <c r="AS335" s="37"/>
      <c r="AT335" s="37"/>
      <c r="AU335" s="38"/>
      <c r="AV335" s="38"/>
      <c r="AW335" s="38"/>
      <c r="AX335" s="37"/>
      <c r="AY335" s="37"/>
      <c r="AZ335" s="37"/>
      <c r="BA335" s="37"/>
      <c r="BB335" s="37"/>
      <c r="BC335" s="37"/>
      <c r="BD335" s="38"/>
      <c r="BE335" s="37"/>
      <c r="BF335" s="37"/>
      <c r="BG335" s="37"/>
      <c r="BH335" s="37"/>
      <c r="BI335" s="37"/>
      <c r="BJ335" s="37"/>
      <c r="BK335" s="37"/>
      <c r="BL335" s="37"/>
    </row>
    <row r="336" ht="15.75" customHeight="1">
      <c r="A336" s="37"/>
      <c r="B336" s="37"/>
      <c r="C336" s="38"/>
      <c r="D336" s="37"/>
      <c r="E336" s="37"/>
      <c r="F336" s="37"/>
      <c r="G336" s="37"/>
      <c r="H336" s="37"/>
      <c r="I336" s="37"/>
      <c r="J336" s="38"/>
      <c r="K336" s="38"/>
      <c r="L336" s="37"/>
      <c r="M336" s="37"/>
      <c r="N336" s="37"/>
      <c r="O336" s="37"/>
      <c r="P336" s="37"/>
      <c r="Q336" s="37"/>
      <c r="R336" s="38"/>
      <c r="S336" s="37"/>
      <c r="T336" s="37"/>
      <c r="U336" s="37"/>
      <c r="V336" s="37"/>
      <c r="W336" s="37"/>
      <c r="X336" s="37"/>
      <c r="Y336" s="38"/>
      <c r="Z336" s="37"/>
      <c r="AA336" s="37"/>
      <c r="AB336" s="37"/>
      <c r="AC336" s="37"/>
      <c r="AD336" s="37"/>
      <c r="AE336" s="37"/>
      <c r="AF336" s="38"/>
      <c r="AG336" s="37"/>
      <c r="AH336" s="37"/>
      <c r="AI336" s="37"/>
      <c r="AJ336" s="37"/>
      <c r="AK336" s="37"/>
      <c r="AL336" s="37"/>
      <c r="AM336" s="38"/>
      <c r="AN336" s="37"/>
      <c r="AO336" s="37"/>
      <c r="AP336" s="37"/>
      <c r="AQ336" s="37"/>
      <c r="AR336" s="37"/>
      <c r="AS336" s="37"/>
      <c r="AT336" s="37"/>
      <c r="AU336" s="38"/>
      <c r="AV336" s="38"/>
      <c r="AW336" s="38"/>
      <c r="AX336" s="37"/>
      <c r="AY336" s="37"/>
      <c r="AZ336" s="37"/>
      <c r="BA336" s="37"/>
      <c r="BB336" s="37"/>
      <c r="BC336" s="37"/>
      <c r="BD336" s="38"/>
      <c r="BE336" s="37"/>
      <c r="BF336" s="37"/>
      <c r="BG336" s="37"/>
      <c r="BH336" s="37"/>
      <c r="BI336" s="37"/>
      <c r="BJ336" s="37"/>
      <c r="BK336" s="37"/>
      <c r="BL336" s="37"/>
    </row>
    <row r="337" ht="15.75" customHeight="1">
      <c r="A337" s="37"/>
      <c r="B337" s="37"/>
      <c r="C337" s="38"/>
      <c r="D337" s="37"/>
      <c r="E337" s="37"/>
      <c r="F337" s="37"/>
      <c r="G337" s="37"/>
      <c r="H337" s="37"/>
      <c r="I337" s="37"/>
      <c r="J337" s="38"/>
      <c r="K337" s="38"/>
      <c r="L337" s="37"/>
      <c r="M337" s="37"/>
      <c r="N337" s="37"/>
      <c r="O337" s="37"/>
      <c r="P337" s="37"/>
      <c r="Q337" s="37"/>
      <c r="R337" s="38"/>
      <c r="S337" s="37"/>
      <c r="T337" s="37"/>
      <c r="U337" s="37"/>
      <c r="V337" s="37"/>
      <c r="W337" s="37"/>
      <c r="X337" s="37"/>
      <c r="Y337" s="38"/>
      <c r="Z337" s="37"/>
      <c r="AA337" s="37"/>
      <c r="AB337" s="37"/>
      <c r="AC337" s="37"/>
      <c r="AD337" s="37"/>
      <c r="AE337" s="37"/>
      <c r="AF337" s="38"/>
      <c r="AG337" s="37"/>
      <c r="AH337" s="37"/>
      <c r="AI337" s="37"/>
      <c r="AJ337" s="37"/>
      <c r="AK337" s="37"/>
      <c r="AL337" s="37"/>
      <c r="AM337" s="38"/>
      <c r="AN337" s="37"/>
      <c r="AO337" s="37"/>
      <c r="AP337" s="37"/>
      <c r="AQ337" s="37"/>
      <c r="AR337" s="37"/>
      <c r="AS337" s="37"/>
      <c r="AT337" s="37"/>
      <c r="AU337" s="38"/>
      <c r="AV337" s="38"/>
      <c r="AW337" s="38"/>
      <c r="AX337" s="37"/>
      <c r="AY337" s="37"/>
      <c r="AZ337" s="37"/>
      <c r="BA337" s="37"/>
      <c r="BB337" s="37"/>
      <c r="BC337" s="37"/>
      <c r="BD337" s="38"/>
      <c r="BE337" s="37"/>
      <c r="BF337" s="37"/>
      <c r="BG337" s="37"/>
      <c r="BH337" s="37"/>
      <c r="BI337" s="37"/>
      <c r="BJ337" s="37"/>
      <c r="BK337" s="37"/>
      <c r="BL337" s="37"/>
    </row>
    <row r="338" ht="15.75" customHeight="1">
      <c r="A338" s="37"/>
      <c r="B338" s="37"/>
      <c r="C338" s="38"/>
      <c r="D338" s="37"/>
      <c r="E338" s="37"/>
      <c r="F338" s="37"/>
      <c r="G338" s="37"/>
      <c r="H338" s="37"/>
      <c r="I338" s="37"/>
      <c r="J338" s="38"/>
      <c r="K338" s="38"/>
      <c r="L338" s="37"/>
      <c r="M338" s="37"/>
      <c r="N338" s="37"/>
      <c r="O338" s="37"/>
      <c r="P338" s="37"/>
      <c r="Q338" s="37"/>
      <c r="R338" s="38"/>
      <c r="S338" s="37"/>
      <c r="T338" s="37"/>
      <c r="U338" s="37"/>
      <c r="V338" s="37"/>
      <c r="W338" s="37"/>
      <c r="X338" s="37"/>
      <c r="Y338" s="38"/>
      <c r="Z338" s="37"/>
      <c r="AA338" s="37"/>
      <c r="AB338" s="37"/>
      <c r="AC338" s="37"/>
      <c r="AD338" s="37"/>
      <c r="AE338" s="37"/>
      <c r="AF338" s="38"/>
      <c r="AG338" s="37"/>
      <c r="AH338" s="37"/>
      <c r="AI338" s="37"/>
      <c r="AJ338" s="37"/>
      <c r="AK338" s="37"/>
      <c r="AL338" s="37"/>
      <c r="AM338" s="38"/>
      <c r="AN338" s="37"/>
      <c r="AO338" s="37"/>
      <c r="AP338" s="37"/>
      <c r="AQ338" s="37"/>
      <c r="AR338" s="37"/>
      <c r="AS338" s="37"/>
      <c r="AT338" s="37"/>
      <c r="AU338" s="38"/>
      <c r="AV338" s="38"/>
      <c r="AW338" s="38"/>
      <c r="AX338" s="37"/>
      <c r="AY338" s="37"/>
      <c r="AZ338" s="37"/>
      <c r="BA338" s="37"/>
      <c r="BB338" s="37"/>
      <c r="BC338" s="37"/>
      <c r="BD338" s="38"/>
      <c r="BE338" s="37"/>
      <c r="BF338" s="37"/>
      <c r="BG338" s="37"/>
      <c r="BH338" s="37"/>
      <c r="BI338" s="37"/>
      <c r="BJ338" s="37"/>
      <c r="BK338" s="37"/>
      <c r="BL338" s="37"/>
    </row>
    <row r="339" ht="15.75" customHeight="1">
      <c r="A339" s="37"/>
      <c r="B339" s="37"/>
      <c r="C339" s="38"/>
      <c r="D339" s="37"/>
      <c r="E339" s="37"/>
      <c r="F339" s="37"/>
      <c r="G339" s="37"/>
      <c r="H339" s="37"/>
      <c r="I339" s="37"/>
      <c r="J339" s="38"/>
      <c r="K339" s="38"/>
      <c r="L339" s="37"/>
      <c r="M339" s="37"/>
      <c r="N339" s="37"/>
      <c r="O339" s="37"/>
      <c r="P339" s="37"/>
      <c r="Q339" s="37"/>
      <c r="R339" s="38"/>
      <c r="S339" s="37"/>
      <c r="T339" s="37"/>
      <c r="U339" s="37"/>
      <c r="V339" s="37"/>
      <c r="W339" s="37"/>
      <c r="X339" s="37"/>
      <c r="Y339" s="38"/>
      <c r="Z339" s="37"/>
      <c r="AA339" s="37"/>
      <c r="AB339" s="37"/>
      <c r="AC339" s="37"/>
      <c r="AD339" s="37"/>
      <c r="AE339" s="37"/>
      <c r="AF339" s="38"/>
      <c r="AG339" s="37"/>
      <c r="AH339" s="37"/>
      <c r="AI339" s="37"/>
      <c r="AJ339" s="37"/>
      <c r="AK339" s="37"/>
      <c r="AL339" s="37"/>
      <c r="AM339" s="38"/>
      <c r="AN339" s="37"/>
      <c r="AO339" s="37"/>
      <c r="AP339" s="37"/>
      <c r="AQ339" s="37"/>
      <c r="AR339" s="37"/>
      <c r="AS339" s="37"/>
      <c r="AT339" s="37"/>
      <c r="AU339" s="38"/>
      <c r="AV339" s="38"/>
      <c r="AW339" s="38"/>
      <c r="AX339" s="37"/>
      <c r="AY339" s="37"/>
      <c r="AZ339" s="37"/>
      <c r="BA339" s="37"/>
      <c r="BB339" s="37"/>
      <c r="BC339" s="37"/>
      <c r="BD339" s="38"/>
      <c r="BE339" s="37"/>
      <c r="BF339" s="37"/>
      <c r="BG339" s="37"/>
      <c r="BH339" s="37"/>
      <c r="BI339" s="37"/>
      <c r="BJ339" s="37"/>
      <c r="BK339" s="37"/>
      <c r="BL339" s="37"/>
    </row>
    <row r="340" ht="15.75" customHeight="1">
      <c r="A340" s="37"/>
      <c r="B340" s="37"/>
      <c r="C340" s="38"/>
      <c r="D340" s="37"/>
      <c r="E340" s="37"/>
      <c r="F340" s="37"/>
      <c r="G340" s="37"/>
      <c r="H340" s="37"/>
      <c r="I340" s="37"/>
      <c r="J340" s="38"/>
      <c r="K340" s="38"/>
      <c r="L340" s="37"/>
      <c r="M340" s="37"/>
      <c r="N340" s="37"/>
      <c r="O340" s="37"/>
      <c r="P340" s="37"/>
      <c r="Q340" s="37"/>
      <c r="R340" s="38"/>
      <c r="S340" s="37"/>
      <c r="T340" s="37"/>
      <c r="U340" s="37"/>
      <c r="V340" s="37"/>
      <c r="W340" s="37"/>
      <c r="X340" s="37"/>
      <c r="Y340" s="38"/>
      <c r="Z340" s="37"/>
      <c r="AA340" s="37"/>
      <c r="AB340" s="37"/>
      <c r="AC340" s="37"/>
      <c r="AD340" s="37"/>
      <c r="AE340" s="37"/>
      <c r="AF340" s="38"/>
      <c r="AG340" s="37"/>
      <c r="AH340" s="37"/>
      <c r="AI340" s="37"/>
      <c r="AJ340" s="37"/>
      <c r="AK340" s="37"/>
      <c r="AL340" s="37"/>
      <c r="AM340" s="38"/>
      <c r="AN340" s="37"/>
      <c r="AO340" s="37"/>
      <c r="AP340" s="37"/>
      <c r="AQ340" s="37"/>
      <c r="AR340" s="37"/>
      <c r="AS340" s="37"/>
      <c r="AT340" s="37"/>
      <c r="AU340" s="38"/>
      <c r="AV340" s="38"/>
      <c r="AW340" s="38"/>
      <c r="AX340" s="37"/>
      <c r="AY340" s="37"/>
      <c r="AZ340" s="37"/>
      <c r="BA340" s="37"/>
      <c r="BB340" s="37"/>
      <c r="BC340" s="37"/>
      <c r="BD340" s="38"/>
      <c r="BE340" s="37"/>
      <c r="BF340" s="37"/>
      <c r="BG340" s="37"/>
      <c r="BH340" s="37"/>
      <c r="BI340" s="37"/>
      <c r="BJ340" s="37"/>
      <c r="BK340" s="37"/>
      <c r="BL340" s="37"/>
    </row>
    <row r="341" ht="15.75" customHeight="1">
      <c r="A341" s="37"/>
      <c r="B341" s="37"/>
      <c r="C341" s="38"/>
      <c r="D341" s="37"/>
      <c r="E341" s="37"/>
      <c r="F341" s="37"/>
      <c r="G341" s="37"/>
      <c r="H341" s="37"/>
      <c r="I341" s="37"/>
      <c r="J341" s="38"/>
      <c r="K341" s="38"/>
      <c r="L341" s="37"/>
      <c r="M341" s="37"/>
      <c r="N341" s="37"/>
      <c r="O341" s="37"/>
      <c r="P341" s="37"/>
      <c r="Q341" s="37"/>
      <c r="R341" s="38"/>
      <c r="S341" s="37"/>
      <c r="T341" s="37"/>
      <c r="U341" s="37"/>
      <c r="V341" s="37"/>
      <c r="W341" s="37"/>
      <c r="X341" s="37"/>
      <c r="Y341" s="38"/>
      <c r="Z341" s="37"/>
      <c r="AA341" s="37"/>
      <c r="AB341" s="37"/>
      <c r="AC341" s="37"/>
      <c r="AD341" s="37"/>
      <c r="AE341" s="37"/>
      <c r="AF341" s="38"/>
      <c r="AG341" s="37"/>
      <c r="AH341" s="37"/>
      <c r="AI341" s="37"/>
      <c r="AJ341" s="37"/>
      <c r="AK341" s="37"/>
      <c r="AL341" s="37"/>
      <c r="AM341" s="38"/>
      <c r="AN341" s="37"/>
      <c r="AO341" s="37"/>
      <c r="AP341" s="37"/>
      <c r="AQ341" s="37"/>
      <c r="AR341" s="37"/>
      <c r="AS341" s="37"/>
      <c r="AT341" s="37"/>
      <c r="AU341" s="38"/>
      <c r="AV341" s="38"/>
      <c r="AW341" s="38"/>
      <c r="AX341" s="37"/>
      <c r="AY341" s="37"/>
      <c r="AZ341" s="37"/>
      <c r="BA341" s="37"/>
      <c r="BB341" s="37"/>
      <c r="BC341" s="37"/>
      <c r="BD341" s="38"/>
      <c r="BE341" s="37"/>
      <c r="BF341" s="37"/>
      <c r="BG341" s="37"/>
      <c r="BH341" s="37"/>
      <c r="BI341" s="37"/>
      <c r="BJ341" s="37"/>
      <c r="BK341" s="37"/>
      <c r="BL341" s="37"/>
    </row>
    <row r="342" ht="15.75" customHeight="1">
      <c r="A342" s="37"/>
      <c r="B342" s="37"/>
      <c r="C342" s="38"/>
      <c r="D342" s="37"/>
      <c r="E342" s="37"/>
      <c r="F342" s="37"/>
      <c r="G342" s="37"/>
      <c r="H342" s="37"/>
      <c r="I342" s="37"/>
      <c r="J342" s="38"/>
      <c r="K342" s="38"/>
      <c r="L342" s="37"/>
      <c r="M342" s="37"/>
      <c r="N342" s="37"/>
      <c r="O342" s="37"/>
      <c r="P342" s="37"/>
      <c r="Q342" s="37"/>
      <c r="R342" s="38"/>
      <c r="S342" s="37"/>
      <c r="T342" s="37"/>
      <c r="U342" s="37"/>
      <c r="V342" s="37"/>
      <c r="W342" s="37"/>
      <c r="X342" s="37"/>
      <c r="Y342" s="38"/>
      <c r="Z342" s="37"/>
      <c r="AA342" s="37"/>
      <c r="AB342" s="37"/>
      <c r="AC342" s="37"/>
      <c r="AD342" s="37"/>
      <c r="AE342" s="37"/>
      <c r="AF342" s="38"/>
      <c r="AG342" s="37"/>
      <c r="AH342" s="37"/>
      <c r="AI342" s="37"/>
      <c r="AJ342" s="37"/>
      <c r="AK342" s="37"/>
      <c r="AL342" s="37"/>
      <c r="AM342" s="38"/>
      <c r="AN342" s="37"/>
      <c r="AO342" s="37"/>
      <c r="AP342" s="37"/>
      <c r="AQ342" s="37"/>
      <c r="AR342" s="37"/>
      <c r="AS342" s="37"/>
      <c r="AT342" s="37"/>
      <c r="AU342" s="38"/>
      <c r="AV342" s="38"/>
      <c r="AW342" s="38"/>
      <c r="AX342" s="37"/>
      <c r="AY342" s="37"/>
      <c r="AZ342" s="37"/>
      <c r="BA342" s="37"/>
      <c r="BB342" s="37"/>
      <c r="BC342" s="37"/>
      <c r="BD342" s="38"/>
      <c r="BE342" s="37"/>
      <c r="BF342" s="37"/>
      <c r="BG342" s="37"/>
      <c r="BH342" s="37"/>
      <c r="BI342" s="37"/>
      <c r="BJ342" s="37"/>
      <c r="BK342" s="37"/>
      <c r="BL342" s="37"/>
    </row>
    <row r="343" ht="15.75" customHeight="1">
      <c r="A343" s="37"/>
      <c r="B343" s="37"/>
      <c r="C343" s="38"/>
      <c r="D343" s="37"/>
      <c r="E343" s="37"/>
      <c r="F343" s="37"/>
      <c r="G343" s="37"/>
      <c r="H343" s="37"/>
      <c r="I343" s="37"/>
      <c r="J343" s="38"/>
      <c r="K343" s="38"/>
      <c r="L343" s="37"/>
      <c r="M343" s="37"/>
      <c r="N343" s="37"/>
      <c r="O343" s="37"/>
      <c r="P343" s="37"/>
      <c r="Q343" s="37"/>
      <c r="R343" s="38"/>
      <c r="S343" s="37"/>
      <c r="T343" s="37"/>
      <c r="U343" s="37"/>
      <c r="V343" s="37"/>
      <c r="W343" s="37"/>
      <c r="X343" s="37"/>
      <c r="Y343" s="38"/>
      <c r="Z343" s="37"/>
      <c r="AA343" s="37"/>
      <c r="AB343" s="37"/>
      <c r="AC343" s="37"/>
      <c r="AD343" s="37"/>
      <c r="AE343" s="37"/>
      <c r="AF343" s="38"/>
      <c r="AG343" s="37"/>
      <c r="AH343" s="37"/>
      <c r="AI343" s="37"/>
      <c r="AJ343" s="37"/>
      <c r="AK343" s="37"/>
      <c r="AL343" s="37"/>
      <c r="AM343" s="38"/>
      <c r="AN343" s="37"/>
      <c r="AO343" s="37"/>
      <c r="AP343" s="37"/>
      <c r="AQ343" s="37"/>
      <c r="AR343" s="37"/>
      <c r="AS343" s="37"/>
      <c r="AT343" s="37"/>
      <c r="AU343" s="38"/>
      <c r="AV343" s="38"/>
      <c r="AW343" s="38"/>
      <c r="AX343" s="37"/>
      <c r="AY343" s="37"/>
      <c r="AZ343" s="37"/>
      <c r="BA343" s="37"/>
      <c r="BB343" s="37"/>
      <c r="BC343" s="37"/>
      <c r="BD343" s="38"/>
      <c r="BE343" s="37"/>
      <c r="BF343" s="37"/>
      <c r="BG343" s="37"/>
      <c r="BH343" s="37"/>
      <c r="BI343" s="37"/>
      <c r="BJ343" s="37"/>
      <c r="BK343" s="37"/>
      <c r="BL343" s="37"/>
    </row>
    <row r="344" ht="15.75" customHeight="1">
      <c r="A344" s="37"/>
      <c r="B344" s="37"/>
      <c r="C344" s="38"/>
      <c r="D344" s="37"/>
      <c r="E344" s="37"/>
      <c r="F344" s="37"/>
      <c r="G344" s="37"/>
      <c r="H344" s="37"/>
      <c r="I344" s="37"/>
      <c r="J344" s="38"/>
      <c r="K344" s="38"/>
      <c r="L344" s="37"/>
      <c r="M344" s="37"/>
      <c r="N344" s="37"/>
      <c r="O344" s="37"/>
      <c r="P344" s="37"/>
      <c r="Q344" s="37"/>
      <c r="R344" s="38"/>
      <c r="S344" s="37"/>
      <c r="T344" s="37"/>
      <c r="U344" s="37"/>
      <c r="V344" s="37"/>
      <c r="W344" s="37"/>
      <c r="X344" s="37"/>
      <c r="Y344" s="38"/>
      <c r="Z344" s="37"/>
      <c r="AA344" s="37"/>
      <c r="AB344" s="37"/>
      <c r="AC344" s="37"/>
      <c r="AD344" s="37"/>
      <c r="AE344" s="37"/>
      <c r="AF344" s="38"/>
      <c r="AG344" s="37"/>
      <c r="AH344" s="37"/>
      <c r="AI344" s="37"/>
      <c r="AJ344" s="37"/>
      <c r="AK344" s="37"/>
      <c r="AL344" s="37"/>
      <c r="AM344" s="38"/>
      <c r="AN344" s="37"/>
      <c r="AO344" s="37"/>
      <c r="AP344" s="37"/>
      <c r="AQ344" s="37"/>
      <c r="AR344" s="37"/>
      <c r="AS344" s="37"/>
      <c r="AT344" s="37"/>
      <c r="AU344" s="38"/>
      <c r="AV344" s="38"/>
      <c r="AW344" s="38"/>
      <c r="AX344" s="37"/>
      <c r="AY344" s="37"/>
      <c r="AZ344" s="37"/>
      <c r="BA344" s="37"/>
      <c r="BB344" s="37"/>
      <c r="BC344" s="37"/>
      <c r="BD344" s="38"/>
      <c r="BE344" s="37"/>
      <c r="BF344" s="37"/>
      <c r="BG344" s="37"/>
      <c r="BH344" s="37"/>
      <c r="BI344" s="37"/>
      <c r="BJ344" s="37"/>
      <c r="BK344" s="37"/>
      <c r="BL344" s="37"/>
    </row>
    <row r="345" ht="15.75" customHeight="1">
      <c r="A345" s="37"/>
      <c r="B345" s="37"/>
      <c r="C345" s="38"/>
      <c r="D345" s="37"/>
      <c r="E345" s="37"/>
      <c r="F345" s="37"/>
      <c r="G345" s="37"/>
      <c r="H345" s="37"/>
      <c r="I345" s="37"/>
      <c r="J345" s="38"/>
      <c r="K345" s="38"/>
      <c r="L345" s="37"/>
      <c r="M345" s="37"/>
      <c r="N345" s="37"/>
      <c r="O345" s="37"/>
      <c r="P345" s="37"/>
      <c r="Q345" s="37"/>
      <c r="R345" s="38"/>
      <c r="S345" s="37"/>
      <c r="T345" s="37"/>
      <c r="U345" s="37"/>
      <c r="V345" s="37"/>
      <c r="W345" s="37"/>
      <c r="X345" s="37"/>
      <c r="Y345" s="38"/>
      <c r="Z345" s="37"/>
      <c r="AA345" s="37"/>
      <c r="AB345" s="37"/>
      <c r="AC345" s="37"/>
      <c r="AD345" s="37"/>
      <c r="AE345" s="37"/>
      <c r="AF345" s="38"/>
      <c r="AG345" s="37"/>
      <c r="AH345" s="37"/>
      <c r="AI345" s="37"/>
      <c r="AJ345" s="37"/>
      <c r="AK345" s="37"/>
      <c r="AL345" s="37"/>
      <c r="AM345" s="38"/>
      <c r="AN345" s="37"/>
      <c r="AO345" s="37"/>
      <c r="AP345" s="37"/>
      <c r="AQ345" s="37"/>
      <c r="AR345" s="37"/>
      <c r="AS345" s="37"/>
      <c r="AT345" s="37"/>
      <c r="AU345" s="38"/>
      <c r="AV345" s="38"/>
      <c r="AW345" s="38"/>
      <c r="AX345" s="37"/>
      <c r="AY345" s="37"/>
      <c r="AZ345" s="37"/>
      <c r="BA345" s="37"/>
      <c r="BB345" s="37"/>
      <c r="BC345" s="37"/>
      <c r="BD345" s="38"/>
      <c r="BE345" s="37"/>
      <c r="BF345" s="37"/>
      <c r="BG345" s="37"/>
      <c r="BH345" s="37"/>
      <c r="BI345" s="37"/>
      <c r="BJ345" s="37"/>
      <c r="BK345" s="37"/>
      <c r="BL345" s="37"/>
    </row>
    <row r="346" ht="15.75" customHeight="1">
      <c r="A346" s="37"/>
      <c r="B346" s="37"/>
      <c r="C346" s="38"/>
      <c r="D346" s="37"/>
      <c r="E346" s="37"/>
      <c r="F346" s="37"/>
      <c r="G346" s="37"/>
      <c r="H346" s="37"/>
      <c r="I346" s="37"/>
      <c r="J346" s="38"/>
      <c r="K346" s="38"/>
      <c r="L346" s="37"/>
      <c r="M346" s="37"/>
      <c r="N346" s="37"/>
      <c r="O346" s="37"/>
      <c r="P346" s="37"/>
      <c r="Q346" s="37"/>
      <c r="R346" s="38"/>
      <c r="S346" s="37"/>
      <c r="T346" s="37"/>
      <c r="U346" s="37"/>
      <c r="V346" s="37"/>
      <c r="W346" s="37"/>
      <c r="X346" s="37"/>
      <c r="Y346" s="38"/>
      <c r="Z346" s="37"/>
      <c r="AA346" s="37"/>
      <c r="AB346" s="37"/>
      <c r="AC346" s="37"/>
      <c r="AD346" s="37"/>
      <c r="AE346" s="37"/>
      <c r="AF346" s="38"/>
      <c r="AG346" s="37"/>
      <c r="AH346" s="37"/>
      <c r="AI346" s="37"/>
      <c r="AJ346" s="37"/>
      <c r="AK346" s="37"/>
      <c r="AL346" s="37"/>
      <c r="AM346" s="38"/>
      <c r="AN346" s="37"/>
      <c r="AO346" s="37"/>
      <c r="AP346" s="37"/>
      <c r="AQ346" s="37"/>
      <c r="AR346" s="37"/>
      <c r="AS346" s="37"/>
      <c r="AT346" s="37"/>
      <c r="AU346" s="38"/>
      <c r="AV346" s="38"/>
      <c r="AW346" s="38"/>
      <c r="AX346" s="37"/>
      <c r="AY346" s="37"/>
      <c r="AZ346" s="37"/>
      <c r="BA346" s="37"/>
      <c r="BB346" s="37"/>
      <c r="BC346" s="37"/>
      <c r="BD346" s="38"/>
      <c r="BE346" s="37"/>
      <c r="BF346" s="37"/>
      <c r="BG346" s="37"/>
      <c r="BH346" s="37"/>
      <c r="BI346" s="37"/>
      <c r="BJ346" s="37"/>
      <c r="BK346" s="37"/>
      <c r="BL346" s="37"/>
    </row>
    <row r="347" ht="15.75" customHeight="1">
      <c r="A347" s="37"/>
      <c r="B347" s="37"/>
      <c r="C347" s="38"/>
      <c r="D347" s="37"/>
      <c r="E347" s="37"/>
      <c r="F347" s="37"/>
      <c r="G347" s="37"/>
      <c r="H347" s="37"/>
      <c r="I347" s="37"/>
      <c r="J347" s="38"/>
      <c r="K347" s="38"/>
      <c r="L347" s="37"/>
      <c r="M347" s="37"/>
      <c r="N347" s="37"/>
      <c r="O347" s="37"/>
      <c r="P347" s="37"/>
      <c r="Q347" s="37"/>
      <c r="R347" s="38"/>
      <c r="S347" s="37"/>
      <c r="T347" s="37"/>
      <c r="U347" s="37"/>
      <c r="V347" s="37"/>
      <c r="W347" s="37"/>
      <c r="X347" s="37"/>
      <c r="Y347" s="38"/>
      <c r="Z347" s="37"/>
      <c r="AA347" s="37"/>
      <c r="AB347" s="37"/>
      <c r="AC347" s="37"/>
      <c r="AD347" s="37"/>
      <c r="AE347" s="37"/>
      <c r="AF347" s="38"/>
      <c r="AG347" s="37"/>
      <c r="AH347" s="37"/>
      <c r="AI347" s="37"/>
      <c r="AJ347" s="37"/>
      <c r="AK347" s="37"/>
      <c r="AL347" s="37"/>
      <c r="AM347" s="38"/>
      <c r="AN347" s="37"/>
      <c r="AO347" s="37"/>
      <c r="AP347" s="37"/>
      <c r="AQ347" s="37"/>
      <c r="AR347" s="37"/>
      <c r="AS347" s="37"/>
      <c r="AT347" s="37"/>
      <c r="AU347" s="38"/>
      <c r="AV347" s="38"/>
      <c r="AW347" s="38"/>
      <c r="AX347" s="37"/>
      <c r="AY347" s="37"/>
      <c r="AZ347" s="37"/>
      <c r="BA347" s="37"/>
      <c r="BB347" s="37"/>
      <c r="BC347" s="37"/>
      <c r="BD347" s="38"/>
      <c r="BE347" s="37"/>
      <c r="BF347" s="37"/>
      <c r="BG347" s="37"/>
      <c r="BH347" s="37"/>
      <c r="BI347" s="37"/>
      <c r="BJ347" s="37"/>
      <c r="BK347" s="37"/>
      <c r="BL347" s="37"/>
    </row>
    <row r="348" ht="15.75" customHeight="1">
      <c r="A348" s="37"/>
      <c r="B348" s="37"/>
      <c r="C348" s="38"/>
      <c r="D348" s="37"/>
      <c r="E348" s="37"/>
      <c r="F348" s="37"/>
      <c r="G348" s="37"/>
      <c r="H348" s="37"/>
      <c r="I348" s="37"/>
      <c r="J348" s="38"/>
      <c r="K348" s="38"/>
      <c r="L348" s="37"/>
      <c r="M348" s="37"/>
      <c r="N348" s="37"/>
      <c r="O348" s="37"/>
      <c r="P348" s="37"/>
      <c r="Q348" s="37"/>
      <c r="R348" s="38"/>
      <c r="S348" s="37"/>
      <c r="T348" s="37"/>
      <c r="U348" s="37"/>
      <c r="V348" s="37"/>
      <c r="W348" s="37"/>
      <c r="X348" s="37"/>
      <c r="Y348" s="38"/>
      <c r="Z348" s="37"/>
      <c r="AA348" s="37"/>
      <c r="AB348" s="37"/>
      <c r="AC348" s="37"/>
      <c r="AD348" s="37"/>
      <c r="AE348" s="37"/>
      <c r="AF348" s="38"/>
      <c r="AG348" s="37"/>
      <c r="AH348" s="37"/>
      <c r="AI348" s="37"/>
      <c r="AJ348" s="37"/>
      <c r="AK348" s="37"/>
      <c r="AL348" s="37"/>
      <c r="AM348" s="38"/>
      <c r="AN348" s="37"/>
      <c r="AO348" s="37"/>
      <c r="AP348" s="37"/>
      <c r="AQ348" s="37"/>
      <c r="AR348" s="37"/>
      <c r="AS348" s="37"/>
      <c r="AT348" s="37"/>
      <c r="AU348" s="38"/>
      <c r="AV348" s="38"/>
      <c r="AW348" s="38"/>
      <c r="AX348" s="37"/>
      <c r="AY348" s="37"/>
      <c r="AZ348" s="37"/>
      <c r="BA348" s="37"/>
      <c r="BB348" s="37"/>
      <c r="BC348" s="37"/>
      <c r="BD348" s="38"/>
      <c r="BE348" s="37"/>
      <c r="BF348" s="37"/>
      <c r="BG348" s="37"/>
      <c r="BH348" s="37"/>
      <c r="BI348" s="37"/>
      <c r="BJ348" s="37"/>
      <c r="BK348" s="37"/>
      <c r="BL348" s="37"/>
    </row>
    <row r="349" ht="15.75" customHeight="1">
      <c r="A349" s="37"/>
      <c r="B349" s="37"/>
      <c r="C349" s="38"/>
      <c r="D349" s="37"/>
      <c r="E349" s="37"/>
      <c r="F349" s="37"/>
      <c r="G349" s="37"/>
      <c r="H349" s="37"/>
      <c r="I349" s="37"/>
      <c r="J349" s="38"/>
      <c r="K349" s="38"/>
      <c r="L349" s="37"/>
      <c r="M349" s="37"/>
      <c r="N349" s="37"/>
      <c r="O349" s="37"/>
      <c r="P349" s="37"/>
      <c r="Q349" s="37"/>
      <c r="R349" s="38"/>
      <c r="S349" s="37"/>
      <c r="T349" s="37"/>
      <c r="U349" s="37"/>
      <c r="V349" s="37"/>
      <c r="W349" s="37"/>
      <c r="X349" s="37"/>
      <c r="Y349" s="38"/>
      <c r="Z349" s="37"/>
      <c r="AA349" s="37"/>
      <c r="AB349" s="37"/>
      <c r="AC349" s="37"/>
      <c r="AD349" s="37"/>
      <c r="AE349" s="37"/>
      <c r="AF349" s="38"/>
      <c r="AG349" s="37"/>
      <c r="AH349" s="37"/>
      <c r="AI349" s="37"/>
      <c r="AJ349" s="37"/>
      <c r="AK349" s="37"/>
      <c r="AL349" s="37"/>
      <c r="AM349" s="38"/>
      <c r="AN349" s="37"/>
      <c r="AO349" s="37"/>
      <c r="AP349" s="37"/>
      <c r="AQ349" s="37"/>
      <c r="AR349" s="37"/>
      <c r="AS349" s="37"/>
      <c r="AT349" s="37"/>
      <c r="AU349" s="38"/>
      <c r="AV349" s="38"/>
      <c r="AW349" s="38"/>
      <c r="AX349" s="37"/>
      <c r="AY349" s="37"/>
      <c r="AZ349" s="37"/>
      <c r="BA349" s="37"/>
      <c r="BB349" s="37"/>
      <c r="BC349" s="37"/>
      <c r="BD349" s="38"/>
      <c r="BE349" s="37"/>
      <c r="BF349" s="37"/>
      <c r="BG349" s="37"/>
      <c r="BH349" s="37"/>
      <c r="BI349" s="37"/>
      <c r="BJ349" s="37"/>
      <c r="BK349" s="37"/>
      <c r="BL349" s="37"/>
    </row>
    <row r="350" ht="15.75" customHeight="1">
      <c r="A350" s="37"/>
      <c r="B350" s="37"/>
      <c r="C350" s="38"/>
      <c r="D350" s="37"/>
      <c r="E350" s="37"/>
      <c r="F350" s="37"/>
      <c r="G350" s="37"/>
      <c r="H350" s="37"/>
      <c r="I350" s="37"/>
      <c r="J350" s="38"/>
      <c r="K350" s="38"/>
      <c r="L350" s="37"/>
      <c r="M350" s="37"/>
      <c r="N350" s="37"/>
      <c r="O350" s="37"/>
      <c r="P350" s="37"/>
      <c r="Q350" s="37"/>
      <c r="R350" s="38"/>
      <c r="S350" s="37"/>
      <c r="T350" s="37"/>
      <c r="U350" s="37"/>
      <c r="V350" s="37"/>
      <c r="W350" s="37"/>
      <c r="X350" s="37"/>
      <c r="Y350" s="38"/>
      <c r="Z350" s="37"/>
      <c r="AA350" s="37"/>
      <c r="AB350" s="37"/>
      <c r="AC350" s="37"/>
      <c r="AD350" s="37"/>
      <c r="AE350" s="37"/>
      <c r="AF350" s="38"/>
      <c r="AG350" s="37"/>
      <c r="AH350" s="37"/>
      <c r="AI350" s="37"/>
      <c r="AJ350" s="37"/>
      <c r="AK350" s="37"/>
      <c r="AL350" s="37"/>
      <c r="AM350" s="38"/>
      <c r="AN350" s="37"/>
      <c r="AO350" s="37"/>
      <c r="AP350" s="37"/>
      <c r="AQ350" s="37"/>
      <c r="AR350" s="37"/>
      <c r="AS350" s="37"/>
      <c r="AT350" s="37"/>
      <c r="AU350" s="38"/>
      <c r="AV350" s="38"/>
      <c r="AW350" s="38"/>
      <c r="AX350" s="37"/>
      <c r="AY350" s="37"/>
      <c r="AZ350" s="37"/>
      <c r="BA350" s="37"/>
      <c r="BB350" s="37"/>
      <c r="BC350" s="37"/>
      <c r="BD350" s="38"/>
      <c r="BE350" s="37"/>
      <c r="BF350" s="37"/>
      <c r="BG350" s="37"/>
      <c r="BH350" s="37"/>
      <c r="BI350" s="37"/>
      <c r="BJ350" s="37"/>
      <c r="BK350" s="37"/>
      <c r="BL350" s="37"/>
    </row>
    <row r="351" ht="15.75" customHeight="1">
      <c r="A351" s="37"/>
      <c r="B351" s="37"/>
      <c r="C351" s="38"/>
      <c r="D351" s="37"/>
      <c r="E351" s="37"/>
      <c r="F351" s="37"/>
      <c r="G351" s="37"/>
      <c r="H351" s="37"/>
      <c r="I351" s="37"/>
      <c r="J351" s="38"/>
      <c r="K351" s="38"/>
      <c r="L351" s="37"/>
      <c r="M351" s="37"/>
      <c r="N351" s="37"/>
      <c r="O351" s="37"/>
      <c r="P351" s="37"/>
      <c r="Q351" s="37"/>
      <c r="R351" s="38"/>
      <c r="S351" s="37"/>
      <c r="T351" s="37"/>
      <c r="U351" s="37"/>
      <c r="V351" s="37"/>
      <c r="W351" s="37"/>
      <c r="X351" s="37"/>
      <c r="Y351" s="38"/>
      <c r="Z351" s="37"/>
      <c r="AA351" s="37"/>
      <c r="AB351" s="37"/>
      <c r="AC351" s="37"/>
      <c r="AD351" s="37"/>
      <c r="AE351" s="37"/>
      <c r="AF351" s="38"/>
      <c r="AG351" s="37"/>
      <c r="AH351" s="37"/>
      <c r="AI351" s="37"/>
      <c r="AJ351" s="37"/>
      <c r="AK351" s="37"/>
      <c r="AL351" s="37"/>
      <c r="AM351" s="38"/>
      <c r="AN351" s="37"/>
      <c r="AO351" s="37"/>
      <c r="AP351" s="37"/>
      <c r="AQ351" s="37"/>
      <c r="AR351" s="37"/>
      <c r="AS351" s="37"/>
      <c r="AT351" s="37"/>
      <c r="AU351" s="38"/>
      <c r="AV351" s="38"/>
      <c r="AW351" s="38"/>
      <c r="AX351" s="37"/>
      <c r="AY351" s="37"/>
      <c r="AZ351" s="37"/>
      <c r="BA351" s="37"/>
      <c r="BB351" s="37"/>
      <c r="BC351" s="37"/>
      <c r="BD351" s="38"/>
      <c r="BE351" s="37"/>
      <c r="BF351" s="37"/>
      <c r="BG351" s="37"/>
      <c r="BH351" s="37"/>
      <c r="BI351" s="37"/>
      <c r="BJ351" s="37"/>
      <c r="BK351" s="37"/>
      <c r="BL351" s="37"/>
    </row>
    <row r="352" ht="15.75" customHeight="1">
      <c r="A352" s="37"/>
      <c r="B352" s="37"/>
      <c r="C352" s="38"/>
      <c r="D352" s="37"/>
      <c r="E352" s="37"/>
      <c r="F352" s="37"/>
      <c r="G352" s="37"/>
      <c r="H352" s="37"/>
      <c r="I352" s="37"/>
      <c r="J352" s="38"/>
      <c r="K352" s="38"/>
      <c r="L352" s="37"/>
      <c r="M352" s="37"/>
      <c r="N352" s="37"/>
      <c r="O352" s="37"/>
      <c r="P352" s="37"/>
      <c r="Q352" s="37"/>
      <c r="R352" s="38"/>
      <c r="S352" s="37"/>
      <c r="T352" s="37"/>
      <c r="U352" s="37"/>
      <c r="V352" s="37"/>
      <c r="W352" s="37"/>
      <c r="X352" s="37"/>
      <c r="Y352" s="38"/>
      <c r="Z352" s="37"/>
      <c r="AA352" s="37"/>
      <c r="AB352" s="37"/>
      <c r="AC352" s="37"/>
      <c r="AD352" s="37"/>
      <c r="AE352" s="37"/>
      <c r="AF352" s="38"/>
      <c r="AG352" s="37"/>
      <c r="AH352" s="37"/>
      <c r="AI352" s="37"/>
      <c r="AJ352" s="37"/>
      <c r="AK352" s="37"/>
      <c r="AL352" s="37"/>
      <c r="AM352" s="38"/>
      <c r="AN352" s="37"/>
      <c r="AO352" s="37"/>
      <c r="AP352" s="37"/>
      <c r="AQ352" s="37"/>
      <c r="AR352" s="37"/>
      <c r="AS352" s="37"/>
      <c r="AT352" s="37"/>
      <c r="AU352" s="38"/>
      <c r="AV352" s="38"/>
      <c r="AW352" s="38"/>
      <c r="AX352" s="37"/>
      <c r="AY352" s="37"/>
      <c r="AZ352" s="37"/>
      <c r="BA352" s="37"/>
      <c r="BB352" s="37"/>
      <c r="BC352" s="37"/>
      <c r="BD352" s="38"/>
      <c r="BE352" s="37"/>
      <c r="BF352" s="37"/>
      <c r="BG352" s="37"/>
      <c r="BH352" s="37"/>
      <c r="BI352" s="37"/>
      <c r="BJ352" s="37"/>
      <c r="BK352" s="37"/>
      <c r="BL352" s="37"/>
    </row>
    <row r="353" ht="15.75" customHeight="1">
      <c r="A353" s="37"/>
      <c r="B353" s="37"/>
      <c r="C353" s="38"/>
      <c r="D353" s="37"/>
      <c r="E353" s="37"/>
      <c r="F353" s="37"/>
      <c r="G353" s="37"/>
      <c r="H353" s="37"/>
      <c r="I353" s="37"/>
      <c r="J353" s="38"/>
      <c r="K353" s="38"/>
      <c r="L353" s="37"/>
      <c r="M353" s="37"/>
      <c r="N353" s="37"/>
      <c r="O353" s="37"/>
      <c r="P353" s="37"/>
      <c r="Q353" s="37"/>
      <c r="R353" s="38"/>
      <c r="S353" s="37"/>
      <c r="T353" s="37"/>
      <c r="U353" s="37"/>
      <c r="V353" s="37"/>
      <c r="W353" s="37"/>
      <c r="X353" s="37"/>
      <c r="Y353" s="38"/>
      <c r="Z353" s="37"/>
      <c r="AA353" s="37"/>
      <c r="AB353" s="37"/>
      <c r="AC353" s="37"/>
      <c r="AD353" s="37"/>
      <c r="AE353" s="37"/>
      <c r="AF353" s="38"/>
      <c r="AG353" s="37"/>
      <c r="AH353" s="37"/>
      <c r="AI353" s="37"/>
      <c r="AJ353" s="37"/>
      <c r="AK353" s="37"/>
      <c r="AL353" s="37"/>
      <c r="AM353" s="38"/>
      <c r="AN353" s="37"/>
      <c r="AO353" s="37"/>
      <c r="AP353" s="37"/>
      <c r="AQ353" s="37"/>
      <c r="AR353" s="37"/>
      <c r="AS353" s="37"/>
      <c r="AT353" s="37"/>
      <c r="AU353" s="38"/>
      <c r="AV353" s="38"/>
      <c r="AW353" s="38"/>
      <c r="AX353" s="37"/>
      <c r="AY353" s="37"/>
      <c r="AZ353" s="37"/>
      <c r="BA353" s="37"/>
      <c r="BB353" s="37"/>
      <c r="BC353" s="37"/>
      <c r="BD353" s="38"/>
      <c r="BE353" s="37"/>
      <c r="BF353" s="37"/>
      <c r="BG353" s="37"/>
      <c r="BH353" s="37"/>
      <c r="BI353" s="37"/>
      <c r="BJ353" s="37"/>
      <c r="BK353" s="37"/>
      <c r="BL353" s="37"/>
    </row>
    <row r="354" ht="15.75" customHeight="1">
      <c r="A354" s="37"/>
      <c r="B354" s="37"/>
      <c r="C354" s="38"/>
      <c r="D354" s="37"/>
      <c r="E354" s="37"/>
      <c r="F354" s="37"/>
      <c r="G354" s="37"/>
      <c r="H354" s="37"/>
      <c r="I354" s="37"/>
      <c r="J354" s="38"/>
      <c r="K354" s="38"/>
      <c r="L354" s="37"/>
      <c r="M354" s="37"/>
      <c r="N354" s="37"/>
      <c r="O354" s="37"/>
      <c r="P354" s="37"/>
      <c r="Q354" s="37"/>
      <c r="R354" s="38"/>
      <c r="S354" s="37"/>
      <c r="T354" s="37"/>
      <c r="U354" s="37"/>
      <c r="V354" s="37"/>
      <c r="W354" s="37"/>
      <c r="X354" s="37"/>
      <c r="Y354" s="38"/>
      <c r="Z354" s="37"/>
      <c r="AA354" s="37"/>
      <c r="AB354" s="37"/>
      <c r="AC354" s="37"/>
      <c r="AD354" s="37"/>
      <c r="AE354" s="37"/>
      <c r="AF354" s="38"/>
      <c r="AG354" s="37"/>
      <c r="AH354" s="37"/>
      <c r="AI354" s="37"/>
      <c r="AJ354" s="37"/>
      <c r="AK354" s="37"/>
      <c r="AL354" s="37"/>
      <c r="AM354" s="38"/>
      <c r="AN354" s="37"/>
      <c r="AO354" s="37"/>
      <c r="AP354" s="37"/>
      <c r="AQ354" s="37"/>
      <c r="AR354" s="37"/>
      <c r="AS354" s="37"/>
      <c r="AT354" s="37"/>
      <c r="AU354" s="38"/>
      <c r="AV354" s="38"/>
      <c r="AW354" s="38"/>
      <c r="AX354" s="37"/>
      <c r="AY354" s="37"/>
      <c r="AZ354" s="37"/>
      <c r="BA354" s="37"/>
      <c r="BB354" s="37"/>
      <c r="BC354" s="37"/>
      <c r="BD354" s="38"/>
      <c r="BE354" s="37"/>
      <c r="BF354" s="37"/>
      <c r="BG354" s="37"/>
      <c r="BH354" s="37"/>
      <c r="BI354" s="37"/>
      <c r="BJ354" s="37"/>
      <c r="BK354" s="37"/>
      <c r="BL354" s="37"/>
    </row>
    <row r="355" ht="15.75" customHeight="1">
      <c r="A355" s="37"/>
      <c r="B355" s="37"/>
      <c r="C355" s="38"/>
      <c r="D355" s="37"/>
      <c r="E355" s="37"/>
      <c r="F355" s="37"/>
      <c r="G355" s="37"/>
      <c r="H355" s="37"/>
      <c r="I355" s="37"/>
      <c r="J355" s="38"/>
      <c r="K355" s="38"/>
      <c r="L355" s="37"/>
      <c r="M355" s="37"/>
      <c r="N355" s="37"/>
      <c r="O355" s="37"/>
      <c r="P355" s="37"/>
      <c r="Q355" s="37"/>
      <c r="R355" s="38"/>
      <c r="S355" s="37"/>
      <c r="T355" s="37"/>
      <c r="U355" s="37"/>
      <c r="V355" s="37"/>
      <c r="W355" s="37"/>
      <c r="X355" s="37"/>
      <c r="Y355" s="38"/>
      <c r="Z355" s="37"/>
      <c r="AA355" s="37"/>
      <c r="AB355" s="37"/>
      <c r="AC355" s="37"/>
      <c r="AD355" s="37"/>
      <c r="AE355" s="37"/>
      <c r="AF355" s="38"/>
      <c r="AG355" s="37"/>
      <c r="AH355" s="37"/>
      <c r="AI355" s="37"/>
      <c r="AJ355" s="37"/>
      <c r="AK355" s="37"/>
      <c r="AL355" s="37"/>
      <c r="AM355" s="38"/>
      <c r="AN355" s="37"/>
      <c r="AO355" s="37"/>
      <c r="AP355" s="37"/>
      <c r="AQ355" s="37"/>
      <c r="AR355" s="37"/>
      <c r="AS355" s="37"/>
      <c r="AT355" s="37"/>
      <c r="AU355" s="38"/>
      <c r="AV355" s="38"/>
      <c r="AW355" s="38"/>
      <c r="AX355" s="37"/>
      <c r="AY355" s="37"/>
      <c r="AZ355" s="37"/>
      <c r="BA355" s="37"/>
      <c r="BB355" s="37"/>
      <c r="BC355" s="37"/>
      <c r="BD355" s="38"/>
      <c r="BE355" s="37"/>
      <c r="BF355" s="37"/>
      <c r="BG355" s="37"/>
      <c r="BH355" s="37"/>
      <c r="BI355" s="37"/>
      <c r="BJ355" s="37"/>
      <c r="BK355" s="37"/>
      <c r="BL355" s="37"/>
    </row>
    <row r="356" ht="15.75" customHeight="1">
      <c r="A356" s="37"/>
      <c r="B356" s="37"/>
      <c r="C356" s="38"/>
      <c r="D356" s="37"/>
      <c r="E356" s="37"/>
      <c r="F356" s="37"/>
      <c r="G356" s="37"/>
      <c r="H356" s="37"/>
      <c r="I356" s="37"/>
      <c r="J356" s="38"/>
      <c r="K356" s="38"/>
      <c r="L356" s="37"/>
      <c r="M356" s="37"/>
      <c r="N356" s="37"/>
      <c r="O356" s="37"/>
      <c r="P356" s="37"/>
      <c r="Q356" s="37"/>
      <c r="R356" s="38"/>
      <c r="S356" s="37"/>
      <c r="T356" s="37"/>
      <c r="U356" s="37"/>
      <c r="V356" s="37"/>
      <c r="W356" s="37"/>
      <c r="X356" s="37"/>
      <c r="Y356" s="38"/>
      <c r="Z356" s="37"/>
      <c r="AA356" s="37"/>
      <c r="AB356" s="37"/>
      <c r="AC356" s="37"/>
      <c r="AD356" s="37"/>
      <c r="AE356" s="37"/>
      <c r="AF356" s="38"/>
      <c r="AG356" s="37"/>
      <c r="AH356" s="37"/>
      <c r="AI356" s="37"/>
      <c r="AJ356" s="37"/>
      <c r="AK356" s="37"/>
      <c r="AL356" s="37"/>
      <c r="AM356" s="38"/>
      <c r="AN356" s="37"/>
      <c r="AO356" s="37"/>
      <c r="AP356" s="37"/>
      <c r="AQ356" s="37"/>
      <c r="AR356" s="37"/>
      <c r="AS356" s="37"/>
      <c r="AT356" s="37"/>
      <c r="AU356" s="38"/>
      <c r="AV356" s="38"/>
      <c r="AW356" s="38"/>
      <c r="AX356" s="37"/>
      <c r="AY356" s="37"/>
      <c r="AZ356" s="37"/>
      <c r="BA356" s="37"/>
      <c r="BB356" s="37"/>
      <c r="BC356" s="37"/>
      <c r="BD356" s="38"/>
      <c r="BE356" s="37"/>
      <c r="BF356" s="37"/>
      <c r="BG356" s="37"/>
      <c r="BH356" s="37"/>
      <c r="BI356" s="37"/>
      <c r="BJ356" s="37"/>
      <c r="BK356" s="37"/>
      <c r="BL356" s="37"/>
    </row>
    <row r="357" ht="15.75" customHeight="1">
      <c r="A357" s="37"/>
      <c r="B357" s="37"/>
      <c r="C357" s="38"/>
      <c r="D357" s="37"/>
      <c r="E357" s="37"/>
      <c r="F357" s="37"/>
      <c r="G357" s="37"/>
      <c r="H357" s="37"/>
      <c r="I357" s="37"/>
      <c r="J357" s="38"/>
      <c r="K357" s="38"/>
      <c r="L357" s="37"/>
      <c r="M357" s="37"/>
      <c r="N357" s="37"/>
      <c r="O357" s="37"/>
      <c r="P357" s="37"/>
      <c r="Q357" s="37"/>
      <c r="R357" s="38"/>
      <c r="S357" s="37"/>
      <c r="T357" s="37"/>
      <c r="U357" s="37"/>
      <c r="V357" s="37"/>
      <c r="W357" s="37"/>
      <c r="X357" s="37"/>
      <c r="Y357" s="38"/>
      <c r="Z357" s="37"/>
      <c r="AA357" s="37"/>
      <c r="AB357" s="37"/>
      <c r="AC357" s="37"/>
      <c r="AD357" s="37"/>
      <c r="AE357" s="37"/>
      <c r="AF357" s="38"/>
      <c r="AG357" s="37"/>
      <c r="AH357" s="37"/>
      <c r="AI357" s="37"/>
      <c r="AJ357" s="37"/>
      <c r="AK357" s="37"/>
      <c r="AL357" s="37"/>
      <c r="AM357" s="38"/>
      <c r="AN357" s="37"/>
      <c r="AO357" s="37"/>
      <c r="AP357" s="37"/>
      <c r="AQ357" s="37"/>
      <c r="AR357" s="37"/>
      <c r="AS357" s="37"/>
      <c r="AT357" s="37"/>
      <c r="AU357" s="38"/>
      <c r="AV357" s="38"/>
      <c r="AW357" s="38"/>
      <c r="AX357" s="37"/>
      <c r="AY357" s="37"/>
      <c r="AZ357" s="37"/>
      <c r="BA357" s="37"/>
      <c r="BB357" s="37"/>
      <c r="BC357" s="37"/>
      <c r="BD357" s="38"/>
      <c r="BE357" s="37"/>
      <c r="BF357" s="37"/>
      <c r="BG357" s="37"/>
      <c r="BH357" s="37"/>
      <c r="BI357" s="37"/>
      <c r="BJ357" s="37"/>
      <c r="BK357" s="37"/>
      <c r="BL357" s="37"/>
    </row>
    <row r="358" ht="15.75" customHeight="1">
      <c r="A358" s="37"/>
      <c r="B358" s="37"/>
      <c r="C358" s="38"/>
      <c r="D358" s="37"/>
      <c r="E358" s="37"/>
      <c r="F358" s="37"/>
      <c r="G358" s="37"/>
      <c r="H358" s="37"/>
      <c r="I358" s="37"/>
      <c r="J358" s="38"/>
      <c r="K358" s="38"/>
      <c r="L358" s="37"/>
      <c r="M358" s="37"/>
      <c r="N358" s="37"/>
      <c r="O358" s="37"/>
      <c r="P358" s="37"/>
      <c r="Q358" s="37"/>
      <c r="R358" s="38"/>
      <c r="S358" s="37"/>
      <c r="T358" s="37"/>
      <c r="U358" s="37"/>
      <c r="V358" s="37"/>
      <c r="W358" s="37"/>
      <c r="X358" s="37"/>
      <c r="Y358" s="38"/>
      <c r="Z358" s="37"/>
      <c r="AA358" s="37"/>
      <c r="AB358" s="37"/>
      <c r="AC358" s="37"/>
      <c r="AD358" s="37"/>
      <c r="AE358" s="37"/>
      <c r="AF358" s="38"/>
      <c r="AG358" s="37"/>
      <c r="AH358" s="37"/>
      <c r="AI358" s="37"/>
      <c r="AJ358" s="37"/>
      <c r="AK358" s="37"/>
      <c r="AL358" s="37"/>
      <c r="AM358" s="38"/>
      <c r="AN358" s="37"/>
      <c r="AO358" s="37"/>
      <c r="AP358" s="37"/>
      <c r="AQ358" s="37"/>
      <c r="AR358" s="37"/>
      <c r="AS358" s="37"/>
      <c r="AT358" s="37"/>
      <c r="AU358" s="38"/>
      <c r="AV358" s="38"/>
      <c r="AW358" s="38"/>
      <c r="AX358" s="37"/>
      <c r="AY358" s="37"/>
      <c r="AZ358" s="37"/>
      <c r="BA358" s="37"/>
      <c r="BB358" s="37"/>
      <c r="BC358" s="37"/>
      <c r="BD358" s="38"/>
      <c r="BE358" s="37"/>
      <c r="BF358" s="37"/>
      <c r="BG358" s="37"/>
      <c r="BH358" s="37"/>
      <c r="BI358" s="37"/>
      <c r="BJ358" s="37"/>
      <c r="BK358" s="37"/>
      <c r="BL358" s="37"/>
    </row>
    <row r="359" ht="15.75" customHeight="1">
      <c r="A359" s="37"/>
      <c r="B359" s="37"/>
      <c r="C359" s="38"/>
      <c r="D359" s="37"/>
      <c r="E359" s="37"/>
      <c r="F359" s="37"/>
      <c r="G359" s="37"/>
      <c r="H359" s="37"/>
      <c r="I359" s="37"/>
      <c r="J359" s="38"/>
      <c r="K359" s="38"/>
      <c r="L359" s="37"/>
      <c r="M359" s="37"/>
      <c r="N359" s="37"/>
      <c r="O359" s="37"/>
      <c r="P359" s="37"/>
      <c r="Q359" s="37"/>
      <c r="R359" s="38"/>
      <c r="S359" s="37"/>
      <c r="T359" s="37"/>
      <c r="U359" s="37"/>
      <c r="V359" s="37"/>
      <c r="W359" s="37"/>
      <c r="X359" s="37"/>
      <c r="Y359" s="38"/>
      <c r="Z359" s="37"/>
      <c r="AA359" s="37"/>
      <c r="AB359" s="37"/>
      <c r="AC359" s="37"/>
      <c r="AD359" s="37"/>
      <c r="AE359" s="37"/>
      <c r="AF359" s="38"/>
      <c r="AG359" s="37"/>
      <c r="AH359" s="37"/>
      <c r="AI359" s="37"/>
      <c r="AJ359" s="37"/>
      <c r="AK359" s="37"/>
      <c r="AL359" s="37"/>
      <c r="AM359" s="38"/>
      <c r="AN359" s="37"/>
      <c r="AO359" s="37"/>
      <c r="AP359" s="37"/>
      <c r="AQ359" s="37"/>
      <c r="AR359" s="37"/>
      <c r="AS359" s="37"/>
      <c r="AT359" s="37"/>
      <c r="AU359" s="38"/>
      <c r="AV359" s="38"/>
      <c r="AW359" s="38"/>
      <c r="AX359" s="37"/>
      <c r="AY359" s="37"/>
      <c r="AZ359" s="37"/>
      <c r="BA359" s="37"/>
      <c r="BB359" s="37"/>
      <c r="BC359" s="37"/>
      <c r="BD359" s="38"/>
      <c r="BE359" s="37"/>
      <c r="BF359" s="37"/>
      <c r="BG359" s="37"/>
      <c r="BH359" s="37"/>
      <c r="BI359" s="37"/>
      <c r="BJ359" s="37"/>
      <c r="BK359" s="37"/>
      <c r="BL359" s="37"/>
    </row>
    <row r="360" ht="15.75" customHeight="1">
      <c r="A360" s="37"/>
      <c r="B360" s="37"/>
      <c r="C360" s="38"/>
      <c r="D360" s="37"/>
      <c r="E360" s="37"/>
      <c r="F360" s="37"/>
      <c r="G360" s="37"/>
      <c r="H360" s="37"/>
      <c r="I360" s="37"/>
      <c r="J360" s="38"/>
      <c r="K360" s="38"/>
      <c r="L360" s="37"/>
      <c r="M360" s="37"/>
      <c r="N360" s="37"/>
      <c r="O360" s="37"/>
      <c r="P360" s="37"/>
      <c r="Q360" s="37"/>
      <c r="R360" s="38"/>
      <c r="S360" s="37"/>
      <c r="T360" s="37"/>
      <c r="U360" s="37"/>
      <c r="V360" s="37"/>
      <c r="W360" s="37"/>
      <c r="X360" s="37"/>
      <c r="Y360" s="38"/>
      <c r="Z360" s="37"/>
      <c r="AA360" s="37"/>
      <c r="AB360" s="37"/>
      <c r="AC360" s="37"/>
      <c r="AD360" s="37"/>
      <c r="AE360" s="37"/>
      <c r="AF360" s="38"/>
      <c r="AG360" s="37"/>
      <c r="AH360" s="37"/>
      <c r="AI360" s="37"/>
      <c r="AJ360" s="37"/>
      <c r="AK360" s="37"/>
      <c r="AL360" s="37"/>
      <c r="AM360" s="38"/>
      <c r="AN360" s="37"/>
      <c r="AO360" s="37"/>
      <c r="AP360" s="37"/>
      <c r="AQ360" s="37"/>
      <c r="AR360" s="37"/>
      <c r="AS360" s="37"/>
      <c r="AT360" s="37"/>
      <c r="AU360" s="38"/>
      <c r="AV360" s="38"/>
      <c r="AW360" s="38"/>
      <c r="AX360" s="37"/>
      <c r="AY360" s="37"/>
      <c r="AZ360" s="37"/>
      <c r="BA360" s="37"/>
      <c r="BB360" s="37"/>
      <c r="BC360" s="37"/>
      <c r="BD360" s="38"/>
      <c r="BE360" s="37"/>
      <c r="BF360" s="37"/>
      <c r="BG360" s="37"/>
      <c r="BH360" s="37"/>
      <c r="BI360" s="37"/>
      <c r="BJ360" s="37"/>
      <c r="BK360" s="37"/>
      <c r="BL360" s="37"/>
    </row>
    <row r="361" ht="15.75" customHeight="1">
      <c r="A361" s="37"/>
      <c r="B361" s="37"/>
      <c r="C361" s="38"/>
      <c r="D361" s="37"/>
      <c r="E361" s="37"/>
      <c r="F361" s="37"/>
      <c r="G361" s="37"/>
      <c r="H361" s="37"/>
      <c r="I361" s="37"/>
      <c r="J361" s="38"/>
      <c r="K361" s="38"/>
      <c r="L361" s="37"/>
      <c r="M361" s="37"/>
      <c r="N361" s="37"/>
      <c r="O361" s="37"/>
      <c r="P361" s="37"/>
      <c r="Q361" s="37"/>
      <c r="R361" s="38"/>
      <c r="S361" s="37"/>
      <c r="T361" s="37"/>
      <c r="U361" s="37"/>
      <c r="V361" s="37"/>
      <c r="W361" s="37"/>
      <c r="X361" s="37"/>
      <c r="Y361" s="38"/>
      <c r="Z361" s="37"/>
      <c r="AA361" s="37"/>
      <c r="AB361" s="37"/>
      <c r="AC361" s="37"/>
      <c r="AD361" s="37"/>
      <c r="AE361" s="37"/>
      <c r="AF361" s="38"/>
      <c r="AG361" s="37"/>
      <c r="AH361" s="37"/>
      <c r="AI361" s="37"/>
      <c r="AJ361" s="37"/>
      <c r="AK361" s="37"/>
      <c r="AL361" s="37"/>
      <c r="AM361" s="38"/>
      <c r="AN361" s="37"/>
      <c r="AO361" s="37"/>
      <c r="AP361" s="37"/>
      <c r="AQ361" s="37"/>
      <c r="AR361" s="37"/>
      <c r="AS361" s="37"/>
      <c r="AT361" s="37"/>
      <c r="AU361" s="38"/>
      <c r="AV361" s="38"/>
      <c r="AW361" s="38"/>
      <c r="AX361" s="37"/>
      <c r="AY361" s="37"/>
      <c r="AZ361" s="37"/>
      <c r="BA361" s="37"/>
      <c r="BB361" s="37"/>
      <c r="BC361" s="37"/>
      <c r="BD361" s="38"/>
      <c r="BE361" s="37"/>
      <c r="BF361" s="37"/>
      <c r="BG361" s="37"/>
      <c r="BH361" s="37"/>
      <c r="BI361" s="37"/>
      <c r="BJ361" s="37"/>
      <c r="BK361" s="37"/>
      <c r="BL361" s="37"/>
    </row>
    <row r="362" ht="15.75" customHeight="1">
      <c r="A362" s="37"/>
      <c r="B362" s="37"/>
      <c r="C362" s="38"/>
      <c r="D362" s="37"/>
      <c r="E362" s="37"/>
      <c r="F362" s="37"/>
      <c r="G362" s="37"/>
      <c r="H362" s="37"/>
      <c r="I362" s="37"/>
      <c r="J362" s="38"/>
      <c r="K362" s="38"/>
      <c r="L362" s="37"/>
      <c r="M362" s="37"/>
      <c r="N362" s="37"/>
      <c r="O362" s="37"/>
      <c r="P362" s="37"/>
      <c r="Q362" s="37"/>
      <c r="R362" s="38"/>
      <c r="S362" s="37"/>
      <c r="T362" s="37"/>
      <c r="U362" s="37"/>
      <c r="V362" s="37"/>
      <c r="W362" s="37"/>
      <c r="X362" s="37"/>
      <c r="Y362" s="38"/>
      <c r="Z362" s="37"/>
      <c r="AA362" s="37"/>
      <c r="AB362" s="37"/>
      <c r="AC362" s="37"/>
      <c r="AD362" s="37"/>
      <c r="AE362" s="37"/>
      <c r="AF362" s="38"/>
      <c r="AG362" s="37"/>
      <c r="AH362" s="37"/>
      <c r="AI362" s="37"/>
      <c r="AJ362" s="37"/>
      <c r="AK362" s="37"/>
      <c r="AL362" s="37"/>
      <c r="AM362" s="38"/>
      <c r="AN362" s="37"/>
      <c r="AO362" s="37"/>
      <c r="AP362" s="37"/>
      <c r="AQ362" s="37"/>
      <c r="AR362" s="37"/>
      <c r="AS362" s="37"/>
      <c r="AT362" s="37"/>
      <c r="AU362" s="38"/>
      <c r="AV362" s="38"/>
      <c r="AW362" s="38"/>
      <c r="AX362" s="37"/>
      <c r="AY362" s="37"/>
      <c r="AZ362" s="37"/>
      <c r="BA362" s="37"/>
      <c r="BB362" s="37"/>
      <c r="BC362" s="37"/>
      <c r="BD362" s="38"/>
      <c r="BE362" s="37"/>
      <c r="BF362" s="37"/>
      <c r="BG362" s="37"/>
      <c r="BH362" s="37"/>
      <c r="BI362" s="37"/>
      <c r="BJ362" s="37"/>
      <c r="BK362" s="37"/>
      <c r="BL362" s="37"/>
    </row>
    <row r="363" ht="15.75" customHeight="1">
      <c r="A363" s="37"/>
      <c r="B363" s="37"/>
      <c r="C363" s="38"/>
      <c r="D363" s="37"/>
      <c r="E363" s="37"/>
      <c r="F363" s="37"/>
      <c r="G363" s="37"/>
      <c r="H363" s="37"/>
      <c r="I363" s="37"/>
      <c r="J363" s="38"/>
      <c r="K363" s="38"/>
      <c r="L363" s="37"/>
      <c r="M363" s="37"/>
      <c r="N363" s="37"/>
      <c r="O363" s="37"/>
      <c r="P363" s="37"/>
      <c r="Q363" s="37"/>
      <c r="R363" s="38"/>
      <c r="S363" s="37"/>
      <c r="T363" s="37"/>
      <c r="U363" s="37"/>
      <c r="V363" s="37"/>
      <c r="W363" s="37"/>
      <c r="X363" s="37"/>
      <c r="Y363" s="38"/>
      <c r="Z363" s="37"/>
      <c r="AA363" s="37"/>
      <c r="AB363" s="37"/>
      <c r="AC363" s="37"/>
      <c r="AD363" s="37"/>
      <c r="AE363" s="37"/>
      <c r="AF363" s="38"/>
      <c r="AG363" s="37"/>
      <c r="AH363" s="37"/>
      <c r="AI363" s="37"/>
      <c r="AJ363" s="37"/>
      <c r="AK363" s="37"/>
      <c r="AL363" s="37"/>
      <c r="AM363" s="38"/>
      <c r="AN363" s="37"/>
      <c r="AO363" s="37"/>
      <c r="AP363" s="37"/>
      <c r="AQ363" s="37"/>
      <c r="AR363" s="37"/>
      <c r="AS363" s="37"/>
      <c r="AT363" s="37"/>
      <c r="AU363" s="38"/>
      <c r="AV363" s="38"/>
      <c r="AW363" s="38"/>
      <c r="AX363" s="37"/>
      <c r="AY363" s="37"/>
      <c r="AZ363" s="37"/>
      <c r="BA363" s="37"/>
      <c r="BB363" s="37"/>
      <c r="BC363" s="37"/>
      <c r="BD363" s="38"/>
      <c r="BE363" s="37"/>
      <c r="BF363" s="37"/>
      <c r="BG363" s="37"/>
      <c r="BH363" s="37"/>
      <c r="BI363" s="37"/>
      <c r="BJ363" s="37"/>
      <c r="BK363" s="37"/>
      <c r="BL363" s="37"/>
    </row>
    <row r="364" ht="15.75" customHeight="1">
      <c r="A364" s="37"/>
      <c r="B364" s="37"/>
      <c r="C364" s="38"/>
      <c r="D364" s="37"/>
      <c r="E364" s="37"/>
      <c r="F364" s="37"/>
      <c r="G364" s="37"/>
      <c r="H364" s="37"/>
      <c r="I364" s="37"/>
      <c r="J364" s="38"/>
      <c r="K364" s="38"/>
      <c r="L364" s="37"/>
      <c r="M364" s="37"/>
      <c r="N364" s="37"/>
      <c r="O364" s="37"/>
      <c r="P364" s="37"/>
      <c r="Q364" s="37"/>
      <c r="R364" s="38"/>
      <c r="S364" s="37"/>
      <c r="T364" s="37"/>
      <c r="U364" s="37"/>
      <c r="V364" s="37"/>
      <c r="W364" s="37"/>
      <c r="X364" s="37"/>
      <c r="Y364" s="38"/>
      <c r="Z364" s="37"/>
      <c r="AA364" s="37"/>
      <c r="AB364" s="37"/>
      <c r="AC364" s="37"/>
      <c r="AD364" s="37"/>
      <c r="AE364" s="37"/>
      <c r="AF364" s="38"/>
      <c r="AG364" s="37"/>
      <c r="AH364" s="37"/>
      <c r="AI364" s="37"/>
      <c r="AJ364" s="37"/>
      <c r="AK364" s="37"/>
      <c r="AL364" s="37"/>
      <c r="AM364" s="38"/>
      <c r="AN364" s="37"/>
      <c r="AO364" s="37"/>
      <c r="AP364" s="37"/>
      <c r="AQ364" s="37"/>
      <c r="AR364" s="37"/>
      <c r="AS364" s="37"/>
      <c r="AT364" s="37"/>
      <c r="AU364" s="38"/>
      <c r="AV364" s="38"/>
      <c r="AW364" s="38"/>
      <c r="AX364" s="37"/>
      <c r="AY364" s="37"/>
      <c r="AZ364" s="37"/>
      <c r="BA364" s="37"/>
      <c r="BB364" s="37"/>
      <c r="BC364" s="37"/>
      <c r="BD364" s="38"/>
      <c r="BE364" s="37"/>
      <c r="BF364" s="37"/>
      <c r="BG364" s="37"/>
      <c r="BH364" s="37"/>
      <c r="BI364" s="37"/>
      <c r="BJ364" s="37"/>
      <c r="BK364" s="37"/>
      <c r="BL364" s="37"/>
    </row>
    <row r="365" ht="15.75" customHeight="1">
      <c r="A365" s="37"/>
      <c r="B365" s="37"/>
      <c r="C365" s="38"/>
      <c r="D365" s="37"/>
      <c r="E365" s="37"/>
      <c r="F365" s="37"/>
      <c r="G365" s="37"/>
      <c r="H365" s="37"/>
      <c r="I365" s="37"/>
      <c r="J365" s="38"/>
      <c r="K365" s="38"/>
      <c r="L365" s="37"/>
      <c r="M365" s="37"/>
      <c r="N365" s="37"/>
      <c r="O365" s="37"/>
      <c r="P365" s="37"/>
      <c r="Q365" s="37"/>
      <c r="R365" s="38"/>
      <c r="S365" s="37"/>
      <c r="T365" s="37"/>
      <c r="U365" s="37"/>
      <c r="V365" s="37"/>
      <c r="W365" s="37"/>
      <c r="X365" s="37"/>
      <c r="Y365" s="38"/>
      <c r="Z365" s="37"/>
      <c r="AA365" s="37"/>
      <c r="AB365" s="37"/>
      <c r="AC365" s="37"/>
      <c r="AD365" s="37"/>
      <c r="AE365" s="37"/>
      <c r="AF365" s="38"/>
      <c r="AG365" s="37"/>
      <c r="AH365" s="37"/>
      <c r="AI365" s="37"/>
      <c r="AJ365" s="37"/>
      <c r="AK365" s="37"/>
      <c r="AL365" s="37"/>
      <c r="AM365" s="38"/>
      <c r="AN365" s="37"/>
      <c r="AO365" s="37"/>
      <c r="AP365" s="37"/>
      <c r="AQ365" s="37"/>
      <c r="AR365" s="37"/>
      <c r="AS365" s="37"/>
      <c r="AT365" s="37"/>
      <c r="AU365" s="38"/>
      <c r="AV365" s="38"/>
      <c r="AW365" s="38"/>
      <c r="AX365" s="37"/>
      <c r="AY365" s="37"/>
      <c r="AZ365" s="37"/>
      <c r="BA365" s="37"/>
      <c r="BB365" s="37"/>
      <c r="BC365" s="37"/>
      <c r="BD365" s="38"/>
      <c r="BE365" s="37"/>
      <c r="BF365" s="37"/>
      <c r="BG365" s="37"/>
      <c r="BH365" s="37"/>
      <c r="BI365" s="37"/>
      <c r="BJ365" s="37"/>
      <c r="BK365" s="37"/>
      <c r="BL365" s="37"/>
    </row>
    <row r="366" ht="15.75" customHeight="1">
      <c r="A366" s="37"/>
      <c r="B366" s="37"/>
      <c r="C366" s="38"/>
      <c r="D366" s="37"/>
      <c r="E366" s="37"/>
      <c r="F366" s="37"/>
      <c r="G366" s="37"/>
      <c r="H366" s="37"/>
      <c r="I366" s="37"/>
      <c r="J366" s="38"/>
      <c r="K366" s="38"/>
      <c r="L366" s="37"/>
      <c r="M366" s="37"/>
      <c r="N366" s="37"/>
      <c r="O366" s="37"/>
      <c r="P366" s="37"/>
      <c r="Q366" s="37"/>
      <c r="R366" s="38"/>
      <c r="S366" s="37"/>
      <c r="T366" s="37"/>
      <c r="U366" s="37"/>
      <c r="V366" s="37"/>
      <c r="W366" s="37"/>
      <c r="X366" s="37"/>
      <c r="Y366" s="38"/>
      <c r="Z366" s="37"/>
      <c r="AA366" s="37"/>
      <c r="AB366" s="37"/>
      <c r="AC366" s="37"/>
      <c r="AD366" s="37"/>
      <c r="AE366" s="37"/>
      <c r="AF366" s="38"/>
      <c r="AG366" s="37"/>
      <c r="AH366" s="37"/>
      <c r="AI366" s="37"/>
      <c r="AJ366" s="37"/>
      <c r="AK366" s="37"/>
      <c r="AL366" s="37"/>
      <c r="AM366" s="38"/>
      <c r="AN366" s="37"/>
      <c r="AO366" s="37"/>
      <c r="AP366" s="37"/>
      <c r="AQ366" s="37"/>
      <c r="AR366" s="37"/>
      <c r="AS366" s="37"/>
      <c r="AT366" s="37"/>
      <c r="AU366" s="38"/>
      <c r="AV366" s="38"/>
      <c r="AW366" s="38"/>
      <c r="AX366" s="37"/>
      <c r="AY366" s="37"/>
      <c r="AZ366" s="37"/>
      <c r="BA366" s="37"/>
      <c r="BB366" s="37"/>
      <c r="BC366" s="37"/>
      <c r="BD366" s="38"/>
      <c r="BE366" s="37"/>
      <c r="BF366" s="37"/>
      <c r="BG366" s="37"/>
      <c r="BH366" s="37"/>
      <c r="BI366" s="37"/>
      <c r="BJ366" s="37"/>
      <c r="BK366" s="37"/>
      <c r="BL366" s="37"/>
    </row>
    <row r="367" ht="15.75" customHeight="1">
      <c r="A367" s="37"/>
      <c r="B367" s="37"/>
      <c r="C367" s="38"/>
      <c r="D367" s="37"/>
      <c r="E367" s="37"/>
      <c r="F367" s="37"/>
      <c r="G367" s="37"/>
      <c r="H367" s="37"/>
      <c r="I367" s="37"/>
      <c r="J367" s="38"/>
      <c r="K367" s="38"/>
      <c r="L367" s="37"/>
      <c r="M367" s="37"/>
      <c r="N367" s="37"/>
      <c r="O367" s="37"/>
      <c r="P367" s="37"/>
      <c r="Q367" s="37"/>
      <c r="R367" s="38"/>
      <c r="S367" s="37"/>
      <c r="T367" s="37"/>
      <c r="U367" s="37"/>
      <c r="V367" s="37"/>
      <c r="W367" s="37"/>
      <c r="X367" s="37"/>
      <c r="Y367" s="38"/>
      <c r="Z367" s="37"/>
      <c r="AA367" s="37"/>
      <c r="AB367" s="37"/>
      <c r="AC367" s="37"/>
      <c r="AD367" s="37"/>
      <c r="AE367" s="37"/>
      <c r="AF367" s="38"/>
      <c r="AG367" s="37"/>
      <c r="AH367" s="37"/>
      <c r="AI367" s="37"/>
      <c r="AJ367" s="37"/>
      <c r="AK367" s="37"/>
      <c r="AL367" s="37"/>
      <c r="AM367" s="38"/>
      <c r="AN367" s="37"/>
      <c r="AO367" s="37"/>
      <c r="AP367" s="37"/>
      <c r="AQ367" s="37"/>
      <c r="AR367" s="37"/>
      <c r="AS367" s="37"/>
      <c r="AT367" s="37"/>
      <c r="AU367" s="38"/>
      <c r="AV367" s="38"/>
      <c r="AW367" s="38"/>
      <c r="AX367" s="37"/>
      <c r="AY367" s="37"/>
      <c r="AZ367" s="37"/>
      <c r="BA367" s="37"/>
      <c r="BB367" s="37"/>
      <c r="BC367" s="37"/>
      <c r="BD367" s="38"/>
      <c r="BE367" s="37"/>
      <c r="BF367" s="37"/>
      <c r="BG367" s="37"/>
      <c r="BH367" s="37"/>
      <c r="BI367" s="37"/>
      <c r="BJ367" s="37"/>
      <c r="BK367" s="37"/>
      <c r="BL367" s="37"/>
    </row>
    <row r="368" ht="15.75" customHeight="1">
      <c r="A368" s="37"/>
      <c r="B368" s="37"/>
      <c r="C368" s="38"/>
      <c r="D368" s="37"/>
      <c r="E368" s="37"/>
      <c r="F368" s="37"/>
      <c r="G368" s="37"/>
      <c r="H368" s="37"/>
      <c r="I368" s="37"/>
      <c r="J368" s="38"/>
      <c r="K368" s="38"/>
      <c r="L368" s="37"/>
      <c r="M368" s="37"/>
      <c r="N368" s="37"/>
      <c r="O368" s="37"/>
      <c r="P368" s="37"/>
      <c r="Q368" s="37"/>
      <c r="R368" s="38"/>
      <c r="S368" s="37"/>
      <c r="T368" s="37"/>
      <c r="U368" s="37"/>
      <c r="V368" s="37"/>
      <c r="W368" s="37"/>
      <c r="X368" s="37"/>
      <c r="Y368" s="38"/>
      <c r="Z368" s="37"/>
      <c r="AA368" s="37"/>
      <c r="AB368" s="37"/>
      <c r="AC368" s="37"/>
      <c r="AD368" s="37"/>
      <c r="AE368" s="37"/>
      <c r="AF368" s="38"/>
      <c r="AG368" s="37"/>
      <c r="AH368" s="37"/>
      <c r="AI368" s="37"/>
      <c r="AJ368" s="37"/>
      <c r="AK368" s="37"/>
      <c r="AL368" s="37"/>
      <c r="AM368" s="38"/>
      <c r="AN368" s="37"/>
      <c r="AO368" s="37"/>
      <c r="AP368" s="37"/>
      <c r="AQ368" s="37"/>
      <c r="AR368" s="37"/>
      <c r="AS368" s="37"/>
      <c r="AT368" s="37"/>
      <c r="AU368" s="38"/>
      <c r="AV368" s="38"/>
      <c r="AW368" s="38"/>
      <c r="AX368" s="37"/>
      <c r="AY368" s="37"/>
      <c r="AZ368" s="37"/>
      <c r="BA368" s="37"/>
      <c r="BB368" s="37"/>
      <c r="BC368" s="37"/>
      <c r="BD368" s="38"/>
      <c r="BE368" s="37"/>
      <c r="BF368" s="37"/>
      <c r="BG368" s="37"/>
      <c r="BH368" s="37"/>
      <c r="BI368" s="37"/>
      <c r="BJ368" s="37"/>
      <c r="BK368" s="37"/>
      <c r="BL368" s="37"/>
    </row>
    <row r="369" ht="15.75" customHeight="1">
      <c r="A369" s="37"/>
      <c r="B369" s="37"/>
      <c r="C369" s="38"/>
      <c r="D369" s="37"/>
      <c r="E369" s="37"/>
      <c r="F369" s="37"/>
      <c r="G369" s="37"/>
      <c r="H369" s="37"/>
      <c r="I369" s="37"/>
      <c r="J369" s="38"/>
      <c r="K369" s="38"/>
      <c r="L369" s="37"/>
      <c r="M369" s="37"/>
      <c r="N369" s="37"/>
      <c r="O369" s="37"/>
      <c r="P369" s="37"/>
      <c r="Q369" s="37"/>
      <c r="R369" s="38"/>
      <c r="S369" s="37"/>
      <c r="T369" s="37"/>
      <c r="U369" s="37"/>
      <c r="V369" s="37"/>
      <c r="W369" s="37"/>
      <c r="X369" s="37"/>
      <c r="Y369" s="38"/>
      <c r="Z369" s="37"/>
      <c r="AA369" s="37"/>
      <c r="AB369" s="37"/>
      <c r="AC369" s="37"/>
      <c r="AD369" s="37"/>
      <c r="AE369" s="37"/>
      <c r="AF369" s="38"/>
      <c r="AG369" s="37"/>
      <c r="AH369" s="37"/>
      <c r="AI369" s="37"/>
      <c r="AJ369" s="37"/>
      <c r="AK369" s="37"/>
      <c r="AL369" s="37"/>
      <c r="AM369" s="38"/>
      <c r="AN369" s="37"/>
      <c r="AO369" s="37"/>
      <c r="AP369" s="37"/>
      <c r="AQ369" s="37"/>
      <c r="AR369" s="37"/>
      <c r="AS369" s="37"/>
      <c r="AT369" s="37"/>
      <c r="AU369" s="38"/>
      <c r="AV369" s="38"/>
      <c r="AW369" s="38"/>
      <c r="AX369" s="37"/>
      <c r="AY369" s="37"/>
      <c r="AZ369" s="37"/>
      <c r="BA369" s="37"/>
      <c r="BB369" s="37"/>
      <c r="BC369" s="37"/>
      <c r="BD369" s="38"/>
      <c r="BE369" s="37"/>
      <c r="BF369" s="37"/>
      <c r="BG369" s="37"/>
      <c r="BH369" s="37"/>
      <c r="BI369" s="37"/>
      <c r="BJ369" s="37"/>
      <c r="BK369" s="37"/>
      <c r="BL369" s="37"/>
    </row>
    <row r="370" ht="15.75" customHeight="1">
      <c r="A370" s="37"/>
      <c r="B370" s="37"/>
      <c r="C370" s="38"/>
      <c r="D370" s="37"/>
      <c r="E370" s="37"/>
      <c r="F370" s="37"/>
      <c r="G370" s="37"/>
      <c r="H370" s="37"/>
      <c r="I370" s="37"/>
      <c r="J370" s="38"/>
      <c r="K370" s="38"/>
      <c r="L370" s="37"/>
      <c r="M370" s="37"/>
      <c r="N370" s="37"/>
      <c r="O370" s="37"/>
      <c r="P370" s="37"/>
      <c r="Q370" s="37"/>
      <c r="R370" s="38"/>
      <c r="S370" s="37"/>
      <c r="T370" s="37"/>
      <c r="U370" s="37"/>
      <c r="V370" s="37"/>
      <c r="W370" s="37"/>
      <c r="X370" s="37"/>
      <c r="Y370" s="38"/>
      <c r="Z370" s="37"/>
      <c r="AA370" s="37"/>
      <c r="AB370" s="37"/>
      <c r="AC370" s="37"/>
      <c r="AD370" s="37"/>
      <c r="AE370" s="37"/>
      <c r="AF370" s="38"/>
      <c r="AG370" s="37"/>
      <c r="AH370" s="37"/>
      <c r="AI370" s="37"/>
      <c r="AJ370" s="37"/>
      <c r="AK370" s="37"/>
      <c r="AL370" s="37"/>
      <c r="AM370" s="38"/>
      <c r="AN370" s="37"/>
      <c r="AO370" s="37"/>
      <c r="AP370" s="37"/>
      <c r="AQ370" s="37"/>
      <c r="AR370" s="37"/>
      <c r="AS370" s="37"/>
      <c r="AT370" s="37"/>
      <c r="AU370" s="38"/>
      <c r="AV370" s="38"/>
      <c r="AW370" s="38"/>
      <c r="AX370" s="37"/>
      <c r="AY370" s="37"/>
      <c r="AZ370" s="37"/>
      <c r="BA370" s="37"/>
      <c r="BB370" s="37"/>
      <c r="BC370" s="37"/>
      <c r="BD370" s="38"/>
      <c r="BE370" s="37"/>
      <c r="BF370" s="37"/>
      <c r="BG370" s="37"/>
      <c r="BH370" s="37"/>
      <c r="BI370" s="37"/>
      <c r="BJ370" s="37"/>
      <c r="BK370" s="37"/>
      <c r="BL370" s="37"/>
    </row>
    <row r="371" ht="15.75" customHeight="1">
      <c r="A371" s="37"/>
      <c r="B371" s="37"/>
      <c r="C371" s="38"/>
      <c r="D371" s="37"/>
      <c r="E371" s="37"/>
      <c r="F371" s="37"/>
      <c r="G371" s="37"/>
      <c r="H371" s="37"/>
      <c r="I371" s="37"/>
      <c r="J371" s="38"/>
      <c r="K371" s="38"/>
      <c r="L371" s="37"/>
      <c r="M371" s="37"/>
      <c r="N371" s="37"/>
      <c r="O371" s="37"/>
      <c r="P371" s="37"/>
      <c r="Q371" s="37"/>
      <c r="R371" s="38"/>
      <c r="S371" s="37"/>
      <c r="T371" s="37"/>
      <c r="U371" s="37"/>
      <c r="V371" s="37"/>
      <c r="W371" s="37"/>
      <c r="X371" s="37"/>
      <c r="Y371" s="38"/>
      <c r="Z371" s="37"/>
      <c r="AA371" s="37"/>
      <c r="AB371" s="37"/>
      <c r="AC371" s="37"/>
      <c r="AD371" s="37"/>
      <c r="AE371" s="37"/>
      <c r="AF371" s="38"/>
      <c r="AG371" s="37"/>
      <c r="AH371" s="37"/>
      <c r="AI371" s="37"/>
      <c r="AJ371" s="37"/>
      <c r="AK371" s="37"/>
      <c r="AL371" s="37"/>
      <c r="AM371" s="38"/>
      <c r="AN371" s="37"/>
      <c r="AO371" s="37"/>
      <c r="AP371" s="37"/>
      <c r="AQ371" s="37"/>
      <c r="AR371" s="37"/>
      <c r="AS371" s="37"/>
      <c r="AT371" s="37"/>
      <c r="AU371" s="38"/>
      <c r="AV371" s="38"/>
      <c r="AW371" s="38"/>
      <c r="AX371" s="37"/>
      <c r="AY371" s="37"/>
      <c r="AZ371" s="37"/>
      <c r="BA371" s="37"/>
      <c r="BB371" s="37"/>
      <c r="BC371" s="37"/>
      <c r="BD371" s="38"/>
      <c r="BE371" s="37"/>
      <c r="BF371" s="37"/>
      <c r="BG371" s="37"/>
      <c r="BH371" s="37"/>
      <c r="BI371" s="37"/>
      <c r="BJ371" s="37"/>
      <c r="BK371" s="37"/>
      <c r="BL371" s="37"/>
    </row>
    <row r="372" ht="15.75" customHeight="1">
      <c r="A372" s="37"/>
      <c r="B372" s="37"/>
      <c r="C372" s="38"/>
      <c r="D372" s="37"/>
      <c r="E372" s="37"/>
      <c r="F372" s="37"/>
      <c r="G372" s="37"/>
      <c r="H372" s="37"/>
      <c r="I372" s="37"/>
      <c r="J372" s="38"/>
      <c r="K372" s="38"/>
      <c r="L372" s="37"/>
      <c r="M372" s="37"/>
      <c r="N372" s="37"/>
      <c r="O372" s="37"/>
      <c r="P372" s="37"/>
      <c r="Q372" s="37"/>
      <c r="R372" s="38"/>
      <c r="S372" s="37"/>
      <c r="T372" s="37"/>
      <c r="U372" s="37"/>
      <c r="V372" s="37"/>
      <c r="W372" s="37"/>
      <c r="X372" s="37"/>
      <c r="Y372" s="38"/>
      <c r="Z372" s="37"/>
      <c r="AA372" s="37"/>
      <c r="AB372" s="37"/>
      <c r="AC372" s="37"/>
      <c r="AD372" s="37"/>
      <c r="AE372" s="37"/>
      <c r="AF372" s="38"/>
      <c r="AG372" s="37"/>
      <c r="AH372" s="37"/>
      <c r="AI372" s="37"/>
      <c r="AJ372" s="37"/>
      <c r="AK372" s="37"/>
      <c r="AL372" s="37"/>
      <c r="AM372" s="38"/>
      <c r="AN372" s="37"/>
      <c r="AO372" s="37"/>
      <c r="AP372" s="37"/>
      <c r="AQ372" s="37"/>
      <c r="AR372" s="37"/>
      <c r="AS372" s="37"/>
      <c r="AT372" s="37"/>
      <c r="AU372" s="38"/>
      <c r="AV372" s="38"/>
      <c r="AW372" s="38"/>
      <c r="AX372" s="37"/>
      <c r="AY372" s="37"/>
      <c r="AZ372" s="37"/>
      <c r="BA372" s="37"/>
      <c r="BB372" s="37"/>
      <c r="BC372" s="37"/>
      <c r="BD372" s="38"/>
      <c r="BE372" s="37"/>
      <c r="BF372" s="37"/>
      <c r="BG372" s="37"/>
      <c r="BH372" s="37"/>
      <c r="BI372" s="37"/>
      <c r="BJ372" s="37"/>
      <c r="BK372" s="37"/>
      <c r="BL372" s="37"/>
    </row>
    <row r="373" ht="15.75" customHeight="1">
      <c r="A373" s="37"/>
      <c r="B373" s="37"/>
      <c r="C373" s="38"/>
      <c r="D373" s="37"/>
      <c r="E373" s="37"/>
      <c r="F373" s="37"/>
      <c r="G373" s="37"/>
      <c r="H373" s="37"/>
      <c r="I373" s="37"/>
      <c r="J373" s="38"/>
      <c r="K373" s="38"/>
      <c r="L373" s="37"/>
      <c r="M373" s="37"/>
      <c r="N373" s="37"/>
      <c r="O373" s="37"/>
      <c r="P373" s="37"/>
      <c r="Q373" s="37"/>
      <c r="R373" s="38"/>
      <c r="S373" s="37"/>
      <c r="T373" s="37"/>
      <c r="U373" s="37"/>
      <c r="V373" s="37"/>
      <c r="W373" s="37"/>
      <c r="X373" s="37"/>
      <c r="Y373" s="38"/>
      <c r="Z373" s="37"/>
      <c r="AA373" s="37"/>
      <c r="AB373" s="37"/>
      <c r="AC373" s="37"/>
      <c r="AD373" s="37"/>
      <c r="AE373" s="37"/>
      <c r="AF373" s="38"/>
      <c r="AG373" s="37"/>
      <c r="AH373" s="37"/>
      <c r="AI373" s="37"/>
      <c r="AJ373" s="37"/>
      <c r="AK373" s="37"/>
      <c r="AL373" s="37"/>
      <c r="AM373" s="38"/>
      <c r="AN373" s="37"/>
      <c r="AO373" s="37"/>
      <c r="AP373" s="37"/>
      <c r="AQ373" s="37"/>
      <c r="AR373" s="37"/>
      <c r="AS373" s="37"/>
      <c r="AT373" s="37"/>
      <c r="AU373" s="38"/>
      <c r="AV373" s="38"/>
      <c r="AW373" s="38"/>
      <c r="AX373" s="37"/>
      <c r="AY373" s="37"/>
      <c r="AZ373" s="37"/>
      <c r="BA373" s="37"/>
      <c r="BB373" s="37"/>
      <c r="BC373" s="37"/>
      <c r="BD373" s="38"/>
      <c r="BE373" s="37"/>
      <c r="BF373" s="37"/>
      <c r="BG373" s="37"/>
      <c r="BH373" s="37"/>
      <c r="BI373" s="37"/>
      <c r="BJ373" s="37"/>
      <c r="BK373" s="37"/>
      <c r="BL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4" width="11.0"/>
  </cols>
  <sheetData>
    <row r="1">
      <c r="A1" s="31" t="s">
        <v>84</v>
      </c>
      <c r="B1" s="31" t="s">
        <v>91</v>
      </c>
      <c r="C1" s="32" t="s">
        <v>138</v>
      </c>
      <c r="D1" s="31" t="s">
        <v>139</v>
      </c>
      <c r="E1" s="31" t="s">
        <v>140</v>
      </c>
      <c r="F1" s="31" t="s">
        <v>141</v>
      </c>
      <c r="G1" s="31" t="s">
        <v>142</v>
      </c>
      <c r="H1" s="31" t="s">
        <v>143</v>
      </c>
      <c r="I1" s="31" t="s">
        <v>144</v>
      </c>
      <c r="J1" s="32" t="s">
        <v>145</v>
      </c>
      <c r="K1" s="32" t="s">
        <v>146</v>
      </c>
      <c r="L1" s="31" t="s">
        <v>147</v>
      </c>
      <c r="M1" s="31" t="s">
        <v>148</v>
      </c>
      <c r="N1" s="31" t="s">
        <v>149</v>
      </c>
      <c r="O1" s="31" t="s">
        <v>150</v>
      </c>
      <c r="P1" s="31" t="s">
        <v>151</v>
      </c>
      <c r="Q1" s="31" t="s">
        <v>152</v>
      </c>
      <c r="R1" s="32" t="s">
        <v>153</v>
      </c>
      <c r="S1" s="31" t="s">
        <v>154</v>
      </c>
      <c r="T1" s="31" t="s">
        <v>155</v>
      </c>
      <c r="U1" s="31" t="s">
        <v>156</v>
      </c>
      <c r="V1" s="31" t="s">
        <v>157</v>
      </c>
      <c r="W1" s="31" t="s">
        <v>158</v>
      </c>
      <c r="X1" s="31" t="s">
        <v>159</v>
      </c>
      <c r="Y1" s="32" t="s">
        <v>160</v>
      </c>
      <c r="Z1" s="31" t="s">
        <v>161</v>
      </c>
      <c r="AA1" s="31" t="s">
        <v>162</v>
      </c>
      <c r="AB1" s="31" t="s">
        <v>163</v>
      </c>
      <c r="AC1" s="31" t="s">
        <v>164</v>
      </c>
      <c r="AD1" s="31" t="s">
        <v>165</v>
      </c>
      <c r="AE1" s="31" t="s">
        <v>166</v>
      </c>
      <c r="AF1" s="32" t="s">
        <v>167</v>
      </c>
      <c r="AG1" s="31" t="s">
        <v>168</v>
      </c>
      <c r="AH1" s="31" t="s">
        <v>169</v>
      </c>
      <c r="AI1" s="31" t="s">
        <v>170</v>
      </c>
      <c r="AJ1" s="31" t="s">
        <v>171</v>
      </c>
      <c r="AK1" s="31" t="s">
        <v>172</v>
      </c>
      <c r="AL1" s="31" t="s">
        <v>173</v>
      </c>
      <c r="AM1" s="32" t="s">
        <v>174</v>
      </c>
      <c r="AN1" s="31" t="s">
        <v>175</v>
      </c>
      <c r="AO1" s="31" t="s">
        <v>176</v>
      </c>
      <c r="AP1" s="31" t="s">
        <v>177</v>
      </c>
      <c r="AQ1" s="31" t="s">
        <v>178</v>
      </c>
      <c r="AR1" s="31" t="s">
        <v>179</v>
      </c>
      <c r="AS1" s="31" t="s">
        <v>180</v>
      </c>
      <c r="AT1" s="31" t="s">
        <v>181</v>
      </c>
      <c r="AU1" s="32" t="s">
        <v>182</v>
      </c>
      <c r="AV1" s="32" t="s">
        <v>183</v>
      </c>
      <c r="AW1" s="32" t="s">
        <v>184</v>
      </c>
      <c r="AX1" s="31" t="s">
        <v>185</v>
      </c>
      <c r="AY1" s="31" t="s">
        <v>186</v>
      </c>
      <c r="AZ1" s="31" t="s">
        <v>187</v>
      </c>
      <c r="BA1" s="31" t="s">
        <v>188</v>
      </c>
      <c r="BB1" s="31" t="s">
        <v>189</v>
      </c>
      <c r="BC1" s="31" t="s">
        <v>190</v>
      </c>
      <c r="BD1" s="32" t="s">
        <v>191</v>
      </c>
      <c r="BE1" s="31" t="s">
        <v>192</v>
      </c>
      <c r="BF1" s="31" t="s">
        <v>193</v>
      </c>
      <c r="BG1" s="31" t="s">
        <v>194</v>
      </c>
      <c r="BH1" s="31" t="s">
        <v>195</v>
      </c>
      <c r="BI1" s="31" t="s">
        <v>196</v>
      </c>
      <c r="BJ1" s="31" t="s">
        <v>197</v>
      </c>
      <c r="BK1" s="31" t="s">
        <v>198</v>
      </c>
      <c r="BL1" s="31" t="s">
        <v>199</v>
      </c>
    </row>
    <row r="2" ht="14.25" customHeight="1">
      <c r="A2" s="33" t="s">
        <v>94</v>
      </c>
      <c r="B2" s="33" t="s">
        <v>53</v>
      </c>
      <c r="C2" s="34">
        <v>5798.42</v>
      </c>
      <c r="D2" s="33">
        <v>168.915</v>
      </c>
      <c r="E2" s="33">
        <v>15316.9</v>
      </c>
      <c r="F2" s="33">
        <v>23.8066</v>
      </c>
      <c r="G2" s="33">
        <v>74.9981</v>
      </c>
      <c r="H2" s="33">
        <v>495.365</v>
      </c>
      <c r="I2" s="33">
        <v>181.184</v>
      </c>
      <c r="J2" s="34">
        <v>1780500.0</v>
      </c>
      <c r="K2" s="34">
        <v>0.186087</v>
      </c>
      <c r="L2" s="33">
        <v>0.408509</v>
      </c>
      <c r="M2" s="33">
        <v>3.04455</v>
      </c>
      <c r="N2" s="33">
        <v>27.5551</v>
      </c>
      <c r="O2" s="33">
        <v>60.7523</v>
      </c>
      <c r="P2" s="33">
        <v>8.23956</v>
      </c>
      <c r="Q2" s="33">
        <v>0.0</v>
      </c>
      <c r="R2" s="34">
        <v>66.2549</v>
      </c>
      <c r="S2" s="33">
        <v>1.84985</v>
      </c>
      <c r="T2" s="33">
        <v>14.2593</v>
      </c>
      <c r="U2" s="33">
        <v>51.2101</v>
      </c>
      <c r="V2" s="33">
        <v>31.1084</v>
      </c>
      <c r="W2" s="33">
        <v>0.817019</v>
      </c>
      <c r="X2" s="33">
        <v>0.755357</v>
      </c>
      <c r="Y2" s="34">
        <v>13.7016</v>
      </c>
      <c r="Z2" s="33">
        <v>0.0</v>
      </c>
      <c r="AA2" s="33">
        <v>98.2426</v>
      </c>
      <c r="AB2" s="33">
        <v>1.75736</v>
      </c>
      <c r="AC2" s="33">
        <v>0.0</v>
      </c>
      <c r="AD2" s="33">
        <v>0.0</v>
      </c>
      <c r="AE2" s="33">
        <v>0.0</v>
      </c>
      <c r="AF2" s="34">
        <v>0.274581</v>
      </c>
      <c r="AG2" s="33">
        <v>1.37968</v>
      </c>
      <c r="AH2" s="33">
        <v>15.084</v>
      </c>
      <c r="AI2" s="33">
        <v>41.113</v>
      </c>
      <c r="AJ2" s="33">
        <v>33.4669</v>
      </c>
      <c r="AK2" s="33">
        <v>8.95637</v>
      </c>
      <c r="AL2" s="33">
        <v>0.0</v>
      </c>
      <c r="AM2" s="34">
        <v>0.390008</v>
      </c>
      <c r="AN2" s="33">
        <v>0.0462463</v>
      </c>
      <c r="AO2" s="33">
        <v>0.447048</v>
      </c>
      <c r="AP2" s="33">
        <v>8.87159</v>
      </c>
      <c r="AQ2" s="33">
        <v>47.0094</v>
      </c>
      <c r="AR2" s="33">
        <v>35.8024</v>
      </c>
      <c r="AS2" s="33">
        <v>7.82334</v>
      </c>
      <c r="AT2" s="33">
        <v>307.066</v>
      </c>
      <c r="AU2" s="34">
        <v>327.825</v>
      </c>
      <c r="AV2" s="34">
        <v>3646.44</v>
      </c>
      <c r="AW2" s="34">
        <v>0.314966</v>
      </c>
      <c r="AX2" s="33">
        <v>0.0</v>
      </c>
      <c r="AY2" s="33">
        <v>0.0462463</v>
      </c>
      <c r="AZ2" s="33">
        <v>0.0308309</v>
      </c>
      <c r="BA2" s="33">
        <v>0.416217</v>
      </c>
      <c r="BB2" s="33">
        <v>20.1788</v>
      </c>
      <c r="BC2" s="33">
        <v>79.3279</v>
      </c>
      <c r="BD2" s="34">
        <v>43.7195</v>
      </c>
      <c r="BE2" s="33">
        <v>0.0</v>
      </c>
      <c r="BF2" s="33">
        <v>8.84847</v>
      </c>
      <c r="BG2" s="33">
        <v>58.6481</v>
      </c>
      <c r="BH2" s="33">
        <v>29.536</v>
      </c>
      <c r="BI2" s="33">
        <v>2.47418</v>
      </c>
      <c r="BJ2" s="33">
        <v>0.493294</v>
      </c>
      <c r="BK2" s="33">
        <v>38.9697</v>
      </c>
      <c r="BL2" s="33">
        <v>12974.0</v>
      </c>
    </row>
    <row r="3">
      <c r="A3" s="33" t="s">
        <v>94</v>
      </c>
      <c r="B3" s="33" t="s">
        <v>53</v>
      </c>
      <c r="C3" s="34">
        <v>6471.11</v>
      </c>
      <c r="D3" s="33">
        <v>215.465</v>
      </c>
      <c r="E3" s="33">
        <v>11281.3</v>
      </c>
      <c r="F3" s="33">
        <v>34.1362</v>
      </c>
      <c r="G3" s="33">
        <v>45.2347</v>
      </c>
      <c r="H3" s="33">
        <v>448.089</v>
      </c>
      <c r="I3" s="33">
        <v>175.128</v>
      </c>
      <c r="J3" s="34">
        <v>2176370.0</v>
      </c>
      <c r="K3" s="34">
        <v>0.163064</v>
      </c>
      <c r="L3" s="33">
        <v>0.499964</v>
      </c>
      <c r="M3" s="33">
        <v>3.52118</v>
      </c>
      <c r="N3" s="33">
        <v>36.6617</v>
      </c>
      <c r="O3" s="33">
        <v>55.4818</v>
      </c>
      <c r="P3" s="33">
        <v>3.83544</v>
      </c>
      <c r="Q3" s="33">
        <v>0.0</v>
      </c>
      <c r="R3" s="34">
        <v>63.4511</v>
      </c>
      <c r="S3" s="33">
        <v>1.91415</v>
      </c>
      <c r="T3" s="33">
        <v>19.2201</v>
      </c>
      <c r="U3" s="33">
        <v>53.8033</v>
      </c>
      <c r="V3" s="33">
        <v>22.5341</v>
      </c>
      <c r="W3" s="33">
        <v>1.49989</v>
      </c>
      <c r="X3" s="33">
        <v>1.0285</v>
      </c>
      <c r="Y3" s="34">
        <v>14.0832</v>
      </c>
      <c r="Z3" s="33">
        <v>0.0</v>
      </c>
      <c r="AA3" s="33">
        <v>95.9646</v>
      </c>
      <c r="AB3" s="33">
        <v>4.03543</v>
      </c>
      <c r="AC3" s="33">
        <v>0.0</v>
      </c>
      <c r="AD3" s="33">
        <v>0.0</v>
      </c>
      <c r="AE3" s="33">
        <v>0.0</v>
      </c>
      <c r="AF3" s="34">
        <v>0.234914</v>
      </c>
      <c r="AG3" s="33">
        <v>2.51411</v>
      </c>
      <c r="AH3" s="33">
        <v>21.5985</v>
      </c>
      <c r="AI3" s="33">
        <v>45.911</v>
      </c>
      <c r="AJ3" s="33">
        <v>26.5338</v>
      </c>
      <c r="AK3" s="33">
        <v>3.44261</v>
      </c>
      <c r="AL3" s="33">
        <v>0.0</v>
      </c>
      <c r="AM3" s="34">
        <v>0.380744</v>
      </c>
      <c r="AN3" s="33">
        <v>0.135705</v>
      </c>
      <c r="AO3" s="33">
        <v>0.664238</v>
      </c>
      <c r="AP3" s="33">
        <v>14.5918</v>
      </c>
      <c r="AQ3" s="33">
        <v>39.8472</v>
      </c>
      <c r="AR3" s="33">
        <v>36.426</v>
      </c>
      <c r="AS3" s="33">
        <v>8.33512</v>
      </c>
      <c r="AT3" s="33">
        <v>336.321</v>
      </c>
      <c r="AU3" s="34">
        <v>349.725</v>
      </c>
      <c r="AV3" s="34">
        <v>3851.02</v>
      </c>
      <c r="AW3" s="34">
        <v>0.333379</v>
      </c>
      <c r="AX3" s="33">
        <v>0.0</v>
      </c>
      <c r="AY3" s="33">
        <v>0.12142</v>
      </c>
      <c r="AZ3" s="33">
        <v>0.0785658</v>
      </c>
      <c r="BA3" s="33">
        <v>0.599957</v>
      </c>
      <c r="BB3" s="33">
        <v>19.2701</v>
      </c>
      <c r="BC3" s="33">
        <v>79.93</v>
      </c>
      <c r="BD3" s="34">
        <v>41.7678</v>
      </c>
      <c r="BE3" s="33">
        <v>0.0</v>
      </c>
      <c r="BF3" s="33">
        <v>14.6132</v>
      </c>
      <c r="BG3" s="33">
        <v>53.9033</v>
      </c>
      <c r="BH3" s="33">
        <v>28.7908</v>
      </c>
      <c r="BI3" s="33">
        <v>2.25698</v>
      </c>
      <c r="BJ3" s="33">
        <v>0.435683</v>
      </c>
      <c r="BK3" s="33">
        <v>36.5276</v>
      </c>
      <c r="BL3" s="33">
        <v>14001.0</v>
      </c>
    </row>
    <row r="4">
      <c r="A4" s="33" t="s">
        <v>94</v>
      </c>
      <c r="B4" s="33" t="s">
        <v>53</v>
      </c>
      <c r="C4" s="34">
        <v>8977.37</v>
      </c>
      <c r="D4" s="33">
        <v>204.48</v>
      </c>
      <c r="E4" s="33">
        <v>18721.5</v>
      </c>
      <c r="F4" s="33">
        <v>28.7776</v>
      </c>
      <c r="G4" s="33">
        <v>74.9157</v>
      </c>
      <c r="H4" s="33">
        <v>543.128</v>
      </c>
      <c r="I4" s="33">
        <v>206.492</v>
      </c>
      <c r="J4" s="34">
        <v>2931100.0</v>
      </c>
      <c r="K4" s="34">
        <v>0.191525</v>
      </c>
      <c r="L4" s="33">
        <v>0.529605</v>
      </c>
      <c r="M4" s="33">
        <v>2.60566</v>
      </c>
      <c r="N4" s="33">
        <v>25.7229</v>
      </c>
      <c r="O4" s="33">
        <v>61.1005</v>
      </c>
      <c r="P4" s="33">
        <v>10.0413</v>
      </c>
      <c r="Q4" s="33">
        <v>0.0</v>
      </c>
      <c r="R4" s="34">
        <v>68.3995</v>
      </c>
      <c r="S4" s="33">
        <v>1.65237</v>
      </c>
      <c r="T4" s="33">
        <v>13.1925</v>
      </c>
      <c r="U4" s="33">
        <v>45.9167</v>
      </c>
      <c r="V4" s="33">
        <v>37.1359</v>
      </c>
      <c r="W4" s="33">
        <v>1.23928</v>
      </c>
      <c r="X4" s="33">
        <v>0.863256</v>
      </c>
      <c r="Y4" s="34">
        <v>13.0757</v>
      </c>
      <c r="Z4" s="33">
        <v>0.0</v>
      </c>
      <c r="AA4" s="33">
        <v>98.9143</v>
      </c>
      <c r="AB4" s="33">
        <v>1.08569</v>
      </c>
      <c r="AC4" s="33">
        <v>0.0</v>
      </c>
      <c r="AD4" s="33">
        <v>0.0</v>
      </c>
      <c r="AE4" s="33">
        <v>0.0</v>
      </c>
      <c r="AF4" s="34">
        <v>0.291729</v>
      </c>
      <c r="AG4" s="33">
        <v>1.2022</v>
      </c>
      <c r="AH4" s="33">
        <v>14.6012</v>
      </c>
      <c r="AI4" s="33">
        <v>35.8648</v>
      </c>
      <c r="AJ4" s="33">
        <v>34.2707</v>
      </c>
      <c r="AK4" s="33">
        <v>14.0133</v>
      </c>
      <c r="AL4" s="33">
        <v>0.0476644</v>
      </c>
      <c r="AM4" s="34">
        <v>0.375422</v>
      </c>
      <c r="AN4" s="33">
        <v>0.0105921</v>
      </c>
      <c r="AO4" s="33">
        <v>0.582565</v>
      </c>
      <c r="AP4" s="33">
        <v>10.7192</v>
      </c>
      <c r="AQ4" s="33">
        <v>48.0352</v>
      </c>
      <c r="AR4" s="33">
        <v>34.4773</v>
      </c>
      <c r="AS4" s="33">
        <v>6.17519</v>
      </c>
      <c r="AT4" s="33">
        <v>326.498</v>
      </c>
      <c r="AU4" s="34">
        <v>333.825</v>
      </c>
      <c r="AV4" s="34">
        <v>5387.6</v>
      </c>
      <c r="AW4" s="34">
        <v>0.298413</v>
      </c>
      <c r="AX4" s="33">
        <v>0.0</v>
      </c>
      <c r="AY4" s="33">
        <v>0.0158881</v>
      </c>
      <c r="AZ4" s="33">
        <v>0.0794407</v>
      </c>
      <c r="BA4" s="33">
        <v>0.497829</v>
      </c>
      <c r="BB4" s="33">
        <v>27.4706</v>
      </c>
      <c r="BC4" s="33">
        <v>71.9362</v>
      </c>
      <c r="BD4" s="34">
        <v>43.0994</v>
      </c>
      <c r="BE4" s="33">
        <v>0.0</v>
      </c>
      <c r="BF4" s="33">
        <v>9.65999</v>
      </c>
      <c r="BG4" s="33">
        <v>59.8665</v>
      </c>
      <c r="BH4" s="33">
        <v>28.1485</v>
      </c>
      <c r="BI4" s="33">
        <v>1.84832</v>
      </c>
      <c r="BJ4" s="33">
        <v>0.476644</v>
      </c>
      <c r="BK4" s="33">
        <v>36.8748</v>
      </c>
      <c r="BL4" s="33">
        <v>18882.0</v>
      </c>
    </row>
    <row r="5">
      <c r="A5" s="33" t="s">
        <v>94</v>
      </c>
      <c r="B5" s="33" t="s">
        <v>53</v>
      </c>
      <c r="C5" s="34">
        <v>5416.8</v>
      </c>
      <c r="D5" s="33">
        <v>179.122</v>
      </c>
      <c r="E5" s="33">
        <v>12401.1</v>
      </c>
      <c r="F5" s="33">
        <v>25.7226</v>
      </c>
      <c r="G5" s="33">
        <v>79.1449</v>
      </c>
      <c r="H5" s="33">
        <v>436.637</v>
      </c>
      <c r="I5" s="33">
        <v>164.032</v>
      </c>
      <c r="J5" s="34">
        <v>1469030.0</v>
      </c>
      <c r="K5" s="34">
        <v>0.167883</v>
      </c>
      <c r="L5" s="33">
        <v>0.453911</v>
      </c>
      <c r="M5" s="33">
        <v>3.97172</v>
      </c>
      <c r="N5" s="33">
        <v>36.3652</v>
      </c>
      <c r="O5" s="33">
        <v>51.1522</v>
      </c>
      <c r="P5" s="33">
        <v>8.05691</v>
      </c>
      <c r="Q5" s="33">
        <v>0.0</v>
      </c>
      <c r="R5" s="34">
        <v>64.0546</v>
      </c>
      <c r="S5" s="33">
        <v>2.29574</v>
      </c>
      <c r="T5" s="33">
        <v>22.4162</v>
      </c>
      <c r="U5" s="33">
        <v>42.0216</v>
      </c>
      <c r="V5" s="33">
        <v>31.0667</v>
      </c>
      <c r="W5" s="33">
        <v>1.22207</v>
      </c>
      <c r="X5" s="33">
        <v>0.977654</v>
      </c>
      <c r="Y5" s="34">
        <v>13.3746</v>
      </c>
      <c r="Z5" s="33">
        <v>0.0</v>
      </c>
      <c r="AA5" s="33">
        <v>96.971</v>
      </c>
      <c r="AB5" s="33">
        <v>3.02898</v>
      </c>
      <c r="AC5" s="33">
        <v>0.0</v>
      </c>
      <c r="AD5" s="33">
        <v>0.0</v>
      </c>
      <c r="AE5" s="33">
        <v>0.0</v>
      </c>
      <c r="AF5" s="34">
        <v>0.252522</v>
      </c>
      <c r="AG5" s="33">
        <v>2.06878</v>
      </c>
      <c r="AH5" s="33">
        <v>20.8362</v>
      </c>
      <c r="AI5" s="33">
        <v>42.3184</v>
      </c>
      <c r="AJ5" s="33">
        <v>25.7769</v>
      </c>
      <c r="AK5" s="33">
        <v>8.95601</v>
      </c>
      <c r="AL5" s="33">
        <v>0.0436453</v>
      </c>
      <c r="AM5" s="34">
        <v>0.383669</v>
      </c>
      <c r="AN5" s="33">
        <v>0.0174581</v>
      </c>
      <c r="AO5" s="33">
        <v>0.715782</v>
      </c>
      <c r="AP5" s="33">
        <v>12.177</v>
      </c>
      <c r="AQ5" s="33">
        <v>44.8499</v>
      </c>
      <c r="AR5" s="33">
        <v>31.8174</v>
      </c>
      <c r="AS5" s="33">
        <v>10.4225</v>
      </c>
      <c r="AT5" s="33">
        <v>271.199</v>
      </c>
      <c r="AU5" s="34">
        <v>273.825</v>
      </c>
      <c r="AV5" s="34">
        <v>3189.89</v>
      </c>
      <c r="AW5" s="34">
        <v>0.329216</v>
      </c>
      <c r="AX5" s="33">
        <v>0.0</v>
      </c>
      <c r="AY5" s="33">
        <v>0.00872905</v>
      </c>
      <c r="AZ5" s="33">
        <v>0.0698324</v>
      </c>
      <c r="BA5" s="33">
        <v>0.654679</v>
      </c>
      <c r="BB5" s="33">
        <v>21.9012</v>
      </c>
      <c r="BC5" s="33">
        <v>77.3656</v>
      </c>
      <c r="BD5" s="34">
        <v>42.791</v>
      </c>
      <c r="BE5" s="33">
        <v>0.0</v>
      </c>
      <c r="BF5" s="33">
        <v>12.1247</v>
      </c>
      <c r="BG5" s="33">
        <v>56.2064</v>
      </c>
      <c r="BH5" s="33">
        <v>28.9543</v>
      </c>
      <c r="BI5" s="33">
        <v>2.30447</v>
      </c>
      <c r="BJ5" s="33">
        <v>0.410265</v>
      </c>
      <c r="BK5" s="33">
        <v>36.0823</v>
      </c>
      <c r="BL5" s="33">
        <v>11456.0</v>
      </c>
    </row>
    <row r="6">
      <c r="A6" s="33" t="s">
        <v>111</v>
      </c>
      <c r="B6" s="33" t="s">
        <v>53</v>
      </c>
      <c r="C6" s="34">
        <v>5877.34</v>
      </c>
      <c r="D6" s="33">
        <v>193.75</v>
      </c>
      <c r="E6" s="33">
        <v>13762.6</v>
      </c>
      <c r="F6" s="33">
        <v>24.0254</v>
      </c>
      <c r="G6" s="33">
        <v>55.3297</v>
      </c>
      <c r="H6" s="33">
        <v>478.716</v>
      </c>
      <c r="I6" s="33">
        <v>192.222</v>
      </c>
      <c r="J6" s="34">
        <v>1686860.0</v>
      </c>
      <c r="K6" s="34">
        <v>0.136382</v>
      </c>
      <c r="L6" s="33">
        <v>1.30152</v>
      </c>
      <c r="M6" s="33">
        <v>7.37527</v>
      </c>
      <c r="N6" s="33">
        <v>42.3235</v>
      </c>
      <c r="O6" s="33">
        <v>44.6292</v>
      </c>
      <c r="P6" s="33">
        <v>4.3625</v>
      </c>
      <c r="Q6" s="33">
        <v>0.00803406</v>
      </c>
      <c r="R6" s="34">
        <v>58.0045</v>
      </c>
      <c r="S6" s="33">
        <v>4.79634</v>
      </c>
      <c r="T6" s="33">
        <v>31.1079</v>
      </c>
      <c r="U6" s="33">
        <v>40.6443</v>
      </c>
      <c r="V6" s="33">
        <v>20.5913</v>
      </c>
      <c r="W6" s="33">
        <v>1.16494</v>
      </c>
      <c r="X6" s="33">
        <v>1.69519</v>
      </c>
      <c r="Y6" s="34">
        <v>12.9463</v>
      </c>
      <c r="Z6" s="33">
        <v>0.0</v>
      </c>
      <c r="AA6" s="33">
        <v>98.6021</v>
      </c>
      <c r="AB6" s="33">
        <v>1.39793</v>
      </c>
      <c r="AC6" s="33">
        <v>0.0</v>
      </c>
      <c r="AD6" s="33">
        <v>0.0</v>
      </c>
      <c r="AE6" s="33">
        <v>0.0</v>
      </c>
      <c r="AF6" s="34">
        <v>0.217609</v>
      </c>
      <c r="AG6" s="33">
        <v>3.16542</v>
      </c>
      <c r="AH6" s="33">
        <v>31.0999</v>
      </c>
      <c r="AI6" s="33">
        <v>40.572</v>
      </c>
      <c r="AJ6" s="33">
        <v>18.149</v>
      </c>
      <c r="AK6" s="33">
        <v>6.94143</v>
      </c>
      <c r="AL6" s="33">
        <v>0.0723066</v>
      </c>
      <c r="AM6" s="34">
        <v>0.408078</v>
      </c>
      <c r="AN6" s="33">
        <v>0.0883747</v>
      </c>
      <c r="AO6" s="33">
        <v>1.0846</v>
      </c>
      <c r="AP6" s="33">
        <v>11.8502</v>
      </c>
      <c r="AQ6" s="33">
        <v>37.6476</v>
      </c>
      <c r="AR6" s="33">
        <v>34.3135</v>
      </c>
      <c r="AS6" s="33">
        <v>15.0157</v>
      </c>
      <c r="AT6" s="33">
        <v>287.011</v>
      </c>
      <c r="AU6" s="34">
        <v>291.78</v>
      </c>
      <c r="AV6" s="34">
        <v>3306.52</v>
      </c>
      <c r="AW6" s="34">
        <v>0.369727</v>
      </c>
      <c r="AX6" s="33">
        <v>0.0</v>
      </c>
      <c r="AY6" s="33">
        <v>0.0964088</v>
      </c>
      <c r="AZ6" s="33">
        <v>0.184783</v>
      </c>
      <c r="BA6" s="33">
        <v>0.891781</v>
      </c>
      <c r="BB6" s="33">
        <v>18.5346</v>
      </c>
      <c r="BC6" s="33">
        <v>80.2924</v>
      </c>
      <c r="BD6" s="34">
        <v>44.0991</v>
      </c>
      <c r="BE6" s="33">
        <v>0.0</v>
      </c>
      <c r="BF6" s="33">
        <v>13.6097</v>
      </c>
      <c r="BG6" s="33">
        <v>50.5985</v>
      </c>
      <c r="BH6" s="33">
        <v>31.2766</v>
      </c>
      <c r="BI6" s="33">
        <v>3.6796</v>
      </c>
      <c r="BJ6" s="33">
        <v>0.835543</v>
      </c>
      <c r="BK6" s="33">
        <v>34.2362</v>
      </c>
      <c r="BL6" s="33">
        <v>12447.0</v>
      </c>
    </row>
    <row r="7">
      <c r="A7" s="33" t="s">
        <v>111</v>
      </c>
      <c r="B7" s="33" t="s">
        <v>53</v>
      </c>
      <c r="C7" s="34">
        <v>5375.48</v>
      </c>
      <c r="D7" s="33">
        <v>239.182</v>
      </c>
      <c r="E7" s="33">
        <v>12690.2</v>
      </c>
      <c r="F7" s="33">
        <v>24.6009</v>
      </c>
      <c r="G7" s="33">
        <v>73.5801</v>
      </c>
      <c r="H7" s="33">
        <v>432.843</v>
      </c>
      <c r="I7" s="33">
        <v>154.242</v>
      </c>
      <c r="J7" s="34">
        <v>1652060.0</v>
      </c>
      <c r="K7" s="34">
        <v>0.1398</v>
      </c>
      <c r="L7" s="33">
        <v>0.815919</v>
      </c>
      <c r="M7" s="33">
        <v>5.30347</v>
      </c>
      <c r="N7" s="33">
        <v>48.2391</v>
      </c>
      <c r="O7" s="33">
        <v>41.2538</v>
      </c>
      <c r="P7" s="33">
        <v>4.38764</v>
      </c>
      <c r="Q7" s="33">
        <v>0.0</v>
      </c>
      <c r="R7" s="34">
        <v>59.3472</v>
      </c>
      <c r="S7" s="33">
        <v>3.28033</v>
      </c>
      <c r="T7" s="33">
        <v>34.3768</v>
      </c>
      <c r="U7" s="33">
        <v>35.301</v>
      </c>
      <c r="V7" s="33">
        <v>24.5858</v>
      </c>
      <c r="W7" s="33">
        <v>1.69012</v>
      </c>
      <c r="X7" s="33">
        <v>0.765965</v>
      </c>
      <c r="Y7" s="34">
        <v>13.1685</v>
      </c>
      <c r="Z7" s="33">
        <v>0.0</v>
      </c>
      <c r="AA7" s="33">
        <v>97.2192</v>
      </c>
      <c r="AB7" s="33">
        <v>2.78078</v>
      </c>
      <c r="AC7" s="33">
        <v>0.0</v>
      </c>
      <c r="AD7" s="33">
        <v>0.0</v>
      </c>
      <c r="AE7" s="33">
        <v>0.0</v>
      </c>
      <c r="AF7" s="34">
        <v>0.210211</v>
      </c>
      <c r="AG7" s="33">
        <v>4.22946</v>
      </c>
      <c r="AH7" s="33">
        <v>37.3241</v>
      </c>
      <c r="AI7" s="33">
        <v>29.498</v>
      </c>
      <c r="AJ7" s="33">
        <v>22.4794</v>
      </c>
      <c r="AK7" s="33">
        <v>6.42744</v>
      </c>
      <c r="AL7" s="33">
        <v>0.0416285</v>
      </c>
      <c r="AM7" s="34">
        <v>0.394349</v>
      </c>
      <c r="AN7" s="33">
        <v>0.0</v>
      </c>
      <c r="AO7" s="33">
        <v>0.516194</v>
      </c>
      <c r="AP7" s="33">
        <v>12.9048</v>
      </c>
      <c r="AQ7" s="33">
        <v>45.2169</v>
      </c>
      <c r="AR7" s="33">
        <v>25.3268</v>
      </c>
      <c r="AS7" s="33">
        <v>16.0353</v>
      </c>
      <c r="AT7" s="33">
        <v>307.332</v>
      </c>
      <c r="AU7" s="34">
        <v>314.88</v>
      </c>
      <c r="AV7" s="34">
        <v>3121.91</v>
      </c>
      <c r="AW7" s="34">
        <v>0.371853</v>
      </c>
      <c r="AX7" s="33">
        <v>0.0</v>
      </c>
      <c r="AY7" s="33">
        <v>0.0</v>
      </c>
      <c r="AZ7" s="33">
        <v>0.0416285</v>
      </c>
      <c r="BA7" s="33">
        <v>0.474565</v>
      </c>
      <c r="BB7" s="33">
        <v>20.0816</v>
      </c>
      <c r="BC7" s="33">
        <v>79.4022</v>
      </c>
      <c r="BD7" s="34">
        <v>43.0399</v>
      </c>
      <c r="BE7" s="33">
        <v>0.0</v>
      </c>
      <c r="BF7" s="33">
        <v>14.1537</v>
      </c>
      <c r="BG7" s="33">
        <v>53.9505</v>
      </c>
      <c r="BH7" s="33">
        <v>26.9586</v>
      </c>
      <c r="BI7" s="33">
        <v>4.26276</v>
      </c>
      <c r="BJ7" s="33">
        <v>0.674382</v>
      </c>
      <c r="BK7" s="33">
        <v>35.5078</v>
      </c>
      <c r="BL7" s="33">
        <v>12011.0</v>
      </c>
    </row>
    <row r="8">
      <c r="A8" s="33" t="s">
        <v>111</v>
      </c>
      <c r="B8" s="33" t="s">
        <v>53</v>
      </c>
      <c r="C8" s="34">
        <v>5860.49</v>
      </c>
      <c r="D8" s="33">
        <v>180.613</v>
      </c>
      <c r="E8" s="33">
        <v>12592.9</v>
      </c>
      <c r="F8" s="33">
        <v>30.0455</v>
      </c>
      <c r="G8" s="33">
        <v>70.4686</v>
      </c>
      <c r="H8" s="33">
        <v>440.189</v>
      </c>
      <c r="I8" s="33">
        <v>157.163</v>
      </c>
      <c r="J8" s="34">
        <v>1858470.0</v>
      </c>
      <c r="K8" s="34">
        <v>0.169311</v>
      </c>
      <c r="L8" s="33">
        <v>1.21512</v>
      </c>
      <c r="M8" s="33">
        <v>5.15302</v>
      </c>
      <c r="N8" s="33">
        <v>27.9628</v>
      </c>
      <c r="O8" s="33">
        <v>58.7084</v>
      </c>
      <c r="P8" s="33">
        <v>6.9607</v>
      </c>
      <c r="Q8" s="33">
        <v>0.0</v>
      </c>
      <c r="R8" s="34">
        <v>62.3858</v>
      </c>
      <c r="S8" s="33">
        <v>3.77288</v>
      </c>
      <c r="T8" s="33">
        <v>20.1995</v>
      </c>
      <c r="U8" s="33">
        <v>47.2022</v>
      </c>
      <c r="V8" s="33">
        <v>26.9802</v>
      </c>
      <c r="W8" s="33">
        <v>0.930093</v>
      </c>
      <c r="X8" s="33">
        <v>0.915092</v>
      </c>
      <c r="Y8" s="34">
        <v>12.9532</v>
      </c>
      <c r="Z8" s="33">
        <v>0.0</v>
      </c>
      <c r="AA8" s="33">
        <v>99.6475</v>
      </c>
      <c r="AB8" s="33">
        <v>0.352535</v>
      </c>
      <c r="AC8" s="33">
        <v>0.0</v>
      </c>
      <c r="AD8" s="33">
        <v>0.0</v>
      </c>
      <c r="AE8" s="33">
        <v>0.0</v>
      </c>
      <c r="AF8" s="34">
        <v>0.256169</v>
      </c>
      <c r="AG8" s="33">
        <v>1.53765</v>
      </c>
      <c r="AH8" s="33">
        <v>18.4893</v>
      </c>
      <c r="AI8" s="33">
        <v>46.3246</v>
      </c>
      <c r="AJ8" s="33">
        <v>25.8551</v>
      </c>
      <c r="AK8" s="33">
        <v>7.66577</v>
      </c>
      <c r="AL8" s="33">
        <v>0.127513</v>
      </c>
      <c r="AM8" s="34">
        <v>0.425243</v>
      </c>
      <c r="AN8" s="33">
        <v>0.0150015</v>
      </c>
      <c r="AO8" s="33">
        <v>0.39754</v>
      </c>
      <c r="AP8" s="33">
        <v>9.43594</v>
      </c>
      <c r="AQ8" s="33">
        <v>36.7987</v>
      </c>
      <c r="AR8" s="33">
        <v>38.2613</v>
      </c>
      <c r="AS8" s="33">
        <v>15.0915</v>
      </c>
      <c r="AT8" s="33">
        <v>317.118</v>
      </c>
      <c r="AU8" s="34">
        <v>323.58</v>
      </c>
      <c r="AV8" s="34">
        <v>3783.62</v>
      </c>
      <c r="AW8" s="34">
        <v>0.353296</v>
      </c>
      <c r="AX8" s="33">
        <v>0.0</v>
      </c>
      <c r="AY8" s="33">
        <v>0.0</v>
      </c>
      <c r="AZ8" s="33">
        <v>0.0450045</v>
      </c>
      <c r="BA8" s="33">
        <v>0.367537</v>
      </c>
      <c r="BB8" s="33">
        <v>18.9319</v>
      </c>
      <c r="BC8" s="33">
        <v>80.6556</v>
      </c>
      <c r="BD8" s="34">
        <v>46.5654</v>
      </c>
      <c r="BE8" s="33">
        <v>0.0</v>
      </c>
      <c r="BF8" s="33">
        <v>8.76838</v>
      </c>
      <c r="BG8" s="33">
        <v>48.7549</v>
      </c>
      <c r="BH8" s="33">
        <v>38.1713</v>
      </c>
      <c r="BI8" s="33">
        <v>3.59286</v>
      </c>
      <c r="BJ8" s="33">
        <v>0.712571</v>
      </c>
      <c r="BK8" s="33">
        <v>40.2194</v>
      </c>
      <c r="BL8" s="33">
        <v>13332.0</v>
      </c>
    </row>
    <row r="9">
      <c r="A9" s="33" t="s">
        <v>111</v>
      </c>
      <c r="B9" s="33" t="s">
        <v>53</v>
      </c>
      <c r="C9" s="34">
        <v>6546.83</v>
      </c>
      <c r="D9" s="33">
        <v>223.771</v>
      </c>
      <c r="E9" s="33">
        <v>19365.4</v>
      </c>
      <c r="F9" s="33">
        <v>19.9028</v>
      </c>
      <c r="G9" s="33">
        <v>55.8451</v>
      </c>
      <c r="H9" s="33">
        <v>559.74</v>
      </c>
      <c r="I9" s="33">
        <v>212.496</v>
      </c>
      <c r="J9" s="34">
        <v>1911060.0</v>
      </c>
      <c r="K9" s="34">
        <v>0.135181</v>
      </c>
      <c r="L9" s="33">
        <v>1.49658</v>
      </c>
      <c r="M9" s="33">
        <v>7.57554</v>
      </c>
      <c r="N9" s="33">
        <v>42.7452</v>
      </c>
      <c r="O9" s="33">
        <v>43.8925</v>
      </c>
      <c r="P9" s="33">
        <v>4.29019</v>
      </c>
      <c r="Q9" s="33">
        <v>0.0</v>
      </c>
      <c r="R9" s="34">
        <v>55.953</v>
      </c>
      <c r="S9" s="33">
        <v>5.21665</v>
      </c>
      <c r="T9" s="33">
        <v>32.7323</v>
      </c>
      <c r="U9" s="33">
        <v>43.4934</v>
      </c>
      <c r="V9" s="33">
        <v>16.3982</v>
      </c>
      <c r="W9" s="33">
        <v>1.1545</v>
      </c>
      <c r="X9" s="33">
        <v>1.00485</v>
      </c>
      <c r="Y9" s="34">
        <v>14.2257</v>
      </c>
      <c r="Z9" s="33">
        <v>0.0</v>
      </c>
      <c r="AA9" s="33">
        <v>96.8073</v>
      </c>
      <c r="AB9" s="33">
        <v>3.1927</v>
      </c>
      <c r="AC9" s="33">
        <v>0.0</v>
      </c>
      <c r="AD9" s="33">
        <v>0.0</v>
      </c>
      <c r="AE9" s="33">
        <v>0.0</v>
      </c>
      <c r="AF9" s="34">
        <v>0.198169</v>
      </c>
      <c r="AG9" s="33">
        <v>3.47064</v>
      </c>
      <c r="AH9" s="33">
        <v>36.3455</v>
      </c>
      <c r="AI9" s="33">
        <v>39.8874</v>
      </c>
      <c r="AJ9" s="33">
        <v>15.2794</v>
      </c>
      <c r="AK9" s="33">
        <v>4.97434</v>
      </c>
      <c r="AL9" s="33">
        <v>0.0427594</v>
      </c>
      <c r="AM9" s="34">
        <v>0.426692</v>
      </c>
      <c r="AN9" s="33">
        <v>0.0213797</v>
      </c>
      <c r="AO9" s="33">
        <v>0.491733</v>
      </c>
      <c r="AP9" s="33">
        <v>8.96522</v>
      </c>
      <c r="AQ9" s="33">
        <v>37.9632</v>
      </c>
      <c r="AR9" s="33">
        <v>37.3076</v>
      </c>
      <c r="AS9" s="33">
        <v>15.2509</v>
      </c>
      <c r="AT9" s="33">
        <v>291.905</v>
      </c>
      <c r="AU9" s="34">
        <v>297.18</v>
      </c>
      <c r="AV9" s="34">
        <v>3854.26</v>
      </c>
      <c r="AW9" s="34">
        <v>0.397109</v>
      </c>
      <c r="AX9" s="33">
        <v>0.0</v>
      </c>
      <c r="AY9" s="33">
        <v>0.00712657</v>
      </c>
      <c r="AZ9" s="33">
        <v>0.0427594</v>
      </c>
      <c r="BA9" s="33">
        <v>0.463227</v>
      </c>
      <c r="BB9" s="33">
        <v>13.006</v>
      </c>
      <c r="BC9" s="33">
        <v>86.4809</v>
      </c>
      <c r="BD9" s="34">
        <v>45.3852</v>
      </c>
      <c r="BE9" s="33">
        <v>0.0</v>
      </c>
      <c r="BF9" s="33">
        <v>10.1482</v>
      </c>
      <c r="BG9" s="33">
        <v>49.6864</v>
      </c>
      <c r="BH9" s="33">
        <v>35.8039</v>
      </c>
      <c r="BI9" s="33">
        <v>3.60604</v>
      </c>
      <c r="BJ9" s="33">
        <v>0.755416</v>
      </c>
      <c r="BK9" s="33">
        <v>36.0734</v>
      </c>
      <c r="BL9" s="33">
        <v>14032.0</v>
      </c>
    </row>
    <row r="10">
      <c r="A10" s="33" t="s">
        <v>112</v>
      </c>
      <c r="B10" s="33" t="s">
        <v>53</v>
      </c>
      <c r="C10" s="34">
        <v>6391.63</v>
      </c>
      <c r="D10" s="33">
        <v>174.002</v>
      </c>
      <c r="E10" s="33">
        <v>13934.5</v>
      </c>
      <c r="F10" s="33">
        <v>29.2969</v>
      </c>
      <c r="G10" s="33">
        <v>70.8894</v>
      </c>
      <c r="H10" s="33">
        <v>470.127</v>
      </c>
      <c r="I10" s="33">
        <v>175.665</v>
      </c>
      <c r="J10" s="34">
        <v>1759370.0</v>
      </c>
      <c r="K10" s="34">
        <v>0.179298</v>
      </c>
      <c r="L10" s="33">
        <v>0.628149</v>
      </c>
      <c r="M10" s="33">
        <v>4.5351</v>
      </c>
      <c r="N10" s="33">
        <v>26.0786</v>
      </c>
      <c r="O10" s="33">
        <v>61.8209</v>
      </c>
      <c r="P10" s="33">
        <v>6.93725</v>
      </c>
      <c r="Q10" s="33">
        <v>0.0</v>
      </c>
      <c r="R10" s="34">
        <v>64.3887</v>
      </c>
      <c r="S10" s="33">
        <v>2.39525</v>
      </c>
      <c r="T10" s="33">
        <v>16.4699</v>
      </c>
      <c r="U10" s="33">
        <v>52.944</v>
      </c>
      <c r="V10" s="33">
        <v>25.0639</v>
      </c>
      <c r="W10" s="33">
        <v>0.869745</v>
      </c>
      <c r="X10" s="33">
        <v>2.2572</v>
      </c>
      <c r="Y10" s="34">
        <v>13.5382</v>
      </c>
      <c r="Z10" s="33">
        <v>0.0</v>
      </c>
      <c r="AA10" s="33">
        <v>99.7032</v>
      </c>
      <c r="AB10" s="33">
        <v>0.296818</v>
      </c>
      <c r="AC10" s="33">
        <v>0.0</v>
      </c>
      <c r="AD10" s="33">
        <v>0.0</v>
      </c>
      <c r="AE10" s="33">
        <v>0.0</v>
      </c>
      <c r="AF10" s="34">
        <v>0.266752</v>
      </c>
      <c r="AG10" s="33">
        <v>1.23559</v>
      </c>
      <c r="AH10" s="33">
        <v>14.8685</v>
      </c>
      <c r="AI10" s="33">
        <v>46.1034</v>
      </c>
      <c r="AJ10" s="33">
        <v>30.876</v>
      </c>
      <c r="AK10" s="33">
        <v>6.82681</v>
      </c>
      <c r="AL10" s="33">
        <v>0.0897356</v>
      </c>
      <c r="AM10" s="34">
        <v>0.412926</v>
      </c>
      <c r="AN10" s="33">
        <v>0.628149</v>
      </c>
      <c r="AO10" s="33">
        <v>1.36674</v>
      </c>
      <c r="AP10" s="33">
        <v>9.44295</v>
      </c>
      <c r="AQ10" s="33">
        <v>32.077</v>
      </c>
      <c r="AR10" s="33">
        <v>45.6823</v>
      </c>
      <c r="AS10" s="33">
        <v>10.8028</v>
      </c>
      <c r="AT10" s="33">
        <v>275.262</v>
      </c>
      <c r="AU10" s="34">
        <v>277.756</v>
      </c>
      <c r="AV10" s="34">
        <v>4082.38</v>
      </c>
      <c r="AW10" s="34">
        <v>0.32953</v>
      </c>
      <c r="AX10" s="33">
        <v>0.0</v>
      </c>
      <c r="AY10" s="33">
        <v>0.538414</v>
      </c>
      <c r="AZ10" s="33">
        <v>0.552219</v>
      </c>
      <c r="BA10" s="33">
        <v>0.904259</v>
      </c>
      <c r="BB10" s="33">
        <v>16.8358</v>
      </c>
      <c r="BC10" s="33">
        <v>81.1693</v>
      </c>
      <c r="BD10" s="34">
        <v>45.7863</v>
      </c>
      <c r="BE10" s="33">
        <v>0.0</v>
      </c>
      <c r="BF10" s="33">
        <v>10.7407</v>
      </c>
      <c r="BG10" s="33">
        <v>46.9248</v>
      </c>
      <c r="BH10" s="33">
        <v>39.3663</v>
      </c>
      <c r="BI10" s="33">
        <v>2.43667</v>
      </c>
      <c r="BJ10" s="33">
        <v>0.531511</v>
      </c>
      <c r="BK10" s="33">
        <v>39.7005</v>
      </c>
      <c r="BL10" s="33">
        <v>14487.0</v>
      </c>
    </row>
    <row r="11">
      <c r="A11" s="33" t="s">
        <v>112</v>
      </c>
      <c r="B11" s="33" t="s">
        <v>53</v>
      </c>
      <c r="C11" s="34">
        <v>5770.85</v>
      </c>
      <c r="D11" s="33">
        <v>199.379</v>
      </c>
      <c r="E11" s="33">
        <v>16766.6</v>
      </c>
      <c r="F11" s="33">
        <v>19.8253</v>
      </c>
      <c r="G11" s="33">
        <v>57.5821</v>
      </c>
      <c r="H11" s="33">
        <v>516.102</v>
      </c>
      <c r="I11" s="33">
        <v>196.201</v>
      </c>
      <c r="J11" s="34">
        <v>1684580.0</v>
      </c>
      <c r="K11" s="34">
        <v>0.16406</v>
      </c>
      <c r="L11" s="33">
        <v>0.813935</v>
      </c>
      <c r="M11" s="33">
        <v>4.24874</v>
      </c>
      <c r="N11" s="33">
        <v>33.469</v>
      </c>
      <c r="O11" s="33">
        <v>56.5603</v>
      </c>
      <c r="P11" s="33">
        <v>4.90803</v>
      </c>
      <c r="Q11" s="33">
        <v>0.0</v>
      </c>
      <c r="R11" s="34">
        <v>61.1146</v>
      </c>
      <c r="S11" s="33">
        <v>2.73482</v>
      </c>
      <c r="T11" s="33">
        <v>21.7972</v>
      </c>
      <c r="U11" s="33">
        <v>52.8813</v>
      </c>
      <c r="V11" s="33">
        <v>20.6007</v>
      </c>
      <c r="W11" s="33">
        <v>0.675566</v>
      </c>
      <c r="X11" s="33">
        <v>1.31043</v>
      </c>
      <c r="Y11" s="34">
        <v>13.4481</v>
      </c>
      <c r="Z11" s="33">
        <v>0.0</v>
      </c>
      <c r="AA11" s="33">
        <v>98.6733</v>
      </c>
      <c r="AB11" s="33">
        <v>1.32671</v>
      </c>
      <c r="AC11" s="33">
        <v>0.0</v>
      </c>
      <c r="AD11" s="33">
        <v>0.0</v>
      </c>
      <c r="AE11" s="33">
        <v>0.0</v>
      </c>
      <c r="AF11" s="34">
        <v>0.239717</v>
      </c>
      <c r="AG11" s="33">
        <v>2.18134</v>
      </c>
      <c r="AH11" s="33">
        <v>20.4216</v>
      </c>
      <c r="AI11" s="33">
        <v>47.371</v>
      </c>
      <c r="AJ11" s="33">
        <v>25.8424</v>
      </c>
      <c r="AK11" s="33">
        <v>4.17548</v>
      </c>
      <c r="AL11" s="33">
        <v>0.00813935</v>
      </c>
      <c r="AM11" s="34">
        <v>0.419573</v>
      </c>
      <c r="AN11" s="33">
        <v>0.154648</v>
      </c>
      <c r="AO11" s="33">
        <v>0.765099</v>
      </c>
      <c r="AP11" s="33">
        <v>9.23816</v>
      </c>
      <c r="AQ11" s="33">
        <v>34.1771</v>
      </c>
      <c r="AR11" s="33">
        <v>44.9617</v>
      </c>
      <c r="AS11" s="33">
        <v>10.7032</v>
      </c>
      <c r="AT11" s="33">
        <v>291.912</v>
      </c>
      <c r="AU11" s="34">
        <v>299.433</v>
      </c>
      <c r="AV11" s="34">
        <v>3324.04</v>
      </c>
      <c r="AW11" s="34">
        <v>0.35403</v>
      </c>
      <c r="AX11" s="33">
        <v>0.00813935</v>
      </c>
      <c r="AY11" s="33">
        <v>0.12209</v>
      </c>
      <c r="AZ11" s="33">
        <v>0.146508</v>
      </c>
      <c r="BA11" s="33">
        <v>0.643008</v>
      </c>
      <c r="BB11" s="33">
        <v>13.5195</v>
      </c>
      <c r="BC11" s="33">
        <v>85.5608</v>
      </c>
      <c r="BD11" s="34">
        <v>45.3332</v>
      </c>
      <c r="BE11" s="33">
        <v>0.0</v>
      </c>
      <c r="BF11" s="33">
        <v>11.1265</v>
      </c>
      <c r="BG11" s="33">
        <v>48.9744</v>
      </c>
      <c r="BH11" s="33">
        <v>35.8945</v>
      </c>
      <c r="BI11" s="33">
        <v>3.41039</v>
      </c>
      <c r="BJ11" s="33">
        <v>0.594172</v>
      </c>
      <c r="BK11" s="33">
        <v>35.1731</v>
      </c>
      <c r="BL11" s="33">
        <v>12286.0</v>
      </c>
    </row>
    <row r="12">
      <c r="A12" s="33" t="s">
        <v>112</v>
      </c>
      <c r="B12" s="33" t="s">
        <v>53</v>
      </c>
      <c r="C12" s="34">
        <v>5608.71</v>
      </c>
      <c r="D12" s="33">
        <v>196.305</v>
      </c>
      <c r="E12" s="33">
        <v>10370.1</v>
      </c>
      <c r="F12" s="33">
        <v>29.8217</v>
      </c>
      <c r="G12" s="33">
        <v>63.9224</v>
      </c>
      <c r="H12" s="33">
        <v>396.236</v>
      </c>
      <c r="I12" s="33">
        <v>153.094</v>
      </c>
      <c r="J12" s="34">
        <v>1682860.0</v>
      </c>
      <c r="K12" s="34">
        <v>0.159479</v>
      </c>
      <c r="L12" s="33">
        <v>0.881679</v>
      </c>
      <c r="M12" s="33">
        <v>4.09981</v>
      </c>
      <c r="N12" s="33">
        <v>36.1312</v>
      </c>
      <c r="O12" s="33">
        <v>54.2056</v>
      </c>
      <c r="P12" s="33">
        <v>4.68171</v>
      </c>
      <c r="Q12" s="33">
        <v>0.0</v>
      </c>
      <c r="R12" s="34">
        <v>62.0091</v>
      </c>
      <c r="S12" s="33">
        <v>2.68912</v>
      </c>
      <c r="T12" s="33">
        <v>22.4211</v>
      </c>
      <c r="U12" s="33">
        <v>47.8487</v>
      </c>
      <c r="V12" s="33">
        <v>24.7311</v>
      </c>
      <c r="W12" s="33">
        <v>1.22553</v>
      </c>
      <c r="X12" s="33">
        <v>1.08446</v>
      </c>
      <c r="Y12" s="34">
        <v>13.3008</v>
      </c>
      <c r="Z12" s="33">
        <v>0.0</v>
      </c>
      <c r="AA12" s="33">
        <v>99.5856</v>
      </c>
      <c r="AB12" s="33">
        <v>0.414389</v>
      </c>
      <c r="AC12" s="33">
        <v>0.0</v>
      </c>
      <c r="AD12" s="33">
        <v>0.0</v>
      </c>
      <c r="AE12" s="33">
        <v>0.0</v>
      </c>
      <c r="AF12" s="34">
        <v>0.243923</v>
      </c>
      <c r="AG12" s="33">
        <v>1.71046</v>
      </c>
      <c r="AH12" s="33">
        <v>21.2044</v>
      </c>
      <c r="AI12" s="33">
        <v>46.2352</v>
      </c>
      <c r="AJ12" s="33">
        <v>24.59</v>
      </c>
      <c r="AK12" s="33">
        <v>6.21584</v>
      </c>
      <c r="AL12" s="33">
        <v>0.0440839</v>
      </c>
      <c r="AM12" s="34">
        <v>0.394418</v>
      </c>
      <c r="AN12" s="33">
        <v>0.0793511</v>
      </c>
      <c r="AO12" s="33">
        <v>0.661259</v>
      </c>
      <c r="AP12" s="33">
        <v>10.5978</v>
      </c>
      <c r="AQ12" s="33">
        <v>44.8334</v>
      </c>
      <c r="AR12" s="33">
        <v>33.1864</v>
      </c>
      <c r="AS12" s="33">
        <v>10.6419</v>
      </c>
      <c r="AT12" s="33">
        <v>300.043</v>
      </c>
      <c r="AU12" s="34">
        <v>311.695</v>
      </c>
      <c r="AV12" s="34">
        <v>3092.55</v>
      </c>
      <c r="AW12" s="34">
        <v>0.339815</v>
      </c>
      <c r="AX12" s="33">
        <v>0.0</v>
      </c>
      <c r="AY12" s="33">
        <v>0.0264504</v>
      </c>
      <c r="AZ12" s="33">
        <v>0.0969847</v>
      </c>
      <c r="BA12" s="33">
        <v>0.617175</v>
      </c>
      <c r="BB12" s="33">
        <v>19.5027</v>
      </c>
      <c r="BC12" s="33">
        <v>79.7567</v>
      </c>
      <c r="BD12" s="34">
        <v>43.251</v>
      </c>
      <c r="BE12" s="33">
        <v>0.0</v>
      </c>
      <c r="BF12" s="33">
        <v>10.5008</v>
      </c>
      <c r="BG12" s="33">
        <v>58.2084</v>
      </c>
      <c r="BH12" s="33">
        <v>27.429</v>
      </c>
      <c r="BI12" s="33">
        <v>3.25339</v>
      </c>
      <c r="BJ12" s="33">
        <v>0.608358</v>
      </c>
      <c r="BK12" s="33">
        <v>33.4652</v>
      </c>
      <c r="BL12" s="33">
        <v>11342.0</v>
      </c>
    </row>
    <row r="13">
      <c r="A13" s="33" t="s">
        <v>112</v>
      </c>
      <c r="B13" s="33" t="s">
        <v>53</v>
      </c>
      <c r="C13" s="34">
        <v>7271.77</v>
      </c>
      <c r="D13" s="33">
        <v>207.694</v>
      </c>
      <c r="E13" s="33">
        <v>15903.8</v>
      </c>
      <c r="F13" s="33">
        <v>26.8312</v>
      </c>
      <c r="G13" s="33">
        <v>64.3024</v>
      </c>
      <c r="H13" s="33">
        <v>519.548</v>
      </c>
      <c r="I13" s="33">
        <v>180.652</v>
      </c>
      <c r="J13" s="34">
        <v>2013360.0</v>
      </c>
      <c r="K13" s="34">
        <v>0.192102</v>
      </c>
      <c r="L13" s="33">
        <v>0.569111</v>
      </c>
      <c r="M13" s="33">
        <v>3.49971</v>
      </c>
      <c r="N13" s="33">
        <v>25.1259</v>
      </c>
      <c r="O13" s="33">
        <v>58.3568</v>
      </c>
      <c r="P13" s="33">
        <v>12.4485</v>
      </c>
      <c r="Q13" s="33">
        <v>0.0</v>
      </c>
      <c r="R13" s="34">
        <v>67.857</v>
      </c>
      <c r="S13" s="33">
        <v>2.21757</v>
      </c>
      <c r="T13" s="33">
        <v>15.7127</v>
      </c>
      <c r="U13" s="33">
        <v>40.7601</v>
      </c>
      <c r="V13" s="33">
        <v>38.5033</v>
      </c>
      <c r="W13" s="33">
        <v>1.69425</v>
      </c>
      <c r="X13" s="33">
        <v>1.11206</v>
      </c>
      <c r="Y13" s="34">
        <v>12.6633</v>
      </c>
      <c r="Z13" s="33">
        <v>0.0</v>
      </c>
      <c r="AA13" s="33">
        <v>99.6141</v>
      </c>
      <c r="AB13" s="33">
        <v>0.385949</v>
      </c>
      <c r="AC13" s="33">
        <v>0.0</v>
      </c>
      <c r="AD13" s="33">
        <v>0.0</v>
      </c>
      <c r="AE13" s="33">
        <v>0.0</v>
      </c>
      <c r="AF13" s="34">
        <v>0.30163</v>
      </c>
      <c r="AG13" s="33">
        <v>1.28214</v>
      </c>
      <c r="AH13" s="33">
        <v>13.8745</v>
      </c>
      <c r="AI13" s="33">
        <v>30.0321</v>
      </c>
      <c r="AJ13" s="33">
        <v>41.2965</v>
      </c>
      <c r="AK13" s="33">
        <v>13.4493</v>
      </c>
      <c r="AL13" s="33">
        <v>0.0654151</v>
      </c>
      <c r="AM13" s="34">
        <v>0.388721</v>
      </c>
      <c r="AN13" s="33">
        <v>0.00654151</v>
      </c>
      <c r="AO13" s="33">
        <v>0.765356</v>
      </c>
      <c r="AP13" s="33">
        <v>11.029</v>
      </c>
      <c r="AQ13" s="33">
        <v>41.2507</v>
      </c>
      <c r="AR13" s="33">
        <v>39.4257</v>
      </c>
      <c r="AS13" s="33">
        <v>7.52273</v>
      </c>
      <c r="AT13" s="33">
        <v>276.874</v>
      </c>
      <c r="AU13" s="34">
        <v>285.033</v>
      </c>
      <c r="AV13" s="34">
        <v>4267.16</v>
      </c>
      <c r="AW13" s="34">
        <v>0.300869</v>
      </c>
      <c r="AX13" s="33">
        <v>0.0</v>
      </c>
      <c r="AY13" s="33">
        <v>0.0</v>
      </c>
      <c r="AZ13" s="33">
        <v>0.0457905</v>
      </c>
      <c r="BA13" s="33">
        <v>0.726107</v>
      </c>
      <c r="BB13" s="33">
        <v>26.009</v>
      </c>
      <c r="BC13" s="33">
        <v>73.2191</v>
      </c>
      <c r="BD13" s="34">
        <v>44.5951</v>
      </c>
      <c r="BE13" s="33">
        <v>0.0</v>
      </c>
      <c r="BF13" s="33">
        <v>9.09269</v>
      </c>
      <c r="BG13" s="33">
        <v>55.8448</v>
      </c>
      <c r="BH13" s="33">
        <v>32.4132</v>
      </c>
      <c r="BI13" s="33">
        <v>2.13907</v>
      </c>
      <c r="BJ13" s="33">
        <v>0.510237</v>
      </c>
      <c r="BK13" s="33">
        <v>35.9357</v>
      </c>
      <c r="BL13" s="33">
        <v>15287.0</v>
      </c>
    </row>
    <row r="14">
      <c r="A14" s="33" t="s">
        <v>113</v>
      </c>
      <c r="B14" s="33" t="s">
        <v>53</v>
      </c>
      <c r="C14" s="34">
        <v>5108.37</v>
      </c>
      <c r="D14" s="33">
        <v>208.702</v>
      </c>
      <c r="E14" s="33">
        <v>11493.4</v>
      </c>
      <c r="F14" s="33">
        <v>24.6827</v>
      </c>
      <c r="G14" s="33">
        <v>54.7759</v>
      </c>
      <c r="H14" s="33">
        <v>435.441</v>
      </c>
      <c r="I14" s="33">
        <v>175.237</v>
      </c>
      <c r="J14" s="34">
        <v>1648100.0</v>
      </c>
      <c r="K14" s="34">
        <v>0.15515</v>
      </c>
      <c r="L14" s="33">
        <v>0.591239</v>
      </c>
      <c r="M14" s="33">
        <v>4.76574</v>
      </c>
      <c r="N14" s="33">
        <v>39.8997</v>
      </c>
      <c r="O14" s="33">
        <v>49.888</v>
      </c>
      <c r="P14" s="33">
        <v>4.85533</v>
      </c>
      <c r="Q14" s="33">
        <v>0.0</v>
      </c>
      <c r="R14" s="34">
        <v>66.161</v>
      </c>
      <c r="S14" s="33">
        <v>2.66953</v>
      </c>
      <c r="T14" s="33">
        <v>21.3204</v>
      </c>
      <c r="U14" s="33">
        <v>36.5583</v>
      </c>
      <c r="V14" s="33">
        <v>35.2952</v>
      </c>
      <c r="W14" s="33">
        <v>2.55308</v>
      </c>
      <c r="X14" s="33">
        <v>1.60351</v>
      </c>
      <c r="Y14" s="34">
        <v>12.6026</v>
      </c>
      <c r="Z14" s="33">
        <v>0.0</v>
      </c>
      <c r="AA14" s="33">
        <v>99.4715</v>
      </c>
      <c r="AB14" s="33">
        <v>0.528532</v>
      </c>
      <c r="AC14" s="33">
        <v>0.0</v>
      </c>
      <c r="AD14" s="33">
        <v>0.0</v>
      </c>
      <c r="AE14" s="33">
        <v>0.0</v>
      </c>
      <c r="AF14" s="34">
        <v>0.254644</v>
      </c>
      <c r="AG14" s="33">
        <v>2.25746</v>
      </c>
      <c r="AH14" s="33">
        <v>22.6373</v>
      </c>
      <c r="AI14" s="33">
        <v>37.2839</v>
      </c>
      <c r="AJ14" s="33">
        <v>29.4544</v>
      </c>
      <c r="AK14" s="33">
        <v>8.36693</v>
      </c>
      <c r="AL14" s="33">
        <v>0.0</v>
      </c>
      <c r="AM14" s="34">
        <v>0.331794</v>
      </c>
      <c r="AN14" s="33">
        <v>0.232912</v>
      </c>
      <c r="AO14" s="33">
        <v>1.05706</v>
      </c>
      <c r="AP14" s="33">
        <v>19.3676</v>
      </c>
      <c r="AQ14" s="33">
        <v>50.963</v>
      </c>
      <c r="AR14" s="33">
        <v>21.4279</v>
      </c>
      <c r="AS14" s="33">
        <v>6.95154</v>
      </c>
      <c r="AT14" s="33">
        <v>322.627</v>
      </c>
      <c r="AU14" s="34">
        <v>325.454</v>
      </c>
      <c r="AV14" s="34">
        <v>2836.87</v>
      </c>
      <c r="AW14" s="34">
        <v>0.296562</v>
      </c>
      <c r="AX14" s="33">
        <v>0.00895817</v>
      </c>
      <c r="AY14" s="33">
        <v>0.170205</v>
      </c>
      <c r="AZ14" s="33">
        <v>0.206038</v>
      </c>
      <c r="BA14" s="33">
        <v>0.904775</v>
      </c>
      <c r="BB14" s="33">
        <v>31.1475</v>
      </c>
      <c r="BC14" s="33">
        <v>67.5625</v>
      </c>
      <c r="BD14" s="34">
        <v>38.4051</v>
      </c>
      <c r="BE14" s="33">
        <v>0.0</v>
      </c>
      <c r="BF14" s="33">
        <v>17.2445</v>
      </c>
      <c r="BG14" s="33">
        <v>64.5973</v>
      </c>
      <c r="BH14" s="33">
        <v>15.5693</v>
      </c>
      <c r="BI14" s="33">
        <v>2.15892</v>
      </c>
      <c r="BJ14" s="33">
        <v>0.429992</v>
      </c>
      <c r="BK14" s="33">
        <v>33.7338</v>
      </c>
      <c r="BL14" s="33">
        <v>11163.0</v>
      </c>
    </row>
    <row r="15">
      <c r="A15" s="33" t="s">
        <v>113</v>
      </c>
      <c r="B15" s="33" t="s">
        <v>53</v>
      </c>
      <c r="C15" s="34">
        <v>7064.94</v>
      </c>
      <c r="D15" s="33">
        <v>208.718</v>
      </c>
      <c r="E15" s="33">
        <v>13240.2</v>
      </c>
      <c r="F15" s="33">
        <v>31.5402</v>
      </c>
      <c r="G15" s="33">
        <v>47.286</v>
      </c>
      <c r="H15" s="33">
        <v>473.741</v>
      </c>
      <c r="I15" s="33">
        <v>192.128</v>
      </c>
      <c r="J15" s="34">
        <v>2335780.0</v>
      </c>
      <c r="K15" s="34">
        <v>0.173241</v>
      </c>
      <c r="L15" s="33">
        <v>0.63778</v>
      </c>
      <c r="M15" s="33">
        <v>4.68144</v>
      </c>
      <c r="N15" s="33">
        <v>28.3122</v>
      </c>
      <c r="O15" s="33">
        <v>61.2927</v>
      </c>
      <c r="P15" s="33">
        <v>5.06937</v>
      </c>
      <c r="Q15" s="33">
        <v>0.00657505</v>
      </c>
      <c r="R15" s="34">
        <v>64.9556</v>
      </c>
      <c r="S15" s="33">
        <v>2.65632</v>
      </c>
      <c r="T15" s="33">
        <v>14.2744</v>
      </c>
      <c r="U15" s="33">
        <v>54.3428</v>
      </c>
      <c r="V15" s="33">
        <v>25.4192</v>
      </c>
      <c r="W15" s="33">
        <v>1.36104</v>
      </c>
      <c r="X15" s="33">
        <v>1.94622</v>
      </c>
      <c r="Y15" s="34">
        <v>13.074</v>
      </c>
      <c r="Z15" s="33">
        <v>0.0</v>
      </c>
      <c r="AA15" s="33">
        <v>99.3425</v>
      </c>
      <c r="AB15" s="33">
        <v>0.657505</v>
      </c>
      <c r="AC15" s="33">
        <v>0.0</v>
      </c>
      <c r="AD15" s="33">
        <v>0.0</v>
      </c>
      <c r="AE15" s="33">
        <v>0.0</v>
      </c>
      <c r="AF15" s="34">
        <v>0.258988</v>
      </c>
      <c r="AG15" s="33">
        <v>1.26241</v>
      </c>
      <c r="AH15" s="33">
        <v>14.9845</v>
      </c>
      <c r="AI15" s="33">
        <v>50.4241</v>
      </c>
      <c r="AJ15" s="33">
        <v>27.8914</v>
      </c>
      <c r="AK15" s="33">
        <v>5.43757</v>
      </c>
      <c r="AL15" s="33">
        <v>0.0</v>
      </c>
      <c r="AM15" s="34">
        <v>0.388701</v>
      </c>
      <c r="AN15" s="33">
        <v>0.164376</v>
      </c>
      <c r="AO15" s="33">
        <v>1.20981</v>
      </c>
      <c r="AP15" s="33">
        <v>12.4729</v>
      </c>
      <c r="AQ15" s="33">
        <v>38.1156</v>
      </c>
      <c r="AR15" s="33">
        <v>38.7402</v>
      </c>
      <c r="AS15" s="33">
        <v>9.29713</v>
      </c>
      <c r="AT15" s="33">
        <v>330.616</v>
      </c>
      <c r="AU15" s="34">
        <v>335.654</v>
      </c>
      <c r="AV15" s="34">
        <v>4176.0</v>
      </c>
      <c r="AW15" s="34">
        <v>0.320426</v>
      </c>
      <c r="AX15" s="33">
        <v>0.0</v>
      </c>
      <c r="AY15" s="33">
        <v>0.138076</v>
      </c>
      <c r="AZ15" s="33">
        <v>0.210402</v>
      </c>
      <c r="BA15" s="33">
        <v>1.02571</v>
      </c>
      <c r="BB15" s="33">
        <v>21.0599</v>
      </c>
      <c r="BC15" s="33">
        <v>77.5659</v>
      </c>
      <c r="BD15" s="34">
        <v>43.1732</v>
      </c>
      <c r="BE15" s="33">
        <v>0.0</v>
      </c>
      <c r="BF15" s="33">
        <v>12.9266</v>
      </c>
      <c r="BG15" s="33">
        <v>53.1264</v>
      </c>
      <c r="BH15" s="33">
        <v>30.9093</v>
      </c>
      <c r="BI15" s="33">
        <v>2.63002</v>
      </c>
      <c r="BJ15" s="33">
        <v>0.407653</v>
      </c>
      <c r="BK15" s="33">
        <v>36.2399</v>
      </c>
      <c r="BL15" s="33">
        <v>15209.0</v>
      </c>
    </row>
    <row r="16">
      <c r="A16" s="33" t="s">
        <v>113</v>
      </c>
      <c r="B16" s="33" t="s">
        <v>53</v>
      </c>
      <c r="C16" s="34">
        <v>5913.18</v>
      </c>
      <c r="D16" s="33">
        <v>197.27</v>
      </c>
      <c r="E16" s="33">
        <v>12722.5</v>
      </c>
      <c r="F16" s="33">
        <v>26.7188</v>
      </c>
      <c r="G16" s="33">
        <v>61.5428</v>
      </c>
      <c r="H16" s="33">
        <v>434.56</v>
      </c>
      <c r="I16" s="33">
        <v>164.151</v>
      </c>
      <c r="J16" s="34">
        <v>1912670.0</v>
      </c>
      <c r="K16" s="34">
        <v>0.164264</v>
      </c>
      <c r="L16" s="33">
        <v>0.749034</v>
      </c>
      <c r="M16" s="33">
        <v>5.09826</v>
      </c>
      <c r="N16" s="33">
        <v>34.7133</v>
      </c>
      <c r="O16" s="33">
        <v>53.2297</v>
      </c>
      <c r="P16" s="33">
        <v>6.20973</v>
      </c>
      <c r="Q16" s="33">
        <v>0.0</v>
      </c>
      <c r="R16" s="34">
        <v>64.6027</v>
      </c>
      <c r="S16" s="33">
        <v>3.23776</v>
      </c>
      <c r="T16" s="33">
        <v>18.9433</v>
      </c>
      <c r="U16" s="33">
        <v>45.683</v>
      </c>
      <c r="V16" s="33">
        <v>29.3734</v>
      </c>
      <c r="W16" s="33">
        <v>1.69942</v>
      </c>
      <c r="X16" s="33">
        <v>1.06314</v>
      </c>
      <c r="Y16" s="34">
        <v>12.8705</v>
      </c>
      <c r="Z16" s="33">
        <v>0.0</v>
      </c>
      <c r="AA16" s="33">
        <v>99.6215</v>
      </c>
      <c r="AB16" s="33">
        <v>0.378544</v>
      </c>
      <c r="AC16" s="33">
        <v>0.0</v>
      </c>
      <c r="AD16" s="33">
        <v>0.0</v>
      </c>
      <c r="AE16" s="33">
        <v>0.0</v>
      </c>
      <c r="AF16" s="34">
        <v>0.258152</v>
      </c>
      <c r="AG16" s="33">
        <v>1.82023</v>
      </c>
      <c r="AH16" s="33">
        <v>19.9501</v>
      </c>
      <c r="AI16" s="33">
        <v>40.4881</v>
      </c>
      <c r="AJ16" s="33">
        <v>30.9117</v>
      </c>
      <c r="AK16" s="33">
        <v>6.80573</v>
      </c>
      <c r="AL16" s="33">
        <v>0.0241624</v>
      </c>
      <c r="AM16" s="34">
        <v>0.372202</v>
      </c>
      <c r="AN16" s="33">
        <v>0.00805412</v>
      </c>
      <c r="AO16" s="33">
        <v>0.740979</v>
      </c>
      <c r="AP16" s="33">
        <v>13.8209</v>
      </c>
      <c r="AQ16" s="33">
        <v>46.0776</v>
      </c>
      <c r="AR16" s="33">
        <v>30.7104</v>
      </c>
      <c r="AS16" s="33">
        <v>8.64207</v>
      </c>
      <c r="AT16" s="33">
        <v>323.459</v>
      </c>
      <c r="AU16" s="34">
        <v>329.654</v>
      </c>
      <c r="AV16" s="34">
        <v>3399.28</v>
      </c>
      <c r="AW16" s="34">
        <v>0.314258</v>
      </c>
      <c r="AX16" s="33">
        <v>0.0</v>
      </c>
      <c r="AY16" s="33">
        <v>0.0</v>
      </c>
      <c r="AZ16" s="33">
        <v>0.0161082</v>
      </c>
      <c r="BA16" s="33">
        <v>0.732925</v>
      </c>
      <c r="BB16" s="33">
        <v>23.0348</v>
      </c>
      <c r="BC16" s="33">
        <v>76.2162</v>
      </c>
      <c r="BD16" s="34">
        <v>41.6808</v>
      </c>
      <c r="BE16" s="33">
        <v>0.0</v>
      </c>
      <c r="BF16" s="33">
        <v>13.3537</v>
      </c>
      <c r="BG16" s="33">
        <v>58.038</v>
      </c>
      <c r="BH16" s="33">
        <v>25.3624</v>
      </c>
      <c r="BI16" s="33">
        <v>2.66592</v>
      </c>
      <c r="BJ16" s="33">
        <v>0.579897</v>
      </c>
      <c r="BK16" s="33">
        <v>35.0951</v>
      </c>
      <c r="BL16" s="33">
        <v>12416.0</v>
      </c>
    </row>
    <row r="17">
      <c r="A17" s="33" t="s">
        <v>113</v>
      </c>
      <c r="B17" s="33" t="s">
        <v>53</v>
      </c>
      <c r="C17" s="34">
        <v>7318.88</v>
      </c>
      <c r="D17" s="33">
        <v>202.933</v>
      </c>
      <c r="E17" s="33">
        <v>13152.5</v>
      </c>
      <c r="F17" s="33">
        <v>33.0198</v>
      </c>
      <c r="G17" s="33">
        <v>74.8923</v>
      </c>
      <c r="H17" s="33">
        <v>439.419</v>
      </c>
      <c r="I17" s="33">
        <v>155.71</v>
      </c>
      <c r="J17" s="34">
        <v>2383010.0</v>
      </c>
      <c r="K17" s="34">
        <v>0.202643</v>
      </c>
      <c r="L17" s="33">
        <v>0.641857</v>
      </c>
      <c r="M17" s="33">
        <v>3.48159</v>
      </c>
      <c r="N17" s="33">
        <v>21.4212</v>
      </c>
      <c r="O17" s="33">
        <v>58.3247</v>
      </c>
      <c r="P17" s="33">
        <v>16.1307</v>
      </c>
      <c r="Q17" s="33">
        <v>0.0</v>
      </c>
      <c r="R17" s="34">
        <v>70.1343</v>
      </c>
      <c r="S17" s="33">
        <v>2.31457</v>
      </c>
      <c r="T17" s="33">
        <v>14.3283</v>
      </c>
      <c r="U17" s="33">
        <v>35.3475</v>
      </c>
      <c r="V17" s="33">
        <v>45.293</v>
      </c>
      <c r="W17" s="33">
        <v>1.66623</v>
      </c>
      <c r="X17" s="33">
        <v>1.05031</v>
      </c>
      <c r="Y17" s="34">
        <v>11.7776</v>
      </c>
      <c r="Z17" s="33">
        <v>0.0</v>
      </c>
      <c r="AA17" s="33">
        <v>99.4295</v>
      </c>
      <c r="AB17" s="33">
        <v>0.570539</v>
      </c>
      <c r="AC17" s="33">
        <v>0.0</v>
      </c>
      <c r="AD17" s="33">
        <v>0.0</v>
      </c>
      <c r="AE17" s="33">
        <v>0.0</v>
      </c>
      <c r="AF17" s="34">
        <v>0.319194</v>
      </c>
      <c r="AG17" s="33">
        <v>1.14756</v>
      </c>
      <c r="AH17" s="33">
        <v>12.1499</v>
      </c>
      <c r="AI17" s="33">
        <v>30.8545</v>
      </c>
      <c r="AJ17" s="33">
        <v>34.9391</v>
      </c>
      <c r="AK17" s="33">
        <v>20.7793</v>
      </c>
      <c r="AL17" s="33">
        <v>0.129668</v>
      </c>
      <c r="AM17" s="34">
        <v>0.391671</v>
      </c>
      <c r="AN17" s="33">
        <v>0.0064834</v>
      </c>
      <c r="AO17" s="33">
        <v>0.849326</v>
      </c>
      <c r="AP17" s="33">
        <v>11.1515</v>
      </c>
      <c r="AQ17" s="33">
        <v>44.4761</v>
      </c>
      <c r="AR17" s="33">
        <v>31.9308</v>
      </c>
      <c r="AS17" s="33">
        <v>11.5858</v>
      </c>
      <c r="AT17" s="33">
        <v>325.598</v>
      </c>
      <c r="AU17" s="34">
        <v>327.254</v>
      </c>
      <c r="AV17" s="34">
        <v>4342.93</v>
      </c>
      <c r="AW17" s="34">
        <v>0.292563</v>
      </c>
      <c r="AX17" s="33">
        <v>0.0</v>
      </c>
      <c r="AY17" s="33">
        <v>0.0</v>
      </c>
      <c r="AZ17" s="33">
        <v>0.0194502</v>
      </c>
      <c r="BA17" s="33">
        <v>0.836359</v>
      </c>
      <c r="BB17" s="33">
        <v>33.6035</v>
      </c>
      <c r="BC17" s="33">
        <v>65.5407</v>
      </c>
      <c r="BD17" s="34">
        <v>45.7508</v>
      </c>
      <c r="BE17" s="33">
        <v>0.0</v>
      </c>
      <c r="BF17" s="33">
        <v>9.0638</v>
      </c>
      <c r="BG17" s="33">
        <v>52.3664</v>
      </c>
      <c r="BH17" s="33">
        <v>34.9002</v>
      </c>
      <c r="BI17" s="33">
        <v>3.07962</v>
      </c>
      <c r="BJ17" s="33">
        <v>0.58999</v>
      </c>
      <c r="BK17" s="33">
        <v>36.4025</v>
      </c>
      <c r="BL17" s="33">
        <v>15424.0</v>
      </c>
    </row>
    <row r="18">
      <c r="A18" s="33" t="s">
        <v>94</v>
      </c>
      <c r="B18" s="33" t="s">
        <v>57</v>
      </c>
      <c r="C18" s="34">
        <v>23048.8</v>
      </c>
      <c r="D18" s="33">
        <v>297.841</v>
      </c>
      <c r="E18" s="33">
        <v>44233.7</v>
      </c>
      <c r="F18" s="33">
        <v>32.4443</v>
      </c>
      <c r="G18" s="33">
        <v>74.8114</v>
      </c>
      <c r="H18" s="33">
        <v>804.002</v>
      </c>
      <c r="I18" s="33">
        <v>292.321</v>
      </c>
      <c r="J18" s="34">
        <v>1.02969E7</v>
      </c>
      <c r="K18" s="34">
        <v>0.24224</v>
      </c>
      <c r="L18" s="33">
        <v>0.17755</v>
      </c>
      <c r="M18" s="33">
        <v>2.44032</v>
      </c>
      <c r="N18" s="33">
        <v>15.3719</v>
      </c>
      <c r="O18" s="33">
        <v>49.4555</v>
      </c>
      <c r="P18" s="33">
        <v>32.5192</v>
      </c>
      <c r="Q18" s="33">
        <v>0.03551</v>
      </c>
      <c r="R18" s="34">
        <v>84.9748</v>
      </c>
      <c r="S18" s="33">
        <v>0.964687</v>
      </c>
      <c r="T18" s="33">
        <v>4.50779</v>
      </c>
      <c r="U18" s="33">
        <v>15.7546</v>
      </c>
      <c r="V18" s="33">
        <v>65.1904</v>
      </c>
      <c r="W18" s="33">
        <v>10.9706</v>
      </c>
      <c r="X18" s="33">
        <v>2.61195</v>
      </c>
      <c r="Y18" s="34">
        <v>9.75001</v>
      </c>
      <c r="Z18" s="33">
        <v>0.0</v>
      </c>
      <c r="AA18" s="33">
        <v>99.8836</v>
      </c>
      <c r="AB18" s="33">
        <v>0.116394</v>
      </c>
      <c r="AC18" s="33">
        <v>0.0</v>
      </c>
      <c r="AD18" s="33">
        <v>0.0</v>
      </c>
      <c r="AE18" s="33">
        <v>0.0</v>
      </c>
      <c r="AF18" s="34">
        <v>0.447485</v>
      </c>
      <c r="AG18" s="33">
        <v>0.552377</v>
      </c>
      <c r="AH18" s="33">
        <v>4.30065</v>
      </c>
      <c r="AI18" s="33">
        <v>11.8958</v>
      </c>
      <c r="AJ18" s="33">
        <v>24.0521</v>
      </c>
      <c r="AK18" s="33">
        <v>47.9996</v>
      </c>
      <c r="AL18" s="33">
        <v>11.1994</v>
      </c>
      <c r="AM18" s="34">
        <v>0.266569</v>
      </c>
      <c r="AN18" s="33">
        <v>0.503058</v>
      </c>
      <c r="AO18" s="33">
        <v>1.88203</v>
      </c>
      <c r="AP18" s="33">
        <v>26.3129</v>
      </c>
      <c r="AQ18" s="33">
        <v>58.7848</v>
      </c>
      <c r="AR18" s="33">
        <v>10.4932</v>
      </c>
      <c r="AS18" s="33">
        <v>2.02407</v>
      </c>
      <c r="AT18" s="33">
        <v>446.743</v>
      </c>
      <c r="AU18" s="34">
        <v>460.399</v>
      </c>
      <c r="AV18" s="34">
        <v>14351.3</v>
      </c>
      <c r="AW18" s="34">
        <v>0.15455</v>
      </c>
      <c r="AX18" s="33">
        <v>0.00197278</v>
      </c>
      <c r="AY18" s="33">
        <v>0.325508</v>
      </c>
      <c r="AZ18" s="33">
        <v>0.384691</v>
      </c>
      <c r="BA18" s="33">
        <v>1.67291</v>
      </c>
      <c r="BB18" s="33">
        <v>73.8351</v>
      </c>
      <c r="BC18" s="33">
        <v>23.7798</v>
      </c>
      <c r="BD18" s="34">
        <v>39.4886</v>
      </c>
      <c r="BE18" s="33">
        <v>0.0</v>
      </c>
      <c r="BF18" s="33">
        <v>13.6339</v>
      </c>
      <c r="BG18" s="33">
        <v>67.0704</v>
      </c>
      <c r="BH18" s="33">
        <v>18.2363</v>
      </c>
      <c r="BI18" s="33">
        <v>0.844348</v>
      </c>
      <c r="BJ18" s="33">
        <v>0.215033</v>
      </c>
      <c r="BK18" s="33">
        <v>38.531</v>
      </c>
      <c r="BL18" s="33">
        <v>50690.0</v>
      </c>
    </row>
    <row r="19">
      <c r="A19" s="33" t="s">
        <v>94</v>
      </c>
      <c r="B19" s="33" t="s">
        <v>57</v>
      </c>
      <c r="C19" s="34">
        <v>12726.6</v>
      </c>
      <c r="D19" s="33">
        <v>287.416</v>
      </c>
      <c r="E19" s="33">
        <v>27349.5</v>
      </c>
      <c r="F19" s="33">
        <v>26.6487</v>
      </c>
      <c r="G19" s="33">
        <v>89.1278</v>
      </c>
      <c r="H19" s="33">
        <v>624.936</v>
      </c>
      <c r="I19" s="33">
        <v>213.86</v>
      </c>
      <c r="J19" s="34">
        <v>4775270.0</v>
      </c>
      <c r="K19" s="34">
        <v>0.206302</v>
      </c>
      <c r="L19" s="33">
        <v>0.33794</v>
      </c>
      <c r="M19" s="33">
        <v>2.79465</v>
      </c>
      <c r="N19" s="33">
        <v>25.4557</v>
      </c>
      <c r="O19" s="33">
        <v>51.777</v>
      </c>
      <c r="P19" s="33">
        <v>19.6195</v>
      </c>
      <c r="Q19" s="33">
        <v>0.0151883</v>
      </c>
      <c r="R19" s="34">
        <v>77.2021</v>
      </c>
      <c r="S19" s="33">
        <v>1.40872</v>
      </c>
      <c r="T19" s="33">
        <v>8.01564</v>
      </c>
      <c r="U19" s="33">
        <v>28.9831</v>
      </c>
      <c r="V19" s="33">
        <v>54.0439</v>
      </c>
      <c r="W19" s="33">
        <v>5.45641</v>
      </c>
      <c r="X19" s="33">
        <v>2.09219</v>
      </c>
      <c r="Y19" s="34">
        <v>11.5067</v>
      </c>
      <c r="Z19" s="33">
        <v>0.0</v>
      </c>
      <c r="AA19" s="33">
        <v>99.4115</v>
      </c>
      <c r="AB19" s="33">
        <v>0.588548</v>
      </c>
      <c r="AC19" s="33">
        <v>0.0</v>
      </c>
      <c r="AD19" s="33">
        <v>0.0</v>
      </c>
      <c r="AE19" s="33">
        <v>0.0</v>
      </c>
      <c r="AF19" s="34">
        <v>0.359295</v>
      </c>
      <c r="AG19" s="33">
        <v>1.06698</v>
      </c>
      <c r="AH19" s="33">
        <v>8.86239</v>
      </c>
      <c r="AI19" s="33">
        <v>24.8063</v>
      </c>
      <c r="AJ19" s="33">
        <v>32.017</v>
      </c>
      <c r="AK19" s="33">
        <v>31.1437</v>
      </c>
      <c r="AL19" s="33">
        <v>2.10358</v>
      </c>
      <c r="AM19" s="34">
        <v>0.292116</v>
      </c>
      <c r="AN19" s="33">
        <v>0.288578</v>
      </c>
      <c r="AO19" s="33">
        <v>1.46188</v>
      </c>
      <c r="AP19" s="33">
        <v>22.8888</v>
      </c>
      <c r="AQ19" s="33">
        <v>56.0829</v>
      </c>
      <c r="AR19" s="33">
        <v>16.1642</v>
      </c>
      <c r="AS19" s="33">
        <v>3.11361</v>
      </c>
      <c r="AT19" s="33">
        <v>375.221</v>
      </c>
      <c r="AU19" s="34">
        <v>387.799</v>
      </c>
      <c r="AV19" s="34">
        <v>7288.31</v>
      </c>
      <c r="AW19" s="34">
        <v>0.207803</v>
      </c>
      <c r="AX19" s="33">
        <v>0.00759417</v>
      </c>
      <c r="AY19" s="33">
        <v>0.239216</v>
      </c>
      <c r="AZ19" s="33">
        <v>0.239216</v>
      </c>
      <c r="BA19" s="33">
        <v>1.26443</v>
      </c>
      <c r="BB19" s="33">
        <v>51.6745</v>
      </c>
      <c r="BC19" s="33">
        <v>46.575</v>
      </c>
      <c r="BD19" s="34">
        <v>38.2371</v>
      </c>
      <c r="BE19" s="33">
        <v>0.0</v>
      </c>
      <c r="BF19" s="33">
        <v>17.5273</v>
      </c>
      <c r="BG19" s="33">
        <v>63.9581</v>
      </c>
      <c r="BH19" s="33">
        <v>17.1362</v>
      </c>
      <c r="BI19" s="33">
        <v>1.14292</v>
      </c>
      <c r="BJ19" s="33">
        <v>0.235419</v>
      </c>
      <c r="BK19" s="33">
        <v>34.9225</v>
      </c>
      <c r="BL19" s="33">
        <v>26336.0</v>
      </c>
    </row>
    <row r="20">
      <c r="A20" s="33" t="s">
        <v>94</v>
      </c>
      <c r="B20" s="33" t="s">
        <v>57</v>
      </c>
      <c r="C20" s="34">
        <v>12829.6</v>
      </c>
      <c r="D20" s="33">
        <v>263.235</v>
      </c>
      <c r="E20" s="33">
        <v>23728.5</v>
      </c>
      <c r="F20" s="33">
        <v>29.6704</v>
      </c>
      <c r="G20" s="33">
        <v>66.7476</v>
      </c>
      <c r="H20" s="33">
        <v>584.577</v>
      </c>
      <c r="I20" s="33">
        <v>220.523</v>
      </c>
      <c r="J20" s="34">
        <v>4807940.0</v>
      </c>
      <c r="K20" s="34">
        <v>0.213705</v>
      </c>
      <c r="L20" s="33">
        <v>0.330828</v>
      </c>
      <c r="M20" s="33">
        <v>2.07074</v>
      </c>
      <c r="N20" s="33">
        <v>22.2921</v>
      </c>
      <c r="O20" s="33">
        <v>55.1707</v>
      </c>
      <c r="P20" s="33">
        <v>20.1029</v>
      </c>
      <c r="Q20" s="33">
        <v>0.0326744</v>
      </c>
      <c r="R20" s="34">
        <v>78.9286</v>
      </c>
      <c r="S20" s="33">
        <v>1.08234</v>
      </c>
      <c r="T20" s="33">
        <v>6.29391</v>
      </c>
      <c r="U20" s="33">
        <v>26.6827</v>
      </c>
      <c r="V20" s="33">
        <v>57.703</v>
      </c>
      <c r="W20" s="33">
        <v>6.05702</v>
      </c>
      <c r="X20" s="33">
        <v>2.18102</v>
      </c>
      <c r="Y20" s="34">
        <v>11.2989</v>
      </c>
      <c r="Z20" s="33">
        <v>0.0</v>
      </c>
      <c r="AA20" s="33">
        <v>99.7631</v>
      </c>
      <c r="AB20" s="33">
        <v>0.236889</v>
      </c>
      <c r="AC20" s="33">
        <v>0.0</v>
      </c>
      <c r="AD20" s="33">
        <v>0.0</v>
      </c>
      <c r="AE20" s="33">
        <v>0.0</v>
      </c>
      <c r="AF20" s="34">
        <v>0.370954</v>
      </c>
      <c r="AG20" s="33">
        <v>0.686162</v>
      </c>
      <c r="AH20" s="33">
        <v>7.64989</v>
      </c>
      <c r="AI20" s="33">
        <v>21.6713</v>
      </c>
      <c r="AJ20" s="33">
        <v>36.6852</v>
      </c>
      <c r="AK20" s="33">
        <v>31.106</v>
      </c>
      <c r="AL20" s="33">
        <v>2.20144</v>
      </c>
      <c r="AM20" s="34">
        <v>0.289393</v>
      </c>
      <c r="AN20" s="33">
        <v>0.102107</v>
      </c>
      <c r="AO20" s="33">
        <v>1.85019</v>
      </c>
      <c r="AP20" s="33">
        <v>22.7822</v>
      </c>
      <c r="AQ20" s="33">
        <v>57.2619</v>
      </c>
      <c r="AR20" s="33">
        <v>15.2875</v>
      </c>
      <c r="AS20" s="33">
        <v>2.71606</v>
      </c>
      <c r="AT20" s="33">
        <v>374.753</v>
      </c>
      <c r="AU20" s="34">
        <v>378.799</v>
      </c>
      <c r="AV20" s="34">
        <v>7040.35</v>
      </c>
      <c r="AW20" s="34">
        <v>0.199742</v>
      </c>
      <c r="AX20" s="33">
        <v>0.0040843</v>
      </c>
      <c r="AY20" s="33">
        <v>0.081686</v>
      </c>
      <c r="AZ20" s="33">
        <v>0.142951</v>
      </c>
      <c r="BA20" s="33">
        <v>1.72357</v>
      </c>
      <c r="BB20" s="33">
        <v>53.3532</v>
      </c>
      <c r="BC20" s="33">
        <v>44.6945</v>
      </c>
      <c r="BD20" s="34">
        <v>38.3948</v>
      </c>
      <c r="BE20" s="33">
        <v>0.0</v>
      </c>
      <c r="BF20" s="33">
        <v>16.4597</v>
      </c>
      <c r="BG20" s="33">
        <v>65.5694</v>
      </c>
      <c r="BH20" s="33">
        <v>16.5128</v>
      </c>
      <c r="BI20" s="33">
        <v>1.08642</v>
      </c>
      <c r="BJ20" s="33">
        <v>0.371671</v>
      </c>
      <c r="BK20" s="33">
        <v>33.2685</v>
      </c>
      <c r="BL20" s="33">
        <v>24484.0</v>
      </c>
    </row>
    <row r="21" ht="15.75" customHeight="1">
      <c r="A21" s="33" t="s">
        <v>94</v>
      </c>
      <c r="B21" s="33" t="s">
        <v>57</v>
      </c>
      <c r="C21" s="34">
        <v>13294.4</v>
      </c>
      <c r="D21" s="33">
        <v>276.673</v>
      </c>
      <c r="E21" s="33">
        <v>30835.3</v>
      </c>
      <c r="F21" s="33">
        <v>27.9707</v>
      </c>
      <c r="G21" s="33">
        <v>79.0098</v>
      </c>
      <c r="H21" s="33">
        <v>674.393</v>
      </c>
      <c r="I21" s="33">
        <v>240.971</v>
      </c>
      <c r="J21" s="34">
        <v>5295860.0</v>
      </c>
      <c r="K21" s="34">
        <v>0.221056</v>
      </c>
      <c r="L21" s="33">
        <v>0.348077</v>
      </c>
      <c r="M21" s="33">
        <v>2.05234</v>
      </c>
      <c r="N21" s="33">
        <v>17.9293</v>
      </c>
      <c r="O21" s="33">
        <v>58.1388</v>
      </c>
      <c r="P21" s="33">
        <v>21.5118</v>
      </c>
      <c r="Q21" s="33">
        <v>0.0197025</v>
      </c>
      <c r="R21" s="34">
        <v>75.1188</v>
      </c>
      <c r="S21" s="33">
        <v>1.27738</v>
      </c>
      <c r="T21" s="33">
        <v>8.93508</v>
      </c>
      <c r="U21" s="33">
        <v>33.0706</v>
      </c>
      <c r="V21" s="33">
        <v>51.7814</v>
      </c>
      <c r="W21" s="33">
        <v>3.95035</v>
      </c>
      <c r="X21" s="33">
        <v>0.985125</v>
      </c>
      <c r="Y21" s="34">
        <v>11.6653</v>
      </c>
      <c r="Z21" s="33">
        <v>0.0</v>
      </c>
      <c r="AA21" s="33">
        <v>99.8391</v>
      </c>
      <c r="AB21" s="33">
        <v>0.160904</v>
      </c>
      <c r="AC21" s="33">
        <v>0.0</v>
      </c>
      <c r="AD21" s="33">
        <v>0.0</v>
      </c>
      <c r="AE21" s="33">
        <v>0.0</v>
      </c>
      <c r="AF21" s="34">
        <v>0.362121</v>
      </c>
      <c r="AG21" s="33">
        <v>0.791383</v>
      </c>
      <c r="AH21" s="33">
        <v>6.91229</v>
      </c>
      <c r="AI21" s="33">
        <v>28.5489</v>
      </c>
      <c r="AJ21" s="33">
        <v>27.9644</v>
      </c>
      <c r="AK21" s="33">
        <v>34.8603</v>
      </c>
      <c r="AL21" s="33">
        <v>0.922733</v>
      </c>
      <c r="AM21" s="34">
        <v>0.347127</v>
      </c>
      <c r="AN21" s="33">
        <v>0.0164187</v>
      </c>
      <c r="AO21" s="33">
        <v>0.696155</v>
      </c>
      <c r="AP21" s="33">
        <v>15.3285</v>
      </c>
      <c r="AQ21" s="33">
        <v>49.9951</v>
      </c>
      <c r="AR21" s="33">
        <v>28.5391</v>
      </c>
      <c r="AS21" s="33">
        <v>5.42475</v>
      </c>
      <c r="AT21" s="33">
        <v>398.354</v>
      </c>
      <c r="AU21" s="34">
        <v>402.595</v>
      </c>
      <c r="AV21" s="34">
        <v>8624.84</v>
      </c>
      <c r="AW21" s="34">
        <v>0.246814</v>
      </c>
      <c r="AX21" s="33">
        <v>0.0</v>
      </c>
      <c r="AY21" s="33">
        <v>0.0</v>
      </c>
      <c r="AZ21" s="33">
        <v>0.0295537</v>
      </c>
      <c r="BA21" s="33">
        <v>0.68302</v>
      </c>
      <c r="BB21" s="33">
        <v>48.0314</v>
      </c>
      <c r="BC21" s="33">
        <v>51.256</v>
      </c>
      <c r="BD21" s="34">
        <v>43.2158</v>
      </c>
      <c r="BE21" s="33">
        <v>0.0</v>
      </c>
      <c r="BF21" s="33">
        <v>9.38495</v>
      </c>
      <c r="BG21" s="33">
        <v>60.0007</v>
      </c>
      <c r="BH21" s="33">
        <v>29.2352</v>
      </c>
      <c r="BI21" s="33">
        <v>1.15916</v>
      </c>
      <c r="BJ21" s="33">
        <v>0.220011</v>
      </c>
      <c r="BK21" s="33">
        <v>40.4327</v>
      </c>
      <c r="BL21" s="33">
        <v>30453.0</v>
      </c>
    </row>
    <row r="22" ht="15.75" customHeight="1">
      <c r="A22" s="33" t="s">
        <v>111</v>
      </c>
      <c r="B22" s="33" t="s">
        <v>57</v>
      </c>
      <c r="C22" s="34">
        <v>17576.8</v>
      </c>
      <c r="D22" s="33">
        <v>231.77</v>
      </c>
      <c r="E22" s="33">
        <v>36041.6</v>
      </c>
      <c r="F22" s="33">
        <v>29.0311</v>
      </c>
      <c r="G22" s="33">
        <v>78.1863</v>
      </c>
      <c r="H22" s="33">
        <v>713.054</v>
      </c>
      <c r="I22" s="33">
        <v>250.946</v>
      </c>
      <c r="J22" s="34">
        <v>6796800.0</v>
      </c>
      <c r="K22" s="34">
        <v>0.228996</v>
      </c>
      <c r="L22" s="33">
        <v>0.176214</v>
      </c>
      <c r="M22" s="33">
        <v>2.65947</v>
      </c>
      <c r="N22" s="33">
        <v>17.193</v>
      </c>
      <c r="O22" s="33">
        <v>54.3986</v>
      </c>
      <c r="P22" s="33">
        <v>25.5591</v>
      </c>
      <c r="Q22" s="33">
        <v>0.0135549</v>
      </c>
      <c r="R22" s="34">
        <v>80.3867</v>
      </c>
      <c r="S22" s="33">
        <v>0.921734</v>
      </c>
      <c r="T22" s="33">
        <v>4.92585</v>
      </c>
      <c r="U22" s="33">
        <v>22.5228</v>
      </c>
      <c r="V22" s="33">
        <v>64.825</v>
      </c>
      <c r="W22" s="33">
        <v>3.74387</v>
      </c>
      <c r="X22" s="33">
        <v>3.0607</v>
      </c>
      <c r="Y22" s="34">
        <v>12.0222</v>
      </c>
      <c r="Z22" s="33">
        <v>0.0</v>
      </c>
      <c r="AA22" s="33">
        <v>99.8617</v>
      </c>
      <c r="AB22" s="33">
        <v>0.13826</v>
      </c>
      <c r="AC22" s="33">
        <v>0.0</v>
      </c>
      <c r="AD22" s="33">
        <v>0.0</v>
      </c>
      <c r="AE22" s="33">
        <v>0.0</v>
      </c>
      <c r="AF22" s="34">
        <v>0.389248</v>
      </c>
      <c r="AG22" s="33">
        <v>0.41478</v>
      </c>
      <c r="AH22" s="33">
        <v>5.81777</v>
      </c>
      <c r="AI22" s="33">
        <v>17.3313</v>
      </c>
      <c r="AJ22" s="33">
        <v>40.2201</v>
      </c>
      <c r="AK22" s="33">
        <v>34.5623</v>
      </c>
      <c r="AL22" s="33">
        <v>1.6537</v>
      </c>
      <c r="AM22" s="34">
        <v>0.301334</v>
      </c>
      <c r="AN22" s="33">
        <v>0.769919</v>
      </c>
      <c r="AO22" s="33">
        <v>2.15523</v>
      </c>
      <c r="AP22" s="33">
        <v>16.3418</v>
      </c>
      <c r="AQ22" s="33">
        <v>59.7202</v>
      </c>
      <c r="AR22" s="33">
        <v>18.9091</v>
      </c>
      <c r="AS22" s="33">
        <v>2.10372</v>
      </c>
      <c r="AT22" s="33">
        <v>386.692</v>
      </c>
      <c r="AU22" s="34">
        <v>395.184</v>
      </c>
      <c r="AV22" s="34">
        <v>10463.3</v>
      </c>
      <c r="AW22" s="34">
        <v>0.192794</v>
      </c>
      <c r="AX22" s="33">
        <v>0.0</v>
      </c>
      <c r="AY22" s="33">
        <v>0.444601</v>
      </c>
      <c r="AZ22" s="33">
        <v>0.753653</v>
      </c>
      <c r="BA22" s="33">
        <v>1.7269</v>
      </c>
      <c r="BB22" s="33">
        <v>52.509</v>
      </c>
      <c r="BC22" s="33">
        <v>44.5658</v>
      </c>
      <c r="BD22" s="34">
        <v>40.5703</v>
      </c>
      <c r="BE22" s="33">
        <v>0.0</v>
      </c>
      <c r="BF22" s="33">
        <v>13.2052</v>
      </c>
      <c r="BG22" s="33">
        <v>63.2526</v>
      </c>
      <c r="BH22" s="33">
        <v>22.6231</v>
      </c>
      <c r="BI22" s="33">
        <v>0.71841</v>
      </c>
      <c r="BJ22" s="33">
        <v>0.200613</v>
      </c>
      <c r="BK22" s="33">
        <v>36.5336</v>
      </c>
      <c r="BL22" s="33">
        <v>36887.0</v>
      </c>
    </row>
    <row r="23" ht="15.75" customHeight="1">
      <c r="A23" s="33" t="s">
        <v>111</v>
      </c>
      <c r="B23" s="33" t="s">
        <v>57</v>
      </c>
      <c r="C23" s="34">
        <v>10160.3</v>
      </c>
      <c r="D23" s="33">
        <v>240.479</v>
      </c>
      <c r="E23" s="33">
        <v>23534.3</v>
      </c>
      <c r="F23" s="33">
        <v>26.7918</v>
      </c>
      <c r="G23" s="33">
        <v>72.9771</v>
      </c>
      <c r="H23" s="33">
        <v>595.991</v>
      </c>
      <c r="I23" s="33">
        <v>204.793</v>
      </c>
      <c r="J23" s="34">
        <v>3093620.0</v>
      </c>
      <c r="K23" s="34">
        <v>0.204951</v>
      </c>
      <c r="L23" s="33">
        <v>0.172559</v>
      </c>
      <c r="M23" s="33">
        <v>2.59723</v>
      </c>
      <c r="N23" s="33">
        <v>25.2644</v>
      </c>
      <c r="O23" s="33">
        <v>54.471</v>
      </c>
      <c r="P23" s="33">
        <v>17.4771</v>
      </c>
      <c r="Q23" s="33">
        <v>0.0176983</v>
      </c>
      <c r="R23" s="34">
        <v>78.7846</v>
      </c>
      <c r="S23" s="33">
        <v>1.16809</v>
      </c>
      <c r="T23" s="33">
        <v>6.41565</v>
      </c>
      <c r="U23" s="33">
        <v>26.3882</v>
      </c>
      <c r="V23" s="33">
        <v>56.9754</v>
      </c>
      <c r="W23" s="33">
        <v>6.8935</v>
      </c>
      <c r="X23" s="33">
        <v>2.1592</v>
      </c>
      <c r="Y23" s="34">
        <v>11.7358</v>
      </c>
      <c r="Z23" s="33">
        <v>0.0</v>
      </c>
      <c r="AA23" s="33">
        <v>99.7965</v>
      </c>
      <c r="AB23" s="33">
        <v>0.203531</v>
      </c>
      <c r="AC23" s="33">
        <v>0.0</v>
      </c>
      <c r="AD23" s="33">
        <v>0.0</v>
      </c>
      <c r="AE23" s="33">
        <v>0.0</v>
      </c>
      <c r="AF23" s="34">
        <v>0.362272</v>
      </c>
      <c r="AG23" s="33">
        <v>0.765453</v>
      </c>
      <c r="AH23" s="33">
        <v>7.91558</v>
      </c>
      <c r="AI23" s="33">
        <v>22.9282</v>
      </c>
      <c r="AJ23" s="33">
        <v>36.932</v>
      </c>
      <c r="AK23" s="33">
        <v>30.2155</v>
      </c>
      <c r="AL23" s="33">
        <v>1.24331</v>
      </c>
      <c r="AM23" s="34">
        <v>0.272485</v>
      </c>
      <c r="AN23" s="33">
        <v>0.0221229</v>
      </c>
      <c r="AO23" s="33">
        <v>1.91584</v>
      </c>
      <c r="AP23" s="33">
        <v>28.6669</v>
      </c>
      <c r="AQ23" s="33">
        <v>52.9003</v>
      </c>
      <c r="AR23" s="33">
        <v>14.4463</v>
      </c>
      <c r="AS23" s="33">
        <v>2.04858</v>
      </c>
      <c r="AT23" s="33">
        <v>304.483</v>
      </c>
      <c r="AU23" s="34">
        <v>322.434</v>
      </c>
      <c r="AV23" s="34">
        <v>6305.24</v>
      </c>
      <c r="AW23" s="34">
        <v>0.193129</v>
      </c>
      <c r="AX23" s="33">
        <v>0.00442458</v>
      </c>
      <c r="AY23" s="33">
        <v>0.0</v>
      </c>
      <c r="AZ23" s="33">
        <v>0.0973408</v>
      </c>
      <c r="BA23" s="33">
        <v>1.8362</v>
      </c>
      <c r="BB23" s="33">
        <v>54.971</v>
      </c>
      <c r="BC23" s="33">
        <v>43.091</v>
      </c>
      <c r="BD23" s="34">
        <v>36.4096</v>
      </c>
      <c r="BE23" s="33">
        <v>0.0</v>
      </c>
      <c r="BF23" s="33">
        <v>20.9239</v>
      </c>
      <c r="BG23" s="33">
        <v>62.6654</v>
      </c>
      <c r="BH23" s="33">
        <v>15.6144</v>
      </c>
      <c r="BI23" s="33">
        <v>0.681386</v>
      </c>
      <c r="BJ23" s="33">
        <v>0.115039</v>
      </c>
      <c r="BK23" s="33">
        <v>38.3463</v>
      </c>
      <c r="BL23" s="33">
        <v>22601.0</v>
      </c>
    </row>
    <row r="24" ht="15.75" customHeight="1">
      <c r="A24" s="33" t="s">
        <v>111</v>
      </c>
      <c r="B24" s="33" t="s">
        <v>57</v>
      </c>
      <c r="C24" s="34">
        <v>12609.9</v>
      </c>
      <c r="D24" s="33">
        <v>200.194</v>
      </c>
      <c r="E24" s="33">
        <v>24839.1</v>
      </c>
      <c r="F24" s="33">
        <v>31.5119</v>
      </c>
      <c r="G24" s="33">
        <v>72.3005</v>
      </c>
      <c r="H24" s="33">
        <v>640.145</v>
      </c>
      <c r="I24" s="33">
        <v>229.207</v>
      </c>
      <c r="J24" s="34">
        <v>4167460.0</v>
      </c>
      <c r="K24" s="34">
        <v>0.215823</v>
      </c>
      <c r="L24" s="33">
        <v>0.36121</v>
      </c>
      <c r="M24" s="33">
        <v>2.24466</v>
      </c>
      <c r="N24" s="33">
        <v>21.0092</v>
      </c>
      <c r="O24" s="33">
        <v>56.2677</v>
      </c>
      <c r="P24" s="33">
        <v>20.0877</v>
      </c>
      <c r="Q24" s="33">
        <v>0.0294866</v>
      </c>
      <c r="R24" s="34">
        <v>77.1555</v>
      </c>
      <c r="S24" s="33">
        <v>1.25318</v>
      </c>
      <c r="T24" s="33">
        <v>7.05466</v>
      </c>
      <c r="U24" s="33">
        <v>28.0086</v>
      </c>
      <c r="V24" s="33">
        <v>58.2618</v>
      </c>
      <c r="W24" s="33">
        <v>4.0802</v>
      </c>
      <c r="X24" s="33">
        <v>1.34164</v>
      </c>
      <c r="Y24" s="34">
        <v>11.4791</v>
      </c>
      <c r="Z24" s="33">
        <v>0.0</v>
      </c>
      <c r="AA24" s="33">
        <v>99.6056</v>
      </c>
      <c r="AB24" s="33">
        <v>0.394383</v>
      </c>
      <c r="AC24" s="33">
        <v>0.0</v>
      </c>
      <c r="AD24" s="33">
        <v>0.0</v>
      </c>
      <c r="AE24" s="33">
        <v>0.0</v>
      </c>
      <c r="AF24" s="34">
        <v>0.371286</v>
      </c>
      <c r="AG24" s="33">
        <v>0.777708</v>
      </c>
      <c r="AH24" s="33">
        <v>6.00052</v>
      </c>
      <c r="AI24" s="33">
        <v>19.2105</v>
      </c>
      <c r="AJ24" s="33">
        <v>43.2789</v>
      </c>
      <c r="AK24" s="33">
        <v>30.1869</v>
      </c>
      <c r="AL24" s="33">
        <v>0.545501</v>
      </c>
      <c r="AM24" s="34">
        <v>0.314043</v>
      </c>
      <c r="AN24" s="33">
        <v>0.040544</v>
      </c>
      <c r="AO24" s="33">
        <v>1.14629</v>
      </c>
      <c r="AP24" s="33">
        <v>20.7954</v>
      </c>
      <c r="AQ24" s="33">
        <v>53.2527</v>
      </c>
      <c r="AR24" s="33">
        <v>20.718</v>
      </c>
      <c r="AS24" s="33">
        <v>4.04703</v>
      </c>
      <c r="AT24" s="33">
        <v>330.491</v>
      </c>
      <c r="AU24" s="34">
        <v>337.434</v>
      </c>
      <c r="AV24" s="34">
        <v>7827.26</v>
      </c>
      <c r="AW24" s="34">
        <v>0.212047</v>
      </c>
      <c r="AX24" s="33">
        <v>0.0</v>
      </c>
      <c r="AY24" s="33">
        <v>0.0368582</v>
      </c>
      <c r="AZ24" s="33">
        <v>0.0700306</v>
      </c>
      <c r="BA24" s="33">
        <v>1.07995</v>
      </c>
      <c r="BB24" s="33">
        <v>49.7512</v>
      </c>
      <c r="BC24" s="33">
        <v>49.062</v>
      </c>
      <c r="BD24" s="34">
        <v>40.2322</v>
      </c>
      <c r="BE24" s="33">
        <v>0.0</v>
      </c>
      <c r="BF24" s="33">
        <v>15.3367</v>
      </c>
      <c r="BG24" s="33">
        <v>60.9266</v>
      </c>
      <c r="BH24" s="33">
        <v>21.9785</v>
      </c>
      <c r="BI24" s="33">
        <v>1.38218</v>
      </c>
      <c r="BJ24" s="33">
        <v>0.375954</v>
      </c>
      <c r="BK24" s="33">
        <v>38.351</v>
      </c>
      <c r="BL24" s="33">
        <v>27131.0</v>
      </c>
    </row>
    <row r="25" ht="15.75" customHeight="1">
      <c r="A25" s="33" t="s">
        <v>111</v>
      </c>
      <c r="B25" s="33" t="s">
        <v>57</v>
      </c>
      <c r="C25" s="34">
        <v>10629.1</v>
      </c>
      <c r="D25" s="33">
        <v>200.942</v>
      </c>
      <c r="E25" s="33">
        <v>18547.5</v>
      </c>
      <c r="F25" s="33">
        <v>34.547</v>
      </c>
      <c r="G25" s="33">
        <v>71.233</v>
      </c>
      <c r="H25" s="33">
        <v>550.799</v>
      </c>
      <c r="I25" s="33">
        <v>208.242</v>
      </c>
      <c r="J25" s="34">
        <v>3809610.0</v>
      </c>
      <c r="K25" s="34">
        <v>0.226325</v>
      </c>
      <c r="L25" s="33">
        <v>0.36664</v>
      </c>
      <c r="M25" s="33">
        <v>1.73602</v>
      </c>
      <c r="N25" s="33">
        <v>17.7047</v>
      </c>
      <c r="O25" s="33">
        <v>56.763</v>
      </c>
      <c r="P25" s="33">
        <v>23.4075</v>
      </c>
      <c r="Q25" s="33">
        <v>0.0220868</v>
      </c>
      <c r="R25" s="34">
        <v>78.203</v>
      </c>
      <c r="S25" s="33">
        <v>1.04691</v>
      </c>
      <c r="T25" s="33">
        <v>6.2373</v>
      </c>
      <c r="U25" s="33">
        <v>25.7355</v>
      </c>
      <c r="V25" s="33">
        <v>62.0947</v>
      </c>
      <c r="W25" s="33">
        <v>3.75033</v>
      </c>
      <c r="X25" s="33">
        <v>1.13526</v>
      </c>
      <c r="Y25" s="34">
        <v>10.8984</v>
      </c>
      <c r="Z25" s="33">
        <v>0.0</v>
      </c>
      <c r="AA25" s="33">
        <v>99.8233</v>
      </c>
      <c r="AB25" s="33">
        <v>0.176694</v>
      </c>
      <c r="AC25" s="33">
        <v>0.0</v>
      </c>
      <c r="AD25" s="33">
        <v>0.0</v>
      </c>
      <c r="AE25" s="33">
        <v>0.0</v>
      </c>
      <c r="AF25" s="34">
        <v>0.380065</v>
      </c>
      <c r="AG25" s="33">
        <v>0.728863</v>
      </c>
      <c r="AH25" s="33">
        <v>5.50402</v>
      </c>
      <c r="AI25" s="33">
        <v>20.2712</v>
      </c>
      <c r="AJ25" s="33">
        <v>35.9528</v>
      </c>
      <c r="AK25" s="33">
        <v>36.8098</v>
      </c>
      <c r="AL25" s="33">
        <v>0.73328</v>
      </c>
      <c r="AM25" s="34">
        <v>0.318898</v>
      </c>
      <c r="AN25" s="33">
        <v>0.0265041</v>
      </c>
      <c r="AO25" s="33">
        <v>0.90114</v>
      </c>
      <c r="AP25" s="33">
        <v>17.1967</v>
      </c>
      <c r="AQ25" s="33">
        <v>58.0926</v>
      </c>
      <c r="AR25" s="33">
        <v>20.1343</v>
      </c>
      <c r="AS25" s="33">
        <v>3.64873</v>
      </c>
      <c r="AT25" s="33">
        <v>358.411</v>
      </c>
      <c r="AU25" s="34">
        <v>363.234</v>
      </c>
      <c r="AV25" s="34">
        <v>6407.6</v>
      </c>
      <c r="AW25" s="34">
        <v>0.212816</v>
      </c>
      <c r="AX25" s="33">
        <v>0.0</v>
      </c>
      <c r="AY25" s="33">
        <v>0.0176694</v>
      </c>
      <c r="AZ25" s="33">
        <v>0.075095</v>
      </c>
      <c r="BA25" s="33">
        <v>0.834879</v>
      </c>
      <c r="BB25" s="33">
        <v>54.9298</v>
      </c>
      <c r="BC25" s="33">
        <v>44.1426</v>
      </c>
      <c r="BD25" s="34">
        <v>41.3217</v>
      </c>
      <c r="BE25" s="33">
        <v>0.0</v>
      </c>
      <c r="BF25" s="33">
        <v>12.3112</v>
      </c>
      <c r="BG25" s="33">
        <v>63.0621</v>
      </c>
      <c r="BH25" s="33">
        <v>22.7538</v>
      </c>
      <c r="BI25" s="33">
        <v>1.4268</v>
      </c>
      <c r="BJ25" s="33">
        <v>0.446152</v>
      </c>
      <c r="BK25" s="33">
        <v>37.0619</v>
      </c>
      <c r="BL25" s="33">
        <v>22638.0</v>
      </c>
    </row>
    <row r="26" ht="15.75" customHeight="1">
      <c r="A26" s="33" t="s">
        <v>112</v>
      </c>
      <c r="B26" s="33" t="s">
        <v>57</v>
      </c>
      <c r="C26" s="34">
        <v>15021.2</v>
      </c>
      <c r="D26" s="33">
        <v>278.901</v>
      </c>
      <c r="E26" s="33">
        <v>23767.4</v>
      </c>
      <c r="F26" s="33">
        <v>39.2327</v>
      </c>
      <c r="G26" s="33">
        <v>59.3726</v>
      </c>
      <c r="H26" s="33">
        <v>628.826</v>
      </c>
      <c r="I26" s="33">
        <v>230.719</v>
      </c>
      <c r="J26" s="34">
        <v>5908930.0</v>
      </c>
      <c r="K26" s="34">
        <v>0.226508</v>
      </c>
      <c r="L26" s="33">
        <v>0.347191</v>
      </c>
      <c r="M26" s="33">
        <v>2.43939</v>
      </c>
      <c r="N26" s="33">
        <v>18.3407</v>
      </c>
      <c r="O26" s="33">
        <v>53.8508</v>
      </c>
      <c r="P26" s="33">
        <v>24.9766</v>
      </c>
      <c r="Q26" s="33">
        <v>0.0452858</v>
      </c>
      <c r="R26" s="34">
        <v>80.9919</v>
      </c>
      <c r="S26" s="33">
        <v>1.35253</v>
      </c>
      <c r="T26" s="33">
        <v>5.82073</v>
      </c>
      <c r="U26" s="33">
        <v>20.8435</v>
      </c>
      <c r="V26" s="33">
        <v>62.6725</v>
      </c>
      <c r="W26" s="33">
        <v>7.40875</v>
      </c>
      <c r="X26" s="33">
        <v>1.902</v>
      </c>
      <c r="Y26" s="34">
        <v>10.6223</v>
      </c>
      <c r="Z26" s="33">
        <v>0.0</v>
      </c>
      <c r="AA26" s="33">
        <v>99.8249</v>
      </c>
      <c r="AB26" s="33">
        <v>0.175105</v>
      </c>
      <c r="AC26" s="33">
        <v>0.0</v>
      </c>
      <c r="AD26" s="33">
        <v>0.0</v>
      </c>
      <c r="AE26" s="33">
        <v>0.0</v>
      </c>
      <c r="AF26" s="34">
        <v>0.404715</v>
      </c>
      <c r="AG26" s="33">
        <v>0.470972</v>
      </c>
      <c r="AH26" s="33">
        <v>4.56782</v>
      </c>
      <c r="AI26" s="33">
        <v>15.8742</v>
      </c>
      <c r="AJ26" s="33">
        <v>35.4648</v>
      </c>
      <c r="AK26" s="33">
        <v>41.5602</v>
      </c>
      <c r="AL26" s="33">
        <v>2.06201</v>
      </c>
      <c r="AM26" s="34">
        <v>0.291429</v>
      </c>
      <c r="AN26" s="33">
        <v>0.283791</v>
      </c>
      <c r="AO26" s="33">
        <v>1.46726</v>
      </c>
      <c r="AP26" s="33">
        <v>24.6838</v>
      </c>
      <c r="AQ26" s="33">
        <v>53.9716</v>
      </c>
      <c r="AR26" s="33">
        <v>16.013</v>
      </c>
      <c r="AS26" s="33">
        <v>3.58059</v>
      </c>
      <c r="AT26" s="33">
        <v>393.373</v>
      </c>
      <c r="AU26" s="34">
        <v>399.386</v>
      </c>
      <c r="AV26" s="34">
        <v>9324.6</v>
      </c>
      <c r="AW26" s="34">
        <v>0.18439</v>
      </c>
      <c r="AX26" s="33">
        <v>0.00301905</v>
      </c>
      <c r="AY26" s="33">
        <v>0.178124</v>
      </c>
      <c r="AZ26" s="33">
        <v>0.211334</v>
      </c>
      <c r="BA26" s="33">
        <v>1.35857</v>
      </c>
      <c r="BB26" s="33">
        <v>61.9509</v>
      </c>
      <c r="BC26" s="33">
        <v>36.298</v>
      </c>
      <c r="BD26" s="34">
        <v>39.8605</v>
      </c>
      <c r="BE26" s="33">
        <v>0.0</v>
      </c>
      <c r="BF26" s="33">
        <v>14.6907</v>
      </c>
      <c r="BG26" s="33">
        <v>63.8227</v>
      </c>
      <c r="BH26" s="33">
        <v>19.8623</v>
      </c>
      <c r="BI26" s="33">
        <v>1.35253</v>
      </c>
      <c r="BJ26" s="33">
        <v>0.271715</v>
      </c>
      <c r="BK26" s="33">
        <v>38.363</v>
      </c>
      <c r="BL26" s="33">
        <v>33123.0</v>
      </c>
    </row>
    <row r="27" ht="15.75" customHeight="1">
      <c r="A27" s="33" t="s">
        <v>112</v>
      </c>
      <c r="B27" s="33" t="s">
        <v>57</v>
      </c>
      <c r="C27" s="34">
        <v>17590.6</v>
      </c>
      <c r="D27" s="33">
        <v>309.033</v>
      </c>
      <c r="E27" s="33">
        <v>35175.3</v>
      </c>
      <c r="F27" s="33">
        <v>29.7771</v>
      </c>
      <c r="G27" s="33">
        <v>82.2317</v>
      </c>
      <c r="H27" s="33">
        <v>713.321</v>
      </c>
      <c r="I27" s="33">
        <v>246.419</v>
      </c>
      <c r="J27" s="34">
        <v>7694930.0</v>
      </c>
      <c r="K27" s="34">
        <v>0.219184</v>
      </c>
      <c r="L27" s="33">
        <v>0.466394</v>
      </c>
      <c r="M27" s="33">
        <v>2.51594</v>
      </c>
      <c r="N27" s="33">
        <v>19.459</v>
      </c>
      <c r="O27" s="33">
        <v>55.0189</v>
      </c>
      <c r="P27" s="33">
        <v>22.5113</v>
      </c>
      <c r="Q27" s="33">
        <v>0.0285018</v>
      </c>
      <c r="R27" s="34">
        <v>77.9367</v>
      </c>
      <c r="S27" s="33">
        <v>1.32663</v>
      </c>
      <c r="T27" s="33">
        <v>7.38716</v>
      </c>
      <c r="U27" s="33">
        <v>27.1856</v>
      </c>
      <c r="V27" s="33">
        <v>56.7705</v>
      </c>
      <c r="W27" s="33">
        <v>5.41017</v>
      </c>
      <c r="X27" s="33">
        <v>1.91999</v>
      </c>
      <c r="Y27" s="34">
        <v>11.3864</v>
      </c>
      <c r="Z27" s="33">
        <v>0.0</v>
      </c>
      <c r="AA27" s="33">
        <v>99.4222</v>
      </c>
      <c r="AB27" s="33">
        <v>0.57781</v>
      </c>
      <c r="AC27" s="33">
        <v>0.0</v>
      </c>
      <c r="AD27" s="33">
        <v>0.0</v>
      </c>
      <c r="AE27" s="33">
        <v>0.0</v>
      </c>
      <c r="AF27" s="34">
        <v>0.375108</v>
      </c>
      <c r="AG27" s="33">
        <v>0.787687</v>
      </c>
      <c r="AH27" s="33">
        <v>7.93388</v>
      </c>
      <c r="AI27" s="33">
        <v>20.8815</v>
      </c>
      <c r="AJ27" s="33">
        <v>34.4924</v>
      </c>
      <c r="AK27" s="33">
        <v>34.0571</v>
      </c>
      <c r="AL27" s="33">
        <v>1.84744</v>
      </c>
      <c r="AM27" s="34">
        <v>0.311749</v>
      </c>
      <c r="AN27" s="33">
        <v>0.318702</v>
      </c>
      <c r="AO27" s="33">
        <v>1.26445</v>
      </c>
      <c r="AP27" s="33">
        <v>20.0161</v>
      </c>
      <c r="AQ27" s="33">
        <v>53.9177</v>
      </c>
      <c r="AR27" s="33">
        <v>20.1327</v>
      </c>
      <c r="AS27" s="33">
        <v>4.35042</v>
      </c>
      <c r="AT27" s="33">
        <v>437.445</v>
      </c>
      <c r="AU27" s="34">
        <v>439.874</v>
      </c>
      <c r="AV27" s="34">
        <v>10474.2</v>
      </c>
      <c r="AW27" s="34">
        <v>0.212169</v>
      </c>
      <c r="AX27" s="33">
        <v>0.0440483</v>
      </c>
      <c r="AY27" s="33">
        <v>0.222833</v>
      </c>
      <c r="AZ27" s="33">
        <v>0.155465</v>
      </c>
      <c r="BA27" s="33">
        <v>1.1608</v>
      </c>
      <c r="BB27" s="33">
        <v>51.3292</v>
      </c>
      <c r="BC27" s="33">
        <v>47.0876</v>
      </c>
      <c r="BD27" s="34">
        <v>40.7971</v>
      </c>
      <c r="BE27" s="33">
        <v>0.0</v>
      </c>
      <c r="BF27" s="33">
        <v>13.1212</v>
      </c>
      <c r="BG27" s="33">
        <v>63.3725</v>
      </c>
      <c r="BH27" s="33">
        <v>21.5059</v>
      </c>
      <c r="BI27" s="33">
        <v>1.60129</v>
      </c>
      <c r="BJ27" s="33">
        <v>0.399026</v>
      </c>
      <c r="BK27" s="33">
        <v>36.5455</v>
      </c>
      <c r="BL27" s="33">
        <v>38594.0</v>
      </c>
    </row>
    <row r="28" ht="15.75" customHeight="1">
      <c r="A28" s="33" t="s">
        <v>112</v>
      </c>
      <c r="B28" s="33" t="s">
        <v>57</v>
      </c>
      <c r="C28" s="34">
        <v>11237.4</v>
      </c>
      <c r="D28" s="33">
        <v>234.575</v>
      </c>
      <c r="E28" s="33">
        <v>25801.0</v>
      </c>
      <c r="F28" s="33">
        <v>26.8992</v>
      </c>
      <c r="G28" s="33">
        <v>84.8505</v>
      </c>
      <c r="H28" s="33">
        <v>614.339</v>
      </c>
      <c r="I28" s="33">
        <v>212.52</v>
      </c>
      <c r="J28" s="34">
        <v>4028920.0</v>
      </c>
      <c r="K28" s="34">
        <v>0.21809</v>
      </c>
      <c r="L28" s="33">
        <v>0.348791</v>
      </c>
      <c r="M28" s="33">
        <v>2.56441</v>
      </c>
      <c r="N28" s="33">
        <v>19.5482</v>
      </c>
      <c r="O28" s="33">
        <v>56.088</v>
      </c>
      <c r="P28" s="33">
        <v>21.4467</v>
      </c>
      <c r="Q28" s="33">
        <v>0.00396354</v>
      </c>
      <c r="R28" s="34">
        <v>78.9106</v>
      </c>
      <c r="S28" s="33">
        <v>1.5973</v>
      </c>
      <c r="T28" s="33">
        <v>6.73801</v>
      </c>
      <c r="U28" s="33">
        <v>26.2426</v>
      </c>
      <c r="V28" s="33">
        <v>56.8252</v>
      </c>
      <c r="W28" s="33">
        <v>7.00357</v>
      </c>
      <c r="X28" s="33">
        <v>1.59334</v>
      </c>
      <c r="Y28" s="34">
        <v>10.9991</v>
      </c>
      <c r="Z28" s="33">
        <v>0.0</v>
      </c>
      <c r="AA28" s="33">
        <v>99.4213</v>
      </c>
      <c r="AB28" s="33">
        <v>0.578676</v>
      </c>
      <c r="AC28" s="33">
        <v>0.0</v>
      </c>
      <c r="AD28" s="33">
        <v>0.0</v>
      </c>
      <c r="AE28" s="33">
        <v>0.0</v>
      </c>
      <c r="AF28" s="34">
        <v>0.380998</v>
      </c>
      <c r="AG28" s="33">
        <v>1.09394</v>
      </c>
      <c r="AH28" s="33">
        <v>6.99168</v>
      </c>
      <c r="AI28" s="33">
        <v>19.8177</v>
      </c>
      <c r="AJ28" s="33">
        <v>33.698</v>
      </c>
      <c r="AK28" s="33">
        <v>36.3139</v>
      </c>
      <c r="AL28" s="33">
        <v>2.08482</v>
      </c>
      <c r="AM28" s="34">
        <v>0.294681</v>
      </c>
      <c r="AN28" s="33">
        <v>0.0396354</v>
      </c>
      <c r="AO28" s="33">
        <v>1.35553</v>
      </c>
      <c r="AP28" s="33">
        <v>22.933</v>
      </c>
      <c r="AQ28" s="33">
        <v>55.7432</v>
      </c>
      <c r="AR28" s="33">
        <v>16.9322</v>
      </c>
      <c r="AS28" s="33">
        <v>2.99643</v>
      </c>
      <c r="AT28" s="33">
        <v>358.53</v>
      </c>
      <c r="AU28" s="34">
        <v>363.986</v>
      </c>
      <c r="AV28" s="34">
        <v>6940.28</v>
      </c>
      <c r="AW28" s="34">
        <v>0.202169</v>
      </c>
      <c r="AX28" s="33">
        <v>0.0</v>
      </c>
      <c r="AY28" s="33">
        <v>0.0</v>
      </c>
      <c r="AZ28" s="33">
        <v>0.0713436</v>
      </c>
      <c r="BA28" s="33">
        <v>1.32382</v>
      </c>
      <c r="BB28" s="33">
        <v>57.3524</v>
      </c>
      <c r="BC28" s="33">
        <v>41.2525</v>
      </c>
      <c r="BD28" s="34">
        <v>39.3083</v>
      </c>
      <c r="BE28" s="33">
        <v>0.0</v>
      </c>
      <c r="BF28" s="33">
        <v>14.3361</v>
      </c>
      <c r="BG28" s="33">
        <v>66.6984</v>
      </c>
      <c r="BH28" s="33">
        <v>17.7527</v>
      </c>
      <c r="BI28" s="33">
        <v>1.03052</v>
      </c>
      <c r="BJ28" s="33">
        <v>0.182323</v>
      </c>
      <c r="BK28" s="33">
        <v>38.1272</v>
      </c>
      <c r="BL28" s="33">
        <v>25230.0</v>
      </c>
    </row>
    <row r="29" ht="15.75" customHeight="1">
      <c r="A29" s="33" t="s">
        <v>112</v>
      </c>
      <c r="B29" s="33" t="s">
        <v>57</v>
      </c>
      <c r="C29" s="34">
        <v>15708.1</v>
      </c>
      <c r="D29" s="33">
        <v>319.208</v>
      </c>
      <c r="E29" s="33">
        <v>36364.0</v>
      </c>
      <c r="F29" s="33">
        <v>25.8001</v>
      </c>
      <c r="G29" s="33">
        <v>76.7423</v>
      </c>
      <c r="H29" s="33">
        <v>753.32</v>
      </c>
      <c r="I29" s="33">
        <v>275.93</v>
      </c>
      <c r="J29" s="34">
        <v>6629950.0</v>
      </c>
      <c r="K29" s="34">
        <v>0.213145</v>
      </c>
      <c r="L29" s="33">
        <v>0.391234</v>
      </c>
      <c r="M29" s="33">
        <v>2.95338</v>
      </c>
      <c r="N29" s="33">
        <v>21.4708</v>
      </c>
      <c r="O29" s="33">
        <v>54.7669</v>
      </c>
      <c r="P29" s="33">
        <v>20.4118</v>
      </c>
      <c r="Q29" s="33">
        <v>0.00588322</v>
      </c>
      <c r="R29" s="34">
        <v>75.4495</v>
      </c>
      <c r="S29" s="33">
        <v>1.6473</v>
      </c>
      <c r="T29" s="33">
        <v>9.46904</v>
      </c>
      <c r="U29" s="33">
        <v>28.5101</v>
      </c>
      <c r="V29" s="33">
        <v>54.9345</v>
      </c>
      <c r="W29" s="33">
        <v>3.85645</v>
      </c>
      <c r="X29" s="33">
        <v>1.58259</v>
      </c>
      <c r="Y29" s="34">
        <v>11.8442</v>
      </c>
      <c r="Z29" s="33">
        <v>0.0</v>
      </c>
      <c r="AA29" s="33">
        <v>99.1969</v>
      </c>
      <c r="AB29" s="33">
        <v>0.803059</v>
      </c>
      <c r="AC29" s="33">
        <v>0.0</v>
      </c>
      <c r="AD29" s="33">
        <v>0.0</v>
      </c>
      <c r="AE29" s="33">
        <v>0.0</v>
      </c>
      <c r="AF29" s="34">
        <v>0.357593</v>
      </c>
      <c r="AG29" s="33">
        <v>1.20312</v>
      </c>
      <c r="AH29" s="33">
        <v>9.44551</v>
      </c>
      <c r="AI29" s="33">
        <v>19.6029</v>
      </c>
      <c r="AJ29" s="33">
        <v>39.2028</v>
      </c>
      <c r="AK29" s="33">
        <v>29.8132</v>
      </c>
      <c r="AL29" s="33">
        <v>0.732461</v>
      </c>
      <c r="AM29" s="34">
        <v>0.328076</v>
      </c>
      <c r="AN29" s="33">
        <v>0.0853067</v>
      </c>
      <c r="AO29" s="33">
        <v>1.15899</v>
      </c>
      <c r="AP29" s="33">
        <v>17.1878</v>
      </c>
      <c r="AQ29" s="33">
        <v>52.7401</v>
      </c>
      <c r="AR29" s="33">
        <v>24.7595</v>
      </c>
      <c r="AS29" s="33">
        <v>4.06825</v>
      </c>
      <c r="AT29" s="33">
        <v>422.072</v>
      </c>
      <c r="AU29" s="34">
        <v>430.211</v>
      </c>
      <c r="AV29" s="34">
        <v>9381.95</v>
      </c>
      <c r="AW29" s="34">
        <v>0.230654</v>
      </c>
      <c r="AX29" s="33">
        <v>0.0</v>
      </c>
      <c r="AY29" s="33">
        <v>0.0500074</v>
      </c>
      <c r="AZ29" s="33">
        <v>0.135314</v>
      </c>
      <c r="BA29" s="33">
        <v>1.05898</v>
      </c>
      <c r="BB29" s="33">
        <v>44.7213</v>
      </c>
      <c r="BC29" s="33">
        <v>54.0344</v>
      </c>
      <c r="BD29" s="34">
        <v>41.2976</v>
      </c>
      <c r="BE29" s="33">
        <v>0.0</v>
      </c>
      <c r="BF29" s="33">
        <v>13.1755</v>
      </c>
      <c r="BG29" s="33">
        <v>60.9296</v>
      </c>
      <c r="BH29" s="33">
        <v>24.2536</v>
      </c>
      <c r="BI29" s="33">
        <v>1.32372</v>
      </c>
      <c r="BJ29" s="33">
        <v>0.317694</v>
      </c>
      <c r="BK29" s="33">
        <v>36.6681</v>
      </c>
      <c r="BL29" s="33">
        <v>33995.0</v>
      </c>
    </row>
    <row r="30" ht="15.75" customHeight="1">
      <c r="A30" s="33" t="s">
        <v>113</v>
      </c>
      <c r="B30" s="33" t="s">
        <v>57</v>
      </c>
      <c r="C30" s="34">
        <v>18340.7</v>
      </c>
      <c r="D30" s="33">
        <v>289.941</v>
      </c>
      <c r="E30" s="33">
        <v>38127.2</v>
      </c>
      <c r="F30" s="33">
        <v>29.2581</v>
      </c>
      <c r="G30" s="33">
        <v>81.4793</v>
      </c>
      <c r="H30" s="33">
        <v>775.184</v>
      </c>
      <c r="I30" s="33">
        <v>278.609</v>
      </c>
      <c r="J30" s="34">
        <v>7982650.0</v>
      </c>
      <c r="K30" s="34">
        <v>0.219921</v>
      </c>
      <c r="L30" s="33">
        <v>0.390527</v>
      </c>
      <c r="M30" s="33">
        <v>2.90392</v>
      </c>
      <c r="N30" s="33">
        <v>20.365</v>
      </c>
      <c r="O30" s="33">
        <v>51.87</v>
      </c>
      <c r="P30" s="33">
        <v>24.4555</v>
      </c>
      <c r="Q30" s="33">
        <v>0.0150203</v>
      </c>
      <c r="R30" s="34">
        <v>80.2218</v>
      </c>
      <c r="S30" s="33">
        <v>1.35934</v>
      </c>
      <c r="T30" s="33">
        <v>6.44871</v>
      </c>
      <c r="U30" s="33">
        <v>21.842</v>
      </c>
      <c r="V30" s="33">
        <v>60.722</v>
      </c>
      <c r="W30" s="33">
        <v>6.97692</v>
      </c>
      <c r="X30" s="33">
        <v>2.65108</v>
      </c>
      <c r="Y30" s="34">
        <v>10.5878</v>
      </c>
      <c r="Z30" s="33">
        <v>0.0</v>
      </c>
      <c r="AA30" s="33">
        <v>99.8573</v>
      </c>
      <c r="AB30" s="33">
        <v>0.142693</v>
      </c>
      <c r="AC30" s="33">
        <v>0.0</v>
      </c>
      <c r="AD30" s="33">
        <v>0.0</v>
      </c>
      <c r="AE30" s="33">
        <v>0.0</v>
      </c>
      <c r="AF30" s="34">
        <v>0.395019</v>
      </c>
      <c r="AG30" s="33">
        <v>0.921244</v>
      </c>
      <c r="AH30" s="33">
        <v>6.68152</v>
      </c>
      <c r="AI30" s="33">
        <v>18.0243</v>
      </c>
      <c r="AJ30" s="33">
        <v>31.107</v>
      </c>
      <c r="AK30" s="33">
        <v>39.4883</v>
      </c>
      <c r="AL30" s="33">
        <v>3.7776</v>
      </c>
      <c r="AM30" s="34">
        <v>0.286065</v>
      </c>
      <c r="AN30" s="33">
        <v>0.342963</v>
      </c>
      <c r="AO30" s="33">
        <v>2.00521</v>
      </c>
      <c r="AP30" s="33">
        <v>23.4166</v>
      </c>
      <c r="AQ30" s="33">
        <v>56.1783</v>
      </c>
      <c r="AR30" s="33">
        <v>15.4959</v>
      </c>
      <c r="AS30" s="33">
        <v>2.56096</v>
      </c>
      <c r="AT30" s="33">
        <v>435.243</v>
      </c>
      <c r="AU30" s="34">
        <v>439.825</v>
      </c>
      <c r="AV30" s="34">
        <v>11155.3</v>
      </c>
      <c r="AW30" s="34">
        <v>0.185563</v>
      </c>
      <c r="AX30" s="33">
        <v>0.00751014</v>
      </c>
      <c r="AY30" s="33">
        <v>0.220297</v>
      </c>
      <c r="AZ30" s="33">
        <v>0.305412</v>
      </c>
      <c r="BA30" s="33">
        <v>1.81495</v>
      </c>
      <c r="BB30" s="33">
        <v>59.8508</v>
      </c>
      <c r="BC30" s="33">
        <v>37.801</v>
      </c>
      <c r="BD30" s="34">
        <v>39.064</v>
      </c>
      <c r="BE30" s="33">
        <v>0.0</v>
      </c>
      <c r="BF30" s="33">
        <v>16.4222</v>
      </c>
      <c r="BG30" s="33">
        <v>63.4932</v>
      </c>
      <c r="BH30" s="33">
        <v>18.873</v>
      </c>
      <c r="BI30" s="33">
        <v>0.891203</v>
      </c>
      <c r="BJ30" s="33">
        <v>0.320433</v>
      </c>
      <c r="BK30" s="33">
        <v>37.4671</v>
      </c>
      <c r="BL30" s="33">
        <v>39946.0</v>
      </c>
    </row>
    <row r="31" ht="15.75" customHeight="1">
      <c r="A31" s="33" t="s">
        <v>113</v>
      </c>
      <c r="B31" s="33" t="s">
        <v>57</v>
      </c>
      <c r="C31" s="34">
        <v>12746.5</v>
      </c>
      <c r="D31" s="33">
        <v>235.003</v>
      </c>
      <c r="E31" s="33">
        <v>31759.6</v>
      </c>
      <c r="F31" s="33">
        <v>23.4042</v>
      </c>
      <c r="G31" s="33">
        <v>73.4366</v>
      </c>
      <c r="H31" s="33">
        <v>700.339</v>
      </c>
      <c r="I31" s="33">
        <v>245.471</v>
      </c>
      <c r="J31" s="34">
        <v>4725280.0</v>
      </c>
      <c r="K31" s="34">
        <v>0.206664</v>
      </c>
      <c r="L31" s="33">
        <v>0.188352</v>
      </c>
      <c r="M31" s="33">
        <v>2.78465</v>
      </c>
      <c r="N31" s="33">
        <v>24.1016</v>
      </c>
      <c r="O31" s="33">
        <v>55.7115</v>
      </c>
      <c r="P31" s="33">
        <v>17.2028</v>
      </c>
      <c r="Q31" s="33">
        <v>0.0110795</v>
      </c>
      <c r="R31" s="34">
        <v>76.99</v>
      </c>
      <c r="S31" s="33">
        <v>1.25937</v>
      </c>
      <c r="T31" s="33">
        <v>7.95509</v>
      </c>
      <c r="U31" s="33">
        <v>28.3155</v>
      </c>
      <c r="V31" s="33">
        <v>55.7447</v>
      </c>
      <c r="W31" s="33">
        <v>4.57215</v>
      </c>
      <c r="X31" s="33">
        <v>2.15312</v>
      </c>
      <c r="Y31" s="34">
        <v>11.8699</v>
      </c>
      <c r="Z31" s="33">
        <v>0.0</v>
      </c>
      <c r="AA31" s="33">
        <v>99.8227</v>
      </c>
      <c r="AB31" s="33">
        <v>0.177272</v>
      </c>
      <c r="AC31" s="33">
        <v>0.0</v>
      </c>
      <c r="AD31" s="33">
        <v>0.0</v>
      </c>
      <c r="AE31" s="33">
        <v>0.0</v>
      </c>
      <c r="AF31" s="34">
        <v>0.345711</v>
      </c>
      <c r="AG31" s="33">
        <v>0.938066</v>
      </c>
      <c r="AH31" s="33">
        <v>9.37696</v>
      </c>
      <c r="AI31" s="33">
        <v>25.0434</v>
      </c>
      <c r="AJ31" s="33">
        <v>38.2169</v>
      </c>
      <c r="AK31" s="33">
        <v>25.7673</v>
      </c>
      <c r="AL31" s="33">
        <v>0.657385</v>
      </c>
      <c r="AM31" s="34">
        <v>0.293885</v>
      </c>
      <c r="AN31" s="33">
        <v>0.31392</v>
      </c>
      <c r="AO31" s="33">
        <v>1.68778</v>
      </c>
      <c r="AP31" s="33">
        <v>20.1352</v>
      </c>
      <c r="AQ31" s="33">
        <v>59.0353</v>
      </c>
      <c r="AR31" s="33">
        <v>16.6008</v>
      </c>
      <c r="AS31" s="33">
        <v>2.22698</v>
      </c>
      <c r="AT31" s="33">
        <v>370.711</v>
      </c>
      <c r="AU31" s="34">
        <v>377.425</v>
      </c>
      <c r="AV31" s="34">
        <v>7433.09</v>
      </c>
      <c r="AW31" s="34">
        <v>0.214966</v>
      </c>
      <c r="AX31" s="33">
        <v>0.0147727</v>
      </c>
      <c r="AY31" s="33">
        <v>0.247442</v>
      </c>
      <c r="AZ31" s="33">
        <v>0.247442</v>
      </c>
      <c r="BA31" s="33">
        <v>1.49204</v>
      </c>
      <c r="BB31" s="33">
        <v>46.4453</v>
      </c>
      <c r="BC31" s="33">
        <v>51.553</v>
      </c>
      <c r="BD31" s="34">
        <v>38.2555</v>
      </c>
      <c r="BE31" s="33">
        <v>0.0</v>
      </c>
      <c r="BF31" s="33">
        <v>16.5122</v>
      </c>
      <c r="BG31" s="33">
        <v>66.4217</v>
      </c>
      <c r="BH31" s="33">
        <v>16.2241</v>
      </c>
      <c r="BI31" s="33">
        <v>0.727555</v>
      </c>
      <c r="BJ31" s="33">
        <v>0.114488</v>
      </c>
      <c r="BK31" s="33">
        <v>35.6565</v>
      </c>
      <c r="BL31" s="33">
        <v>27077.0</v>
      </c>
    </row>
    <row r="32" ht="15.75" customHeight="1">
      <c r="A32" s="33" t="s">
        <v>113</v>
      </c>
      <c r="B32" s="33" t="s">
        <v>57</v>
      </c>
      <c r="C32" s="34">
        <v>12862.3</v>
      </c>
      <c r="D32" s="33">
        <v>262.077</v>
      </c>
      <c r="E32" s="33">
        <v>25878.6</v>
      </c>
      <c r="F32" s="33">
        <v>30.393</v>
      </c>
      <c r="G32" s="33">
        <v>74.5457</v>
      </c>
      <c r="H32" s="33">
        <v>623.204</v>
      </c>
      <c r="I32" s="33">
        <v>225.534</v>
      </c>
      <c r="J32" s="34">
        <v>5256360.0</v>
      </c>
      <c r="K32" s="34">
        <v>0.213825</v>
      </c>
      <c r="L32" s="33">
        <v>0.373304</v>
      </c>
      <c r="M32" s="33">
        <v>2.41426</v>
      </c>
      <c r="N32" s="33">
        <v>23.6681</v>
      </c>
      <c r="O32" s="33">
        <v>51.6659</v>
      </c>
      <c r="P32" s="33">
        <v>21.8574</v>
      </c>
      <c r="Q32" s="33">
        <v>0.0209329</v>
      </c>
      <c r="R32" s="34">
        <v>79.1761</v>
      </c>
      <c r="S32" s="33">
        <v>1.3118</v>
      </c>
      <c r="T32" s="33">
        <v>7.87775</v>
      </c>
      <c r="U32" s="33">
        <v>24.645</v>
      </c>
      <c r="V32" s="33">
        <v>56.8049</v>
      </c>
      <c r="W32" s="33">
        <v>7.51491</v>
      </c>
      <c r="X32" s="33">
        <v>1.84558</v>
      </c>
      <c r="Y32" s="34">
        <v>11.1646</v>
      </c>
      <c r="Z32" s="33">
        <v>0.0</v>
      </c>
      <c r="AA32" s="33">
        <v>98.6289</v>
      </c>
      <c r="AB32" s="33">
        <v>1.37111</v>
      </c>
      <c r="AC32" s="33">
        <v>0.0</v>
      </c>
      <c r="AD32" s="33">
        <v>0.0</v>
      </c>
      <c r="AE32" s="33">
        <v>0.0</v>
      </c>
      <c r="AF32" s="34">
        <v>0.377494</v>
      </c>
      <c r="AG32" s="33">
        <v>1.01525</v>
      </c>
      <c r="AH32" s="33">
        <v>7.66842</v>
      </c>
      <c r="AI32" s="33">
        <v>21.3655</v>
      </c>
      <c r="AJ32" s="33">
        <v>32.3413</v>
      </c>
      <c r="AK32" s="33">
        <v>34.5637</v>
      </c>
      <c r="AL32" s="33">
        <v>3.04574</v>
      </c>
      <c r="AM32" s="34">
        <v>0.28643</v>
      </c>
      <c r="AN32" s="33">
        <v>0.174441</v>
      </c>
      <c r="AO32" s="33">
        <v>1.45833</v>
      </c>
      <c r="AP32" s="33">
        <v>25.3637</v>
      </c>
      <c r="AQ32" s="33">
        <v>55.4478</v>
      </c>
      <c r="AR32" s="33">
        <v>14.0425</v>
      </c>
      <c r="AS32" s="33">
        <v>3.51324</v>
      </c>
      <c r="AT32" s="33">
        <v>408.664</v>
      </c>
      <c r="AU32" s="34">
        <v>410.132</v>
      </c>
      <c r="AV32" s="34">
        <v>7865.28</v>
      </c>
      <c r="AW32" s="34">
        <v>0.197613</v>
      </c>
      <c r="AX32" s="33">
        <v>0.0</v>
      </c>
      <c r="AY32" s="33">
        <v>0.132575</v>
      </c>
      <c r="AZ32" s="33">
        <v>0.23724</v>
      </c>
      <c r="BA32" s="33">
        <v>1.26295</v>
      </c>
      <c r="BB32" s="33">
        <v>57.5201</v>
      </c>
      <c r="BC32" s="33">
        <v>40.8471</v>
      </c>
      <c r="BD32" s="34">
        <v>38.584</v>
      </c>
      <c r="BE32" s="33">
        <v>0.0</v>
      </c>
      <c r="BF32" s="33">
        <v>16.5056</v>
      </c>
      <c r="BG32" s="33">
        <v>64.8502</v>
      </c>
      <c r="BH32" s="33">
        <v>17.1127</v>
      </c>
      <c r="BI32" s="33">
        <v>1.24551</v>
      </c>
      <c r="BJ32" s="33">
        <v>0.286083</v>
      </c>
      <c r="BK32" s="33">
        <v>37.6802</v>
      </c>
      <c r="BL32" s="33">
        <v>28663.0</v>
      </c>
    </row>
    <row r="33" ht="15.75" customHeight="1">
      <c r="A33" s="33" t="s">
        <v>113</v>
      </c>
      <c r="B33" s="33" t="s">
        <v>57</v>
      </c>
      <c r="C33" s="34">
        <v>21505.2</v>
      </c>
      <c r="D33" s="33">
        <v>289.64</v>
      </c>
      <c r="E33" s="33">
        <v>41467.0</v>
      </c>
      <c r="F33" s="33">
        <v>29.3317</v>
      </c>
      <c r="G33" s="33">
        <v>84.7048</v>
      </c>
      <c r="H33" s="33">
        <v>784.162</v>
      </c>
      <c r="I33" s="33">
        <v>281.093</v>
      </c>
      <c r="J33" s="34">
        <v>9662540.0</v>
      </c>
      <c r="K33" s="34">
        <v>0.236704</v>
      </c>
      <c r="L33" s="33">
        <v>0.227667</v>
      </c>
      <c r="M33" s="33">
        <v>1.90925</v>
      </c>
      <c r="N33" s="33">
        <v>16.1013</v>
      </c>
      <c r="O33" s="33">
        <v>53.0126</v>
      </c>
      <c r="P33" s="33">
        <v>28.7199</v>
      </c>
      <c r="Q33" s="33">
        <v>0.0293037</v>
      </c>
      <c r="R33" s="34">
        <v>81.3515</v>
      </c>
      <c r="S33" s="33">
        <v>0.926448</v>
      </c>
      <c r="T33" s="33">
        <v>5.05376</v>
      </c>
      <c r="U33" s="33">
        <v>20.206</v>
      </c>
      <c r="V33" s="33">
        <v>66.0686</v>
      </c>
      <c r="W33" s="33">
        <v>5.93738</v>
      </c>
      <c r="X33" s="33">
        <v>1.80781</v>
      </c>
      <c r="Y33" s="34">
        <v>10.9997</v>
      </c>
      <c r="Z33" s="33">
        <v>0.0</v>
      </c>
      <c r="AA33" s="33">
        <v>99.8422</v>
      </c>
      <c r="AB33" s="33">
        <v>0.157789</v>
      </c>
      <c r="AC33" s="33">
        <v>0.0</v>
      </c>
      <c r="AD33" s="33">
        <v>0.0</v>
      </c>
      <c r="AE33" s="33">
        <v>0.0</v>
      </c>
      <c r="AF33" s="34">
        <v>0.406595</v>
      </c>
      <c r="AG33" s="33">
        <v>0.793454</v>
      </c>
      <c r="AH33" s="33">
        <v>5.43696</v>
      </c>
      <c r="AI33" s="33">
        <v>14.0365</v>
      </c>
      <c r="AJ33" s="33">
        <v>33.7736</v>
      </c>
      <c r="AK33" s="33">
        <v>44.0435</v>
      </c>
      <c r="AL33" s="33">
        <v>1.91601</v>
      </c>
      <c r="AM33" s="34">
        <v>0.297603</v>
      </c>
      <c r="AN33" s="33">
        <v>0.10369</v>
      </c>
      <c r="AO33" s="33">
        <v>1.51928</v>
      </c>
      <c r="AP33" s="33">
        <v>19.3607</v>
      </c>
      <c r="AQ33" s="33">
        <v>60.6181</v>
      </c>
      <c r="AR33" s="33">
        <v>16.0832</v>
      </c>
      <c r="AS33" s="33">
        <v>2.31499</v>
      </c>
      <c r="AT33" s="33">
        <v>449.311</v>
      </c>
      <c r="AU33" s="34">
        <v>451.825</v>
      </c>
      <c r="AV33" s="34">
        <v>12163.0</v>
      </c>
      <c r="AW33" s="34">
        <v>0.189426</v>
      </c>
      <c r="AX33" s="33">
        <v>0.00676239</v>
      </c>
      <c r="AY33" s="33">
        <v>0.0360661</v>
      </c>
      <c r="AZ33" s="33">
        <v>0.137502</v>
      </c>
      <c r="BA33" s="33">
        <v>1.44264</v>
      </c>
      <c r="BB33" s="33">
        <v>61.3259</v>
      </c>
      <c r="BC33" s="33">
        <v>37.0511</v>
      </c>
      <c r="BD33" s="34">
        <v>40.6997</v>
      </c>
      <c r="BE33" s="33">
        <v>0.0</v>
      </c>
      <c r="BF33" s="33">
        <v>12.4608</v>
      </c>
      <c r="BG33" s="33">
        <v>65.0024</v>
      </c>
      <c r="BH33" s="33">
        <v>21.3376</v>
      </c>
      <c r="BI33" s="33">
        <v>0.885873</v>
      </c>
      <c r="BJ33" s="33">
        <v>0.313324</v>
      </c>
      <c r="BK33" s="33">
        <v>34.4531</v>
      </c>
      <c r="BL33" s="33">
        <v>44363.0</v>
      </c>
    </row>
    <row r="34" ht="15.75" customHeight="1">
      <c r="A34" s="33" t="s">
        <v>94</v>
      </c>
      <c r="B34" s="33" t="s">
        <v>59</v>
      </c>
      <c r="C34" s="34">
        <v>35829.3</v>
      </c>
      <c r="D34" s="33">
        <v>399.066</v>
      </c>
      <c r="E34" s="33">
        <v>67729.5</v>
      </c>
      <c r="F34" s="33">
        <v>28.9397</v>
      </c>
      <c r="G34" s="33">
        <v>62.8238</v>
      </c>
      <c r="H34" s="33">
        <v>1017.63</v>
      </c>
      <c r="I34" s="33">
        <v>391.127</v>
      </c>
      <c r="J34" s="34">
        <v>1.96205E7</v>
      </c>
      <c r="K34" s="34">
        <v>0.222714</v>
      </c>
      <c r="L34" s="33">
        <v>0.412368</v>
      </c>
      <c r="M34" s="33">
        <v>3.63186</v>
      </c>
      <c r="N34" s="33">
        <v>19.6457</v>
      </c>
      <c r="O34" s="33">
        <v>49.5719</v>
      </c>
      <c r="P34" s="33">
        <v>26.7217</v>
      </c>
      <c r="Q34" s="33">
        <v>0.0164399</v>
      </c>
      <c r="R34" s="34">
        <v>87.0847</v>
      </c>
      <c r="S34" s="33">
        <v>1.49877</v>
      </c>
      <c r="T34" s="33">
        <v>5.34161</v>
      </c>
      <c r="U34" s="33">
        <v>17.1222</v>
      </c>
      <c r="V34" s="33">
        <v>48.7471</v>
      </c>
      <c r="W34" s="33">
        <v>22.0007</v>
      </c>
      <c r="X34" s="33">
        <v>5.28955</v>
      </c>
      <c r="Y34" s="34">
        <v>8.2829</v>
      </c>
      <c r="Z34" s="33">
        <v>0.0</v>
      </c>
      <c r="AA34" s="33">
        <v>99.9123</v>
      </c>
      <c r="AB34" s="33">
        <v>0.0876796</v>
      </c>
      <c r="AC34" s="33">
        <v>0.0</v>
      </c>
      <c r="AD34" s="33">
        <v>0.0</v>
      </c>
      <c r="AE34" s="33">
        <v>0.0</v>
      </c>
      <c r="AF34" s="34">
        <v>0.478768</v>
      </c>
      <c r="AG34" s="33">
        <v>0.554848</v>
      </c>
      <c r="AH34" s="33">
        <v>4.2826</v>
      </c>
      <c r="AI34" s="33">
        <v>12.5875</v>
      </c>
      <c r="AJ34" s="33">
        <v>22.1281</v>
      </c>
      <c r="AK34" s="33">
        <v>27.9904</v>
      </c>
      <c r="AL34" s="33">
        <v>32.4565</v>
      </c>
      <c r="AM34" s="34">
        <v>0.227533</v>
      </c>
      <c r="AN34" s="33">
        <v>0.789117</v>
      </c>
      <c r="AO34" s="33">
        <v>4.66209</v>
      </c>
      <c r="AP34" s="33">
        <v>40.5285</v>
      </c>
      <c r="AQ34" s="33">
        <v>41.5423</v>
      </c>
      <c r="AR34" s="33">
        <v>9.92013</v>
      </c>
      <c r="AS34" s="33">
        <v>2.55778</v>
      </c>
      <c r="AT34" s="33">
        <v>547.611</v>
      </c>
      <c r="AU34" s="34">
        <v>565.954</v>
      </c>
      <c r="AV34" s="34">
        <v>19600.7</v>
      </c>
      <c r="AW34" s="34">
        <v>0.127874</v>
      </c>
      <c r="AX34" s="33">
        <v>0.0150699</v>
      </c>
      <c r="AY34" s="33">
        <v>0.379488</v>
      </c>
      <c r="AZ34" s="33">
        <v>0.532928</v>
      </c>
      <c r="BA34" s="33">
        <v>4.52372</v>
      </c>
      <c r="BB34" s="33">
        <v>73.407</v>
      </c>
      <c r="BC34" s="33">
        <v>21.1418</v>
      </c>
      <c r="BD34" s="34">
        <v>36.3461</v>
      </c>
      <c r="BE34" s="33">
        <v>0.0</v>
      </c>
      <c r="BF34" s="33">
        <v>20.7993</v>
      </c>
      <c r="BG34" s="33">
        <v>64.5158</v>
      </c>
      <c r="BH34" s="33">
        <v>13.3985</v>
      </c>
      <c r="BI34" s="33">
        <v>1.03846</v>
      </c>
      <c r="BJ34" s="33">
        <v>0.247969</v>
      </c>
      <c r="BK34" s="33">
        <v>33.1949</v>
      </c>
      <c r="BL34" s="33">
        <v>72993.0</v>
      </c>
    </row>
    <row r="35" ht="15.75" customHeight="1">
      <c r="A35" s="33" t="s">
        <v>94</v>
      </c>
      <c r="B35" s="33" t="s">
        <v>59</v>
      </c>
      <c r="C35" s="34">
        <v>32260.8</v>
      </c>
      <c r="D35" s="33">
        <v>374.352</v>
      </c>
      <c r="E35" s="33">
        <v>66574.2</v>
      </c>
      <c r="F35" s="33">
        <v>27.5164</v>
      </c>
      <c r="G35" s="33">
        <v>79.2611</v>
      </c>
      <c r="H35" s="33">
        <v>975.419</v>
      </c>
      <c r="I35" s="33">
        <v>334.472</v>
      </c>
      <c r="J35" s="34">
        <v>1.79874E7</v>
      </c>
      <c r="K35" s="34">
        <v>0.23652</v>
      </c>
      <c r="L35" s="33">
        <v>0.421046</v>
      </c>
      <c r="M35" s="33">
        <v>2.76183</v>
      </c>
      <c r="N35" s="33">
        <v>16.1131</v>
      </c>
      <c r="O35" s="33">
        <v>50.3798</v>
      </c>
      <c r="P35" s="33">
        <v>30.2815</v>
      </c>
      <c r="Q35" s="33">
        <v>0.0426935</v>
      </c>
      <c r="R35" s="34">
        <v>89.1423</v>
      </c>
      <c r="S35" s="33">
        <v>1.27197</v>
      </c>
      <c r="T35" s="33">
        <v>4.53876</v>
      </c>
      <c r="U35" s="33">
        <v>14.0359</v>
      </c>
      <c r="V35" s="33">
        <v>49.0151</v>
      </c>
      <c r="W35" s="33">
        <v>27.1339</v>
      </c>
      <c r="X35" s="33">
        <v>4.00436</v>
      </c>
      <c r="Y35" s="34">
        <v>8.18625</v>
      </c>
      <c r="Z35" s="33">
        <v>0.0</v>
      </c>
      <c r="AA35" s="33">
        <v>99.9293</v>
      </c>
      <c r="AB35" s="33">
        <v>0.0706651</v>
      </c>
      <c r="AC35" s="33">
        <v>0.0</v>
      </c>
      <c r="AD35" s="33">
        <v>0.0</v>
      </c>
      <c r="AE35" s="33">
        <v>0.0</v>
      </c>
      <c r="AF35" s="34">
        <v>0.503906</v>
      </c>
      <c r="AG35" s="33">
        <v>0.443129</v>
      </c>
      <c r="AH35" s="33">
        <v>3.29182</v>
      </c>
      <c r="AI35" s="33">
        <v>9.30277</v>
      </c>
      <c r="AJ35" s="33">
        <v>22.3361</v>
      </c>
      <c r="AK35" s="33">
        <v>26.0637</v>
      </c>
      <c r="AL35" s="33">
        <v>38.5626</v>
      </c>
      <c r="AM35" s="34">
        <v>0.224045</v>
      </c>
      <c r="AN35" s="33">
        <v>0.385714</v>
      </c>
      <c r="AO35" s="33">
        <v>3.96461</v>
      </c>
      <c r="AP35" s="33">
        <v>43.2839</v>
      </c>
      <c r="AQ35" s="33">
        <v>42.0943</v>
      </c>
      <c r="AR35" s="33">
        <v>7.74667</v>
      </c>
      <c r="AS35" s="33">
        <v>2.52481</v>
      </c>
      <c r="AT35" s="33">
        <v>557.563</v>
      </c>
      <c r="AU35" s="34">
        <v>568.568</v>
      </c>
      <c r="AV35" s="34">
        <v>18318.8</v>
      </c>
      <c r="AW35" s="34">
        <v>0.12072</v>
      </c>
      <c r="AX35" s="33">
        <v>0.0515267</v>
      </c>
      <c r="AY35" s="33">
        <v>0.170774</v>
      </c>
      <c r="AZ35" s="33">
        <v>0.297382</v>
      </c>
      <c r="BA35" s="33">
        <v>3.83064</v>
      </c>
      <c r="BB35" s="33">
        <v>77.3194</v>
      </c>
      <c r="BC35" s="33">
        <v>18.3302</v>
      </c>
      <c r="BD35" s="34">
        <v>37.1424</v>
      </c>
      <c r="BE35" s="33">
        <v>0.0</v>
      </c>
      <c r="BF35" s="33">
        <v>16.7123</v>
      </c>
      <c r="BG35" s="33">
        <v>69.7126</v>
      </c>
      <c r="BH35" s="33">
        <v>12.0455</v>
      </c>
      <c r="BI35" s="33">
        <v>1.09678</v>
      </c>
      <c r="BJ35" s="33">
        <v>0.432824</v>
      </c>
      <c r="BK35" s="33">
        <v>34.6281</v>
      </c>
      <c r="BL35" s="33">
        <v>67926.0</v>
      </c>
    </row>
    <row r="36" ht="15.75" customHeight="1">
      <c r="A36" s="33" t="s">
        <v>94</v>
      </c>
      <c r="B36" s="33" t="s">
        <v>59</v>
      </c>
      <c r="C36" s="34">
        <v>36551.7</v>
      </c>
      <c r="D36" s="33">
        <v>345.767</v>
      </c>
      <c r="E36" s="33">
        <v>62234.9</v>
      </c>
      <c r="F36" s="33">
        <v>32.7782</v>
      </c>
      <c r="G36" s="33">
        <v>67.097</v>
      </c>
      <c r="H36" s="33">
        <v>1013.27</v>
      </c>
      <c r="I36" s="33">
        <v>386.171</v>
      </c>
      <c r="J36" s="34">
        <v>1.95839E7</v>
      </c>
      <c r="K36" s="34">
        <v>0.231956</v>
      </c>
      <c r="L36" s="33">
        <v>0.237927</v>
      </c>
      <c r="M36" s="33">
        <v>2.75086</v>
      </c>
      <c r="N36" s="33">
        <v>18.6853</v>
      </c>
      <c r="O36" s="33">
        <v>49.8804</v>
      </c>
      <c r="P36" s="33">
        <v>28.4135</v>
      </c>
      <c r="Q36" s="33">
        <v>0.03208</v>
      </c>
      <c r="R36" s="34">
        <v>88.2134</v>
      </c>
      <c r="S36" s="33">
        <v>1.14552</v>
      </c>
      <c r="T36" s="33">
        <v>4.56204</v>
      </c>
      <c r="U36" s="33">
        <v>15.9544</v>
      </c>
      <c r="V36" s="33">
        <v>50.538</v>
      </c>
      <c r="W36" s="33">
        <v>23.0161</v>
      </c>
      <c r="X36" s="33">
        <v>4.78393</v>
      </c>
      <c r="Y36" s="34">
        <v>8.66347</v>
      </c>
      <c r="Z36" s="33">
        <v>0.0</v>
      </c>
      <c r="AA36" s="33">
        <v>99.6043</v>
      </c>
      <c r="AB36" s="33">
        <v>0.327483</v>
      </c>
      <c r="AC36" s="33">
        <v>0.0454466</v>
      </c>
      <c r="AD36" s="33">
        <v>0.0227233</v>
      </c>
      <c r="AE36" s="33">
        <v>0.0</v>
      </c>
      <c r="AF36" s="34">
        <v>0.485696</v>
      </c>
      <c r="AG36" s="33">
        <v>0.546696</v>
      </c>
      <c r="AH36" s="33">
        <v>3.73598</v>
      </c>
      <c r="AI36" s="33">
        <v>11.2775</v>
      </c>
      <c r="AJ36" s="33">
        <v>21.7422</v>
      </c>
      <c r="AK36" s="33">
        <v>29.9681</v>
      </c>
      <c r="AL36" s="33">
        <v>32.7296</v>
      </c>
      <c r="AM36" s="34">
        <v>0.225713</v>
      </c>
      <c r="AN36" s="33">
        <v>0.398326</v>
      </c>
      <c r="AO36" s="33">
        <v>4.66496</v>
      </c>
      <c r="AP36" s="33">
        <v>39.4945</v>
      </c>
      <c r="AQ36" s="33">
        <v>45.0991</v>
      </c>
      <c r="AR36" s="33">
        <v>8.25659</v>
      </c>
      <c r="AS36" s="33">
        <v>2.08654</v>
      </c>
      <c r="AT36" s="33">
        <v>535.786</v>
      </c>
      <c r="AU36" s="34">
        <v>552.754</v>
      </c>
      <c r="AV36" s="34">
        <v>20399.5</v>
      </c>
      <c r="AW36" s="34">
        <v>0.125326</v>
      </c>
      <c r="AX36" s="33">
        <v>0.0387633</v>
      </c>
      <c r="AY36" s="33">
        <v>0.183123</v>
      </c>
      <c r="AZ36" s="33">
        <v>0.382286</v>
      </c>
      <c r="BA36" s="33">
        <v>4.45912</v>
      </c>
      <c r="BB36" s="33">
        <v>75.9373</v>
      </c>
      <c r="BC36" s="33">
        <v>18.9994</v>
      </c>
      <c r="BD36" s="34">
        <v>36.5721</v>
      </c>
      <c r="BE36" s="33">
        <v>0.0</v>
      </c>
      <c r="BF36" s="33">
        <v>19.5728</v>
      </c>
      <c r="BG36" s="33">
        <v>65.4285</v>
      </c>
      <c r="BH36" s="33">
        <v>13.8358</v>
      </c>
      <c r="BI36" s="33">
        <v>0.93433</v>
      </c>
      <c r="BJ36" s="33">
        <v>0.22857</v>
      </c>
      <c r="BK36" s="33">
        <v>33.9562</v>
      </c>
      <c r="BL36" s="33">
        <v>74813.0</v>
      </c>
    </row>
    <row r="37" ht="15.75" customHeight="1">
      <c r="A37" s="33" t="s">
        <v>94</v>
      </c>
      <c r="B37" s="33" t="s">
        <v>59</v>
      </c>
      <c r="C37" s="34">
        <v>34807.1</v>
      </c>
      <c r="D37" s="33">
        <v>340.024</v>
      </c>
      <c r="E37" s="33">
        <v>59914.2</v>
      </c>
      <c r="F37" s="33">
        <v>33.4069</v>
      </c>
      <c r="G37" s="33">
        <v>77.1211</v>
      </c>
      <c r="H37" s="33">
        <v>961.414</v>
      </c>
      <c r="I37" s="33">
        <v>329.268</v>
      </c>
      <c r="J37" s="34">
        <v>1.93634E7</v>
      </c>
      <c r="K37" s="34">
        <v>0.228384</v>
      </c>
      <c r="L37" s="33">
        <v>0.478264</v>
      </c>
      <c r="M37" s="33">
        <v>3.12144</v>
      </c>
      <c r="N37" s="33">
        <v>18.2946</v>
      </c>
      <c r="O37" s="33">
        <v>50.4267</v>
      </c>
      <c r="P37" s="33">
        <v>27.6201</v>
      </c>
      <c r="Q37" s="33">
        <v>0.0589457</v>
      </c>
      <c r="R37" s="34">
        <v>87.3462</v>
      </c>
      <c r="S37" s="33">
        <v>1.48168</v>
      </c>
      <c r="T37" s="33">
        <v>4.97153</v>
      </c>
      <c r="U37" s="33">
        <v>15.3661</v>
      </c>
      <c r="V37" s="33">
        <v>51.7905</v>
      </c>
      <c r="W37" s="33">
        <v>22.3766</v>
      </c>
      <c r="X37" s="33">
        <v>4.01366</v>
      </c>
      <c r="Y37" s="34">
        <v>8.34543</v>
      </c>
      <c r="Z37" s="33">
        <v>0.0</v>
      </c>
      <c r="AA37" s="33">
        <v>99.862</v>
      </c>
      <c r="AB37" s="33">
        <v>0.137986</v>
      </c>
      <c r="AC37" s="33">
        <v>0.0</v>
      </c>
      <c r="AD37" s="33">
        <v>0.0</v>
      </c>
      <c r="AE37" s="33">
        <v>0.0</v>
      </c>
      <c r="AF37" s="34">
        <v>0.486704</v>
      </c>
      <c r="AG37" s="33">
        <v>0.515775</v>
      </c>
      <c r="AH37" s="33">
        <v>4.56025</v>
      </c>
      <c r="AI37" s="33">
        <v>11.4247</v>
      </c>
      <c r="AJ37" s="33">
        <v>19.1694</v>
      </c>
      <c r="AK37" s="33">
        <v>31.4623</v>
      </c>
      <c r="AL37" s="33">
        <v>32.8676</v>
      </c>
      <c r="AM37" s="34">
        <v>0.227593</v>
      </c>
      <c r="AN37" s="33">
        <v>0.419318</v>
      </c>
      <c r="AO37" s="33">
        <v>3.66803</v>
      </c>
      <c r="AP37" s="33">
        <v>41.2191</v>
      </c>
      <c r="AQ37" s="33">
        <v>45.1443</v>
      </c>
      <c r="AR37" s="33">
        <v>6.79483</v>
      </c>
      <c r="AS37" s="33">
        <v>2.75437</v>
      </c>
      <c r="AT37" s="33">
        <v>556.307</v>
      </c>
      <c r="AU37" s="34">
        <v>576.454</v>
      </c>
      <c r="AV37" s="34">
        <v>20015.5</v>
      </c>
      <c r="AW37" s="34">
        <v>0.127229</v>
      </c>
      <c r="AX37" s="33">
        <v>0.0053587</v>
      </c>
      <c r="AY37" s="33">
        <v>0.154063</v>
      </c>
      <c r="AZ37" s="33">
        <v>0.388506</v>
      </c>
      <c r="BA37" s="33">
        <v>3.53942</v>
      </c>
      <c r="BB37" s="33">
        <v>78.3656</v>
      </c>
      <c r="BC37" s="33">
        <v>17.5471</v>
      </c>
      <c r="BD37" s="34">
        <v>36.6362</v>
      </c>
      <c r="BE37" s="33">
        <v>0.0</v>
      </c>
      <c r="BF37" s="33">
        <v>18.9363</v>
      </c>
      <c r="BG37" s="33">
        <v>66.8873</v>
      </c>
      <c r="BH37" s="33">
        <v>12.4563</v>
      </c>
      <c r="BI37" s="33">
        <v>1.27269</v>
      </c>
      <c r="BJ37" s="33">
        <v>0.447451</v>
      </c>
      <c r="BK37" s="33">
        <v>35.1354</v>
      </c>
      <c r="BL37" s="33">
        <v>74645.0</v>
      </c>
    </row>
    <row r="38" ht="15.75" customHeight="1">
      <c r="A38" s="33" t="s">
        <v>111</v>
      </c>
      <c r="B38" s="33" t="s">
        <v>59</v>
      </c>
      <c r="C38" s="34">
        <v>28537.7</v>
      </c>
      <c r="D38" s="33">
        <v>397.909</v>
      </c>
      <c r="E38" s="33">
        <v>64864.0</v>
      </c>
      <c r="F38" s="33">
        <v>21.9762</v>
      </c>
      <c r="G38" s="33">
        <v>66.2328</v>
      </c>
      <c r="H38" s="33">
        <v>1015.48</v>
      </c>
      <c r="I38" s="33">
        <v>358.369</v>
      </c>
      <c r="J38" s="34">
        <v>1.56969E7</v>
      </c>
      <c r="K38" s="34">
        <v>0.192732</v>
      </c>
      <c r="L38" s="33">
        <v>0.521821</v>
      </c>
      <c r="M38" s="33">
        <v>4.92931</v>
      </c>
      <c r="N38" s="33">
        <v>26.9956</v>
      </c>
      <c r="O38" s="33">
        <v>50.3927</v>
      </c>
      <c r="P38" s="33">
        <v>17.1515</v>
      </c>
      <c r="Q38" s="33">
        <v>0.00902804</v>
      </c>
      <c r="R38" s="34">
        <v>81.4837</v>
      </c>
      <c r="S38" s="33">
        <v>2.1559</v>
      </c>
      <c r="T38" s="33">
        <v>7.99884</v>
      </c>
      <c r="U38" s="33">
        <v>22.7579</v>
      </c>
      <c r="V38" s="33">
        <v>47.1336</v>
      </c>
      <c r="W38" s="33">
        <v>14.4088</v>
      </c>
      <c r="X38" s="33">
        <v>5.54502</v>
      </c>
      <c r="Y38" s="34">
        <v>9.53625</v>
      </c>
      <c r="Z38" s="33">
        <v>0.0</v>
      </c>
      <c r="AA38" s="33">
        <v>99.5179</v>
      </c>
      <c r="AB38" s="33">
        <v>0.482097</v>
      </c>
      <c r="AC38" s="33">
        <v>0.0</v>
      </c>
      <c r="AD38" s="33">
        <v>0.0</v>
      </c>
      <c r="AE38" s="33">
        <v>0.0</v>
      </c>
      <c r="AF38" s="34">
        <v>0.396285</v>
      </c>
      <c r="AG38" s="33">
        <v>1.00031</v>
      </c>
      <c r="AH38" s="33">
        <v>8.53872</v>
      </c>
      <c r="AI38" s="33">
        <v>19.3326</v>
      </c>
      <c r="AJ38" s="33">
        <v>30.0056</v>
      </c>
      <c r="AK38" s="33">
        <v>28.153</v>
      </c>
      <c r="AL38" s="33">
        <v>12.9697</v>
      </c>
      <c r="AM38" s="34">
        <v>0.237375</v>
      </c>
      <c r="AN38" s="33">
        <v>0.751133</v>
      </c>
      <c r="AO38" s="33">
        <v>4.45805</v>
      </c>
      <c r="AP38" s="33">
        <v>36.0129</v>
      </c>
      <c r="AQ38" s="33">
        <v>46.8953</v>
      </c>
      <c r="AR38" s="33">
        <v>8.93776</v>
      </c>
      <c r="AS38" s="33">
        <v>2.94495</v>
      </c>
      <c r="AT38" s="33">
        <v>550.042</v>
      </c>
      <c r="AU38" s="34">
        <v>575.136</v>
      </c>
      <c r="AV38" s="34">
        <v>14254.6</v>
      </c>
      <c r="AW38" s="34">
        <v>0.161076</v>
      </c>
      <c r="AX38" s="33">
        <v>0.0956972</v>
      </c>
      <c r="AY38" s="33">
        <v>0.361122</v>
      </c>
      <c r="AZ38" s="33">
        <v>0.709604</v>
      </c>
      <c r="BA38" s="33">
        <v>4.04276</v>
      </c>
      <c r="BB38" s="33">
        <v>62.6564</v>
      </c>
      <c r="BC38" s="33">
        <v>32.1344</v>
      </c>
      <c r="BD38" s="34">
        <v>34.7498</v>
      </c>
      <c r="BE38" s="33">
        <v>0.0</v>
      </c>
      <c r="BF38" s="33">
        <v>24.3847</v>
      </c>
      <c r="BG38" s="33">
        <v>63.9691</v>
      </c>
      <c r="BH38" s="33">
        <v>10.0265</v>
      </c>
      <c r="BI38" s="33">
        <v>1.1917</v>
      </c>
      <c r="BJ38" s="33">
        <v>0.427929</v>
      </c>
      <c r="BK38" s="33">
        <v>29.9817</v>
      </c>
      <c r="BL38" s="33">
        <v>55383.0</v>
      </c>
    </row>
    <row r="39" ht="15.75" customHeight="1">
      <c r="A39" s="33" t="s">
        <v>111</v>
      </c>
      <c r="B39" s="33" t="s">
        <v>59</v>
      </c>
      <c r="C39" s="34">
        <v>34559.5</v>
      </c>
      <c r="D39" s="33">
        <v>374.23</v>
      </c>
      <c r="E39" s="33">
        <v>60920.7</v>
      </c>
      <c r="F39" s="33">
        <v>32.3456</v>
      </c>
      <c r="G39" s="33">
        <v>70.4967</v>
      </c>
      <c r="H39" s="33">
        <v>976.27</v>
      </c>
      <c r="I39" s="33">
        <v>360.29</v>
      </c>
      <c r="J39" s="34">
        <v>1.88646E7</v>
      </c>
      <c r="K39" s="34">
        <v>0.218606</v>
      </c>
      <c r="L39" s="33">
        <v>0.634903</v>
      </c>
      <c r="M39" s="33">
        <v>3.31409</v>
      </c>
      <c r="N39" s="33">
        <v>19.4179</v>
      </c>
      <c r="O39" s="33">
        <v>52.8461</v>
      </c>
      <c r="P39" s="33">
        <v>23.7199</v>
      </c>
      <c r="Q39" s="33">
        <v>0.067048</v>
      </c>
      <c r="R39" s="34">
        <v>87.444</v>
      </c>
      <c r="S39" s="33">
        <v>1.63789</v>
      </c>
      <c r="T39" s="33">
        <v>5.82496</v>
      </c>
      <c r="U39" s="33">
        <v>15.6318</v>
      </c>
      <c r="V39" s="33">
        <v>48.1473</v>
      </c>
      <c r="W39" s="33">
        <v>23.6734</v>
      </c>
      <c r="X39" s="33">
        <v>5.0847</v>
      </c>
      <c r="Y39" s="34">
        <v>7.85147</v>
      </c>
      <c r="Z39" s="33">
        <v>0.0</v>
      </c>
      <c r="AA39" s="33">
        <v>99.922</v>
      </c>
      <c r="AB39" s="33">
        <v>0.0779946</v>
      </c>
      <c r="AC39" s="33">
        <v>0.0</v>
      </c>
      <c r="AD39" s="33">
        <v>0.0</v>
      </c>
      <c r="AE39" s="33">
        <v>0.0</v>
      </c>
      <c r="AF39" s="34">
        <v>0.493591</v>
      </c>
      <c r="AG39" s="33">
        <v>0.448811</v>
      </c>
      <c r="AH39" s="33">
        <v>3.3825</v>
      </c>
      <c r="AI39" s="33">
        <v>9.2622</v>
      </c>
      <c r="AJ39" s="33">
        <v>22.0068</v>
      </c>
      <c r="AK39" s="33">
        <v>32.8535</v>
      </c>
      <c r="AL39" s="33">
        <v>32.0462</v>
      </c>
      <c r="AM39" s="34">
        <v>0.225779</v>
      </c>
      <c r="AN39" s="33">
        <v>0.502176</v>
      </c>
      <c r="AO39" s="33">
        <v>4.85619</v>
      </c>
      <c r="AP39" s="33">
        <v>43.0489</v>
      </c>
      <c r="AQ39" s="33">
        <v>39.9373</v>
      </c>
      <c r="AR39" s="33">
        <v>8.00881</v>
      </c>
      <c r="AS39" s="33">
        <v>3.64659</v>
      </c>
      <c r="AT39" s="33">
        <v>545.858</v>
      </c>
      <c r="AU39" s="34">
        <v>574.236</v>
      </c>
      <c r="AV39" s="34">
        <v>19705.2</v>
      </c>
      <c r="AW39" s="34">
        <v>0.123079</v>
      </c>
      <c r="AX39" s="33">
        <v>0.0369448</v>
      </c>
      <c r="AY39" s="33">
        <v>0.181987</v>
      </c>
      <c r="AZ39" s="33">
        <v>0.370816</v>
      </c>
      <c r="BA39" s="33">
        <v>4.76862</v>
      </c>
      <c r="BB39" s="33">
        <v>75.9517</v>
      </c>
      <c r="BC39" s="33">
        <v>18.69</v>
      </c>
      <c r="BD39" s="34">
        <v>36.1831</v>
      </c>
      <c r="BE39" s="33">
        <v>0.0</v>
      </c>
      <c r="BF39" s="33">
        <v>20.6453</v>
      </c>
      <c r="BG39" s="33">
        <v>66.034</v>
      </c>
      <c r="BH39" s="33">
        <v>11.1094</v>
      </c>
      <c r="BI39" s="33">
        <v>1.52158</v>
      </c>
      <c r="BJ39" s="33">
        <v>0.689636</v>
      </c>
      <c r="BK39" s="33">
        <v>34.7943</v>
      </c>
      <c r="BL39" s="33">
        <v>73082.0</v>
      </c>
    </row>
    <row r="40" ht="15.75" customHeight="1">
      <c r="A40" s="33" t="s">
        <v>111</v>
      </c>
      <c r="B40" s="33" t="s">
        <v>59</v>
      </c>
      <c r="C40" s="34">
        <v>34322.4</v>
      </c>
      <c r="D40" s="33">
        <v>305.326</v>
      </c>
      <c r="E40" s="33">
        <v>60768.8</v>
      </c>
      <c r="F40" s="33">
        <v>29.4586</v>
      </c>
      <c r="G40" s="33">
        <v>81.1549</v>
      </c>
      <c r="H40" s="33">
        <v>947.29</v>
      </c>
      <c r="I40" s="33">
        <v>340.039</v>
      </c>
      <c r="J40" s="34">
        <v>1.84783E7</v>
      </c>
      <c r="K40" s="34">
        <v>0.21741</v>
      </c>
      <c r="L40" s="33">
        <v>0.332524</v>
      </c>
      <c r="M40" s="33">
        <v>3.28424</v>
      </c>
      <c r="N40" s="33">
        <v>20.8807</v>
      </c>
      <c r="O40" s="33">
        <v>52.0878</v>
      </c>
      <c r="P40" s="33">
        <v>23.3996</v>
      </c>
      <c r="Q40" s="33">
        <v>0.0151837</v>
      </c>
      <c r="R40" s="34">
        <v>86.4647</v>
      </c>
      <c r="S40" s="33">
        <v>1.49863</v>
      </c>
      <c r="T40" s="33">
        <v>5.52232</v>
      </c>
      <c r="U40" s="33">
        <v>16.5381</v>
      </c>
      <c r="V40" s="33">
        <v>50.4282</v>
      </c>
      <c r="W40" s="33">
        <v>21.8205</v>
      </c>
      <c r="X40" s="33">
        <v>4.19223</v>
      </c>
      <c r="Y40" s="34">
        <v>8.56509</v>
      </c>
      <c r="Z40" s="33">
        <v>0.0</v>
      </c>
      <c r="AA40" s="33">
        <v>99.8633</v>
      </c>
      <c r="AB40" s="33">
        <v>0.136654</v>
      </c>
      <c r="AC40" s="33">
        <v>0.0</v>
      </c>
      <c r="AD40" s="33">
        <v>0.0</v>
      </c>
      <c r="AE40" s="33">
        <v>0.0</v>
      </c>
      <c r="AF40" s="34">
        <v>0.462253</v>
      </c>
      <c r="AG40" s="33">
        <v>0.715153</v>
      </c>
      <c r="AH40" s="33">
        <v>4.71606</v>
      </c>
      <c r="AI40" s="33">
        <v>13.8172</v>
      </c>
      <c r="AJ40" s="33">
        <v>23.0838</v>
      </c>
      <c r="AK40" s="33">
        <v>30.6271</v>
      </c>
      <c r="AL40" s="33">
        <v>27.0407</v>
      </c>
      <c r="AM40" s="34">
        <v>0.220619</v>
      </c>
      <c r="AN40" s="33">
        <v>0.215609</v>
      </c>
      <c r="AO40" s="33">
        <v>3.98876</v>
      </c>
      <c r="AP40" s="33">
        <v>43.137</v>
      </c>
      <c r="AQ40" s="33">
        <v>43.6775</v>
      </c>
      <c r="AR40" s="33">
        <v>6.86001</v>
      </c>
      <c r="AS40" s="33">
        <v>2.12117</v>
      </c>
      <c r="AT40" s="33">
        <v>538.374</v>
      </c>
      <c r="AU40" s="34">
        <v>544.836</v>
      </c>
      <c r="AV40" s="34">
        <v>17901.7</v>
      </c>
      <c r="AW40" s="34">
        <v>0.133401</v>
      </c>
      <c r="AX40" s="33">
        <v>0.0516247</v>
      </c>
      <c r="AY40" s="33">
        <v>0.0607349</v>
      </c>
      <c r="AZ40" s="33">
        <v>0.200425</v>
      </c>
      <c r="BA40" s="33">
        <v>3.89159</v>
      </c>
      <c r="BB40" s="33">
        <v>74.3289</v>
      </c>
      <c r="BC40" s="33">
        <v>21.4667</v>
      </c>
      <c r="BD40" s="34">
        <v>35.0689</v>
      </c>
      <c r="BE40" s="33">
        <v>0.0</v>
      </c>
      <c r="BF40" s="33">
        <v>21.8053</v>
      </c>
      <c r="BG40" s="33">
        <v>66.7446</v>
      </c>
      <c r="BH40" s="33">
        <v>10.2429</v>
      </c>
      <c r="BI40" s="33">
        <v>0.948983</v>
      </c>
      <c r="BJ40" s="33">
        <v>0.258123</v>
      </c>
      <c r="BK40" s="33">
        <v>31.4627</v>
      </c>
      <c r="BL40" s="33">
        <v>65860.0</v>
      </c>
    </row>
    <row r="41" ht="15.75" customHeight="1">
      <c r="A41" s="33" t="s">
        <v>111</v>
      </c>
      <c r="B41" s="33" t="s">
        <v>59</v>
      </c>
      <c r="C41" s="34">
        <v>29964.2</v>
      </c>
      <c r="D41" s="33">
        <v>427.167</v>
      </c>
      <c r="E41" s="33">
        <v>53540.1</v>
      </c>
      <c r="F41" s="33">
        <v>26.7017</v>
      </c>
      <c r="G41" s="33">
        <v>62.5398</v>
      </c>
      <c r="H41" s="33">
        <v>883.359</v>
      </c>
      <c r="I41" s="33">
        <v>331.866</v>
      </c>
      <c r="J41" s="34">
        <v>1.61559E7</v>
      </c>
      <c r="K41" s="34">
        <v>0.195268</v>
      </c>
      <c r="L41" s="33">
        <v>0.3995</v>
      </c>
      <c r="M41" s="33">
        <v>3.37521</v>
      </c>
      <c r="N41" s="33">
        <v>26.8878</v>
      </c>
      <c r="O41" s="33">
        <v>53.9362</v>
      </c>
      <c r="P41" s="33">
        <v>15.3919</v>
      </c>
      <c r="Q41" s="33">
        <v>0.00933411</v>
      </c>
      <c r="R41" s="34">
        <v>80.3898</v>
      </c>
      <c r="S41" s="33">
        <v>1.626</v>
      </c>
      <c r="T41" s="33">
        <v>7.90599</v>
      </c>
      <c r="U41" s="33">
        <v>25.7733</v>
      </c>
      <c r="V41" s="33">
        <v>47.1895</v>
      </c>
      <c r="W41" s="33">
        <v>13.8126</v>
      </c>
      <c r="X41" s="33">
        <v>3.69257</v>
      </c>
      <c r="Y41" s="34">
        <v>10.1292</v>
      </c>
      <c r="Z41" s="33">
        <v>0.0</v>
      </c>
      <c r="AA41" s="33">
        <v>99.5333</v>
      </c>
      <c r="AB41" s="33">
        <v>0.466705</v>
      </c>
      <c r="AC41" s="33">
        <v>0.0</v>
      </c>
      <c r="AD41" s="33">
        <v>0.0</v>
      </c>
      <c r="AE41" s="33">
        <v>0.0</v>
      </c>
      <c r="AF41" s="34">
        <v>0.389255</v>
      </c>
      <c r="AG41" s="33">
        <v>0.996882</v>
      </c>
      <c r="AH41" s="33">
        <v>7.72304</v>
      </c>
      <c r="AI41" s="33">
        <v>20.647</v>
      </c>
      <c r="AJ41" s="33">
        <v>32.5872</v>
      </c>
      <c r="AK41" s="33">
        <v>26.563</v>
      </c>
      <c r="AL41" s="33">
        <v>11.4828</v>
      </c>
      <c r="AM41" s="34">
        <v>0.249334</v>
      </c>
      <c r="AN41" s="33">
        <v>0.233353</v>
      </c>
      <c r="AO41" s="33">
        <v>3.25387</v>
      </c>
      <c r="AP41" s="33">
        <v>35.1597</v>
      </c>
      <c r="AQ41" s="33">
        <v>48.108</v>
      </c>
      <c r="AR41" s="33">
        <v>10.359</v>
      </c>
      <c r="AS41" s="33">
        <v>2.88611</v>
      </c>
      <c r="AT41" s="33">
        <v>539.173</v>
      </c>
      <c r="AU41" s="34">
        <v>552.036</v>
      </c>
      <c r="AV41" s="34">
        <v>14296.1</v>
      </c>
      <c r="AW41" s="34">
        <v>0.175588</v>
      </c>
      <c r="AX41" s="33">
        <v>0.0280023</v>
      </c>
      <c r="AY41" s="33">
        <v>0.0970747</v>
      </c>
      <c r="AZ41" s="33">
        <v>0.24082</v>
      </c>
      <c r="BA41" s="33">
        <v>3.12132</v>
      </c>
      <c r="BB41" s="33">
        <v>60.989</v>
      </c>
      <c r="BC41" s="33">
        <v>35.5237</v>
      </c>
      <c r="BD41" s="34">
        <v>35.086</v>
      </c>
      <c r="BE41" s="33">
        <v>0.0</v>
      </c>
      <c r="BF41" s="33">
        <v>22.6371</v>
      </c>
      <c r="BG41" s="33">
        <v>65.5534</v>
      </c>
      <c r="BH41" s="33">
        <v>10.2993</v>
      </c>
      <c r="BI41" s="33">
        <v>1.15743</v>
      </c>
      <c r="BJ41" s="33">
        <v>0.352829</v>
      </c>
      <c r="BK41" s="33">
        <v>28.5103</v>
      </c>
      <c r="BL41" s="33">
        <v>53567.0</v>
      </c>
    </row>
    <row r="42" ht="15.75" customHeight="1">
      <c r="A42" s="33" t="s">
        <v>112</v>
      </c>
      <c r="B42" s="33" t="s">
        <v>59</v>
      </c>
      <c r="C42" s="34">
        <v>43581.7</v>
      </c>
      <c r="D42" s="33">
        <v>382.934</v>
      </c>
      <c r="E42" s="33">
        <v>73235.1</v>
      </c>
      <c r="F42" s="33">
        <v>34.9048</v>
      </c>
      <c r="G42" s="33">
        <v>78.0579</v>
      </c>
      <c r="H42" s="33">
        <v>1065.89</v>
      </c>
      <c r="I42" s="33">
        <v>373.063</v>
      </c>
      <c r="J42" s="34">
        <v>2.42388E7</v>
      </c>
      <c r="K42" s="34">
        <v>0.233077</v>
      </c>
      <c r="L42" s="33">
        <v>0.295088</v>
      </c>
      <c r="M42" s="33">
        <v>2.44346</v>
      </c>
      <c r="N42" s="33">
        <v>16.8233</v>
      </c>
      <c r="O42" s="33">
        <v>52.6814</v>
      </c>
      <c r="P42" s="33">
        <v>27.6621</v>
      </c>
      <c r="Q42" s="33">
        <v>0.0947331</v>
      </c>
      <c r="R42" s="34">
        <v>88.5136</v>
      </c>
      <c r="S42" s="33">
        <v>0.994153</v>
      </c>
      <c r="T42" s="33">
        <v>4.37297</v>
      </c>
      <c r="U42" s="33">
        <v>15.0136</v>
      </c>
      <c r="V42" s="33">
        <v>52.5725</v>
      </c>
      <c r="W42" s="33">
        <v>22.9962</v>
      </c>
      <c r="X42" s="33">
        <v>4.05065</v>
      </c>
      <c r="Y42" s="34">
        <v>8.89861</v>
      </c>
      <c r="Z42" s="33">
        <v>0.0</v>
      </c>
      <c r="AA42" s="33">
        <v>99.6799</v>
      </c>
      <c r="AB42" s="33">
        <v>0.320132</v>
      </c>
      <c r="AC42" s="33">
        <v>0.0</v>
      </c>
      <c r="AD42" s="33">
        <v>0.0</v>
      </c>
      <c r="AE42" s="33">
        <v>0.0</v>
      </c>
      <c r="AF42" s="34">
        <v>0.49843</v>
      </c>
      <c r="AG42" s="33">
        <v>0.523754</v>
      </c>
      <c r="AH42" s="33">
        <v>3.36466</v>
      </c>
      <c r="AI42" s="33">
        <v>9.20326</v>
      </c>
      <c r="AJ42" s="33">
        <v>19.8188</v>
      </c>
      <c r="AK42" s="33">
        <v>33.3243</v>
      </c>
      <c r="AL42" s="33">
        <v>33.7653</v>
      </c>
      <c r="AM42" s="34">
        <v>0.225904</v>
      </c>
      <c r="AN42" s="33">
        <v>0.499799</v>
      </c>
      <c r="AO42" s="33">
        <v>3.86228</v>
      </c>
      <c r="AP42" s="33">
        <v>40.3508</v>
      </c>
      <c r="AQ42" s="33">
        <v>46.1274</v>
      </c>
      <c r="AR42" s="33">
        <v>6.78811</v>
      </c>
      <c r="AS42" s="33">
        <v>2.37159</v>
      </c>
      <c r="AT42" s="33">
        <v>556.17</v>
      </c>
      <c r="AU42" s="34">
        <v>570.485</v>
      </c>
      <c r="AV42" s="34">
        <v>25562.6</v>
      </c>
      <c r="AW42" s="34">
        <v>0.121284</v>
      </c>
      <c r="AX42" s="33">
        <v>0.0206888</v>
      </c>
      <c r="AY42" s="33">
        <v>0.198177</v>
      </c>
      <c r="AZ42" s="33">
        <v>0.482376</v>
      </c>
      <c r="BA42" s="33">
        <v>3.66083</v>
      </c>
      <c r="BB42" s="33">
        <v>79.0335</v>
      </c>
      <c r="BC42" s="33">
        <v>16.6044</v>
      </c>
      <c r="BD42" s="34">
        <v>36.7352</v>
      </c>
      <c r="BE42" s="33">
        <v>0.0</v>
      </c>
      <c r="BF42" s="33">
        <v>17.0814</v>
      </c>
      <c r="BG42" s="33">
        <v>70.8527</v>
      </c>
      <c r="BH42" s="33">
        <v>10.5916</v>
      </c>
      <c r="BI42" s="33">
        <v>1.00722</v>
      </c>
      <c r="BJ42" s="33">
        <v>0.467132</v>
      </c>
      <c r="BK42" s="33">
        <v>35.9535</v>
      </c>
      <c r="BL42" s="33">
        <v>91837.0</v>
      </c>
    </row>
    <row r="43" ht="15.75" customHeight="1">
      <c r="A43" s="33" t="s">
        <v>112</v>
      </c>
      <c r="B43" s="33" t="s">
        <v>59</v>
      </c>
      <c r="C43" s="34">
        <v>29341.3</v>
      </c>
      <c r="D43" s="33">
        <v>293.297</v>
      </c>
      <c r="E43" s="33">
        <v>51372.8</v>
      </c>
      <c r="F43" s="33">
        <v>32.1052</v>
      </c>
      <c r="G43" s="33">
        <v>75.9857</v>
      </c>
      <c r="H43" s="33">
        <v>870.472</v>
      </c>
      <c r="I43" s="33">
        <v>320.844</v>
      </c>
      <c r="J43" s="34">
        <v>1.38717E7</v>
      </c>
      <c r="K43" s="34">
        <v>0.211</v>
      </c>
      <c r="L43" s="33">
        <v>0.494596</v>
      </c>
      <c r="M43" s="33">
        <v>2.81904</v>
      </c>
      <c r="N43" s="33">
        <v>21.0432</v>
      </c>
      <c r="O43" s="33">
        <v>56.6889</v>
      </c>
      <c r="P43" s="33">
        <v>18.88</v>
      </c>
      <c r="Q43" s="33">
        <v>0.0742684</v>
      </c>
      <c r="R43" s="34">
        <v>86.0752</v>
      </c>
      <c r="S43" s="33">
        <v>1.45692</v>
      </c>
      <c r="T43" s="33">
        <v>5.81348</v>
      </c>
      <c r="U43" s="33">
        <v>17.0438</v>
      </c>
      <c r="V43" s="33">
        <v>50.6763</v>
      </c>
      <c r="W43" s="33">
        <v>20.9247</v>
      </c>
      <c r="X43" s="33">
        <v>4.08476</v>
      </c>
      <c r="Y43" s="34">
        <v>8.02834</v>
      </c>
      <c r="Z43" s="33">
        <v>0.0</v>
      </c>
      <c r="AA43" s="33">
        <v>99.8641</v>
      </c>
      <c r="AB43" s="33">
        <v>0.135895</v>
      </c>
      <c r="AC43" s="33">
        <v>0.0</v>
      </c>
      <c r="AD43" s="33">
        <v>0.0</v>
      </c>
      <c r="AE43" s="33">
        <v>0.0</v>
      </c>
      <c r="AF43" s="34">
        <v>0.488592</v>
      </c>
      <c r="AG43" s="33">
        <v>0.412427</v>
      </c>
      <c r="AH43" s="33">
        <v>3.41951</v>
      </c>
      <c r="AI43" s="33">
        <v>8.90114</v>
      </c>
      <c r="AJ43" s="33">
        <v>23.8022</v>
      </c>
      <c r="AK43" s="33">
        <v>34.5064</v>
      </c>
      <c r="AL43" s="33">
        <v>28.9583</v>
      </c>
      <c r="AM43" s="34">
        <v>0.224561</v>
      </c>
      <c r="AN43" s="33">
        <v>0.459832</v>
      </c>
      <c r="AO43" s="33">
        <v>3.98047</v>
      </c>
      <c r="AP43" s="33">
        <v>44.1202</v>
      </c>
      <c r="AQ43" s="33">
        <v>40.9298</v>
      </c>
      <c r="AR43" s="33">
        <v>7.16137</v>
      </c>
      <c r="AS43" s="33">
        <v>3.3484</v>
      </c>
      <c r="AT43" s="33">
        <v>472.769</v>
      </c>
      <c r="AU43" s="34">
        <v>484.085</v>
      </c>
      <c r="AV43" s="34">
        <v>16493.4</v>
      </c>
      <c r="AW43" s="34">
        <v>0.123619</v>
      </c>
      <c r="AX43" s="33">
        <v>0.0663675</v>
      </c>
      <c r="AY43" s="33">
        <v>0.183301</v>
      </c>
      <c r="AZ43" s="33">
        <v>0.306555</v>
      </c>
      <c r="BA43" s="33">
        <v>3.88408</v>
      </c>
      <c r="BB43" s="33">
        <v>78.4796</v>
      </c>
      <c r="BC43" s="33">
        <v>17.0801</v>
      </c>
      <c r="BD43" s="34">
        <v>35.1285</v>
      </c>
      <c r="BE43" s="33">
        <v>0.0</v>
      </c>
      <c r="BF43" s="33">
        <v>22.2094</v>
      </c>
      <c r="BG43" s="33">
        <v>66.6013</v>
      </c>
      <c r="BH43" s="33">
        <v>9.11921</v>
      </c>
      <c r="BI43" s="33">
        <v>1.47747</v>
      </c>
      <c r="BJ43" s="33">
        <v>0.592567</v>
      </c>
      <c r="BK43" s="33">
        <v>34.2273</v>
      </c>
      <c r="BL43" s="33">
        <v>63284.0</v>
      </c>
    </row>
    <row r="44" ht="15.75" customHeight="1">
      <c r="A44" s="33" t="s">
        <v>112</v>
      </c>
      <c r="B44" s="33" t="s">
        <v>59</v>
      </c>
      <c r="C44" s="34">
        <v>34014.7</v>
      </c>
      <c r="D44" s="33">
        <v>283.975</v>
      </c>
      <c r="E44" s="33">
        <v>62205.5</v>
      </c>
      <c r="F44" s="33">
        <v>29.8268</v>
      </c>
      <c r="G44" s="33">
        <v>73.524</v>
      </c>
      <c r="H44" s="33">
        <v>1015.35</v>
      </c>
      <c r="I44" s="33">
        <v>352.767</v>
      </c>
      <c r="J44" s="34">
        <v>1.73625E7</v>
      </c>
      <c r="K44" s="34">
        <v>0.216472</v>
      </c>
      <c r="L44" s="33">
        <v>0.285148</v>
      </c>
      <c r="M44" s="33">
        <v>2.48672</v>
      </c>
      <c r="N44" s="33">
        <v>19.5956</v>
      </c>
      <c r="O44" s="33">
        <v>58.0268</v>
      </c>
      <c r="P44" s="33">
        <v>19.5927</v>
      </c>
      <c r="Q44" s="33">
        <v>0.0130271</v>
      </c>
      <c r="R44" s="34">
        <v>89.2726</v>
      </c>
      <c r="S44" s="33">
        <v>1.0494</v>
      </c>
      <c r="T44" s="33">
        <v>4.05141</v>
      </c>
      <c r="U44" s="33">
        <v>14.5483</v>
      </c>
      <c r="V44" s="33">
        <v>50.943</v>
      </c>
      <c r="W44" s="33">
        <v>24.6356</v>
      </c>
      <c r="X44" s="33">
        <v>4.77224</v>
      </c>
      <c r="Y44" s="34">
        <v>8.2393</v>
      </c>
      <c r="Z44" s="33">
        <v>0.0</v>
      </c>
      <c r="AA44" s="33">
        <v>99.8726</v>
      </c>
      <c r="AB44" s="33">
        <v>0.127376</v>
      </c>
      <c r="AC44" s="33">
        <v>0.0</v>
      </c>
      <c r="AD44" s="33">
        <v>0.0</v>
      </c>
      <c r="AE44" s="33">
        <v>0.0</v>
      </c>
      <c r="AF44" s="34">
        <v>0.502753</v>
      </c>
      <c r="AG44" s="33">
        <v>0.526872</v>
      </c>
      <c r="AH44" s="33">
        <v>2.96148</v>
      </c>
      <c r="AI44" s="33">
        <v>8.46614</v>
      </c>
      <c r="AJ44" s="33">
        <v>20.0399</v>
      </c>
      <c r="AK44" s="33">
        <v>33.7082</v>
      </c>
      <c r="AL44" s="33">
        <v>34.2973</v>
      </c>
      <c r="AM44" s="34">
        <v>0.199803</v>
      </c>
      <c r="AN44" s="33">
        <v>0.3691</v>
      </c>
      <c r="AO44" s="33">
        <v>4.89528</v>
      </c>
      <c r="AP44" s="33">
        <v>48.3709</v>
      </c>
      <c r="AQ44" s="33">
        <v>39.2809</v>
      </c>
      <c r="AR44" s="33">
        <v>5.51768</v>
      </c>
      <c r="AS44" s="33">
        <v>1.56614</v>
      </c>
      <c r="AT44" s="33">
        <v>510.44</v>
      </c>
      <c r="AU44" s="34">
        <v>536.285</v>
      </c>
      <c r="AV44" s="34">
        <v>18553.9</v>
      </c>
      <c r="AW44" s="34">
        <v>0.108409</v>
      </c>
      <c r="AX44" s="33">
        <v>0.0853996</v>
      </c>
      <c r="AY44" s="33">
        <v>0.102769</v>
      </c>
      <c r="AZ44" s="33">
        <v>0.28949</v>
      </c>
      <c r="BA44" s="33">
        <v>4.78672</v>
      </c>
      <c r="BB44" s="33">
        <v>81.037</v>
      </c>
      <c r="BC44" s="33">
        <v>13.6987</v>
      </c>
      <c r="BD44" s="34">
        <v>33.6541</v>
      </c>
      <c r="BE44" s="33">
        <v>0.0</v>
      </c>
      <c r="BF44" s="33">
        <v>23.3271</v>
      </c>
      <c r="BG44" s="33">
        <v>68.2762</v>
      </c>
      <c r="BH44" s="33">
        <v>7.51227</v>
      </c>
      <c r="BI44" s="33">
        <v>0.633983</v>
      </c>
      <c r="BJ44" s="33">
        <v>0.250409</v>
      </c>
      <c r="BK44" s="33">
        <v>33.0845</v>
      </c>
      <c r="BL44" s="33">
        <v>69087.0</v>
      </c>
    </row>
    <row r="45" ht="15.75" customHeight="1">
      <c r="A45" s="33" t="s">
        <v>112</v>
      </c>
      <c r="B45" s="33" t="s">
        <v>59</v>
      </c>
      <c r="C45" s="34">
        <v>39597.6</v>
      </c>
      <c r="D45" s="33">
        <v>300.082</v>
      </c>
      <c r="E45" s="33">
        <v>70146.0</v>
      </c>
      <c r="F45" s="33">
        <v>31.7307</v>
      </c>
      <c r="G45" s="33">
        <v>80.915</v>
      </c>
      <c r="H45" s="33">
        <v>998.792</v>
      </c>
      <c r="I45" s="33">
        <v>357.127</v>
      </c>
      <c r="J45" s="34">
        <v>2.11262E7</v>
      </c>
      <c r="K45" s="34">
        <v>0.220143</v>
      </c>
      <c r="L45" s="33">
        <v>0.383515</v>
      </c>
      <c r="M45" s="33">
        <v>2.36318</v>
      </c>
      <c r="N45" s="33">
        <v>19.0418</v>
      </c>
      <c r="O45" s="33">
        <v>56.3864</v>
      </c>
      <c r="P45" s="33">
        <v>21.7934</v>
      </c>
      <c r="Q45" s="33">
        <v>0.0316552</v>
      </c>
      <c r="R45" s="34">
        <v>86.1765</v>
      </c>
      <c r="S45" s="33">
        <v>1.20168</v>
      </c>
      <c r="T45" s="33">
        <v>5.27303</v>
      </c>
      <c r="U45" s="33">
        <v>17.3653</v>
      </c>
      <c r="V45" s="33">
        <v>52.5415</v>
      </c>
      <c r="W45" s="33">
        <v>20.5272</v>
      </c>
      <c r="X45" s="33">
        <v>3.09125</v>
      </c>
      <c r="Y45" s="34">
        <v>8.47501</v>
      </c>
      <c r="Z45" s="33">
        <v>0.0</v>
      </c>
      <c r="AA45" s="33">
        <v>99.9574</v>
      </c>
      <c r="AB45" s="33">
        <v>0.0426128</v>
      </c>
      <c r="AC45" s="33">
        <v>0.0</v>
      </c>
      <c r="AD45" s="33">
        <v>0.0</v>
      </c>
      <c r="AE45" s="33">
        <v>0.0</v>
      </c>
      <c r="AF45" s="34">
        <v>0.481801</v>
      </c>
      <c r="AG45" s="33">
        <v>0.433433</v>
      </c>
      <c r="AH45" s="33">
        <v>3.4492</v>
      </c>
      <c r="AI45" s="33">
        <v>10.54</v>
      </c>
      <c r="AJ45" s="33">
        <v>23.3189</v>
      </c>
      <c r="AK45" s="33">
        <v>33.3147</v>
      </c>
      <c r="AL45" s="33">
        <v>28.9438</v>
      </c>
      <c r="AM45" s="34">
        <v>0.230286</v>
      </c>
      <c r="AN45" s="33">
        <v>0.387167</v>
      </c>
      <c r="AO45" s="33">
        <v>2.93541</v>
      </c>
      <c r="AP45" s="33">
        <v>42.1367</v>
      </c>
      <c r="AQ45" s="33">
        <v>44.7118</v>
      </c>
      <c r="AR45" s="33">
        <v>6.96171</v>
      </c>
      <c r="AS45" s="33">
        <v>2.86723</v>
      </c>
      <c r="AT45" s="33">
        <v>533.524</v>
      </c>
      <c r="AU45" s="34">
        <v>548.285</v>
      </c>
      <c r="AV45" s="34">
        <v>22257.8</v>
      </c>
      <c r="AW45" s="34">
        <v>0.131628</v>
      </c>
      <c r="AX45" s="33">
        <v>0.0511353</v>
      </c>
      <c r="AY45" s="33">
        <v>0.146101</v>
      </c>
      <c r="AZ45" s="33">
        <v>0.255677</v>
      </c>
      <c r="BA45" s="33">
        <v>2.86967</v>
      </c>
      <c r="BB45" s="33">
        <v>76.7894</v>
      </c>
      <c r="BC45" s="33">
        <v>19.888</v>
      </c>
      <c r="BD45" s="34">
        <v>35.9548</v>
      </c>
      <c r="BE45" s="33">
        <v>0.0</v>
      </c>
      <c r="BF45" s="33">
        <v>18.6047</v>
      </c>
      <c r="BG45" s="33">
        <v>70.4986</v>
      </c>
      <c r="BH45" s="33">
        <v>9.12644</v>
      </c>
      <c r="BI45" s="33">
        <v>1.25647</v>
      </c>
      <c r="BJ45" s="33">
        <v>0.513788</v>
      </c>
      <c r="BK45" s="33">
        <v>34.2362</v>
      </c>
      <c r="BL45" s="33">
        <v>82135.0</v>
      </c>
    </row>
    <row r="46" ht="15.75" customHeight="1">
      <c r="A46" s="33" t="s">
        <v>113</v>
      </c>
      <c r="B46" s="33" t="s">
        <v>59</v>
      </c>
      <c r="C46" s="34">
        <v>31882.4</v>
      </c>
      <c r="D46" s="33">
        <v>431.805</v>
      </c>
      <c r="E46" s="33">
        <v>49627.4</v>
      </c>
      <c r="F46" s="33">
        <v>35.9185</v>
      </c>
      <c r="G46" s="33">
        <v>86.109</v>
      </c>
      <c r="H46" s="33">
        <v>868.733</v>
      </c>
      <c r="I46" s="33">
        <v>298.133</v>
      </c>
      <c r="J46" s="34">
        <v>1.87437E7</v>
      </c>
      <c r="K46" s="34">
        <v>0.227664</v>
      </c>
      <c r="L46" s="33">
        <v>0.414531</v>
      </c>
      <c r="M46" s="33">
        <v>3.23787</v>
      </c>
      <c r="N46" s="33">
        <v>19.0594</v>
      </c>
      <c r="O46" s="33">
        <v>48.7519</v>
      </c>
      <c r="P46" s="33">
        <v>28.5197</v>
      </c>
      <c r="Q46" s="33">
        <v>0.0165812</v>
      </c>
      <c r="R46" s="34">
        <v>85.8843</v>
      </c>
      <c r="S46" s="33">
        <v>1.53</v>
      </c>
      <c r="T46" s="33">
        <v>6.37021</v>
      </c>
      <c r="U46" s="33">
        <v>18.3283</v>
      </c>
      <c r="V46" s="33">
        <v>46.2436</v>
      </c>
      <c r="W46" s="33">
        <v>23.5725</v>
      </c>
      <c r="X46" s="33">
        <v>3.95538</v>
      </c>
      <c r="Y46" s="34">
        <v>8.21199</v>
      </c>
      <c r="Z46" s="33">
        <v>0.0</v>
      </c>
      <c r="AA46" s="33">
        <v>99.7965</v>
      </c>
      <c r="AB46" s="33">
        <v>0.203497</v>
      </c>
      <c r="AC46" s="33">
        <v>0.0</v>
      </c>
      <c r="AD46" s="33">
        <v>0.0</v>
      </c>
      <c r="AE46" s="33">
        <v>0.0</v>
      </c>
      <c r="AF46" s="34">
        <v>0.478393</v>
      </c>
      <c r="AG46" s="33">
        <v>0.844136</v>
      </c>
      <c r="AH46" s="33">
        <v>4.47543</v>
      </c>
      <c r="AI46" s="33">
        <v>12.8987</v>
      </c>
      <c r="AJ46" s="33">
        <v>20.7371</v>
      </c>
      <c r="AK46" s="33">
        <v>27.9062</v>
      </c>
      <c r="AL46" s="33">
        <v>33.1384</v>
      </c>
      <c r="AM46" s="34">
        <v>0.240786</v>
      </c>
      <c r="AN46" s="33">
        <v>0.405487</v>
      </c>
      <c r="AO46" s="33">
        <v>3.55743</v>
      </c>
      <c r="AP46" s="33">
        <v>39.3925</v>
      </c>
      <c r="AQ46" s="33">
        <v>42.9409</v>
      </c>
      <c r="AR46" s="33">
        <v>10.6512</v>
      </c>
      <c r="AS46" s="33">
        <v>3.05246</v>
      </c>
      <c r="AT46" s="33">
        <v>587.903</v>
      </c>
      <c r="AU46" s="34">
        <v>591.78</v>
      </c>
      <c r="AV46" s="34">
        <v>17825.4</v>
      </c>
      <c r="AW46" s="34">
        <v>0.140392</v>
      </c>
      <c r="AX46" s="33">
        <v>0.0406994</v>
      </c>
      <c r="AY46" s="33">
        <v>0.147724</v>
      </c>
      <c r="AZ46" s="33">
        <v>0.321073</v>
      </c>
      <c r="BA46" s="33">
        <v>3.45342</v>
      </c>
      <c r="BB46" s="33">
        <v>73.1595</v>
      </c>
      <c r="BC46" s="33">
        <v>22.8776</v>
      </c>
      <c r="BD46" s="34">
        <v>37.5681</v>
      </c>
      <c r="BE46" s="33">
        <v>0.0</v>
      </c>
      <c r="BF46" s="33">
        <v>17.4781</v>
      </c>
      <c r="BG46" s="33">
        <v>66.4878</v>
      </c>
      <c r="BH46" s="33">
        <v>14.4362</v>
      </c>
      <c r="BI46" s="33">
        <v>1.2451</v>
      </c>
      <c r="BJ46" s="33">
        <v>0.352728</v>
      </c>
      <c r="BK46" s="33">
        <v>34.0205</v>
      </c>
      <c r="BL46" s="33">
        <v>66340.0</v>
      </c>
    </row>
    <row r="47" ht="15.75" customHeight="1">
      <c r="A47" s="33" t="s">
        <v>113</v>
      </c>
      <c r="B47" s="33" t="s">
        <v>59</v>
      </c>
      <c r="C47" s="34">
        <v>34212.4</v>
      </c>
      <c r="D47" s="33">
        <v>327.786</v>
      </c>
      <c r="E47" s="33">
        <v>80234.3</v>
      </c>
      <c r="F47" s="33">
        <v>22.0813</v>
      </c>
      <c r="G47" s="33">
        <v>82.4375</v>
      </c>
      <c r="H47" s="33">
        <v>1129.03</v>
      </c>
      <c r="I47" s="33">
        <v>418.237</v>
      </c>
      <c r="J47" s="34">
        <v>1.79742E7</v>
      </c>
      <c r="K47" s="34">
        <v>0.213275</v>
      </c>
      <c r="L47" s="33">
        <v>0.288629</v>
      </c>
      <c r="M47" s="33">
        <v>3.07971</v>
      </c>
      <c r="N47" s="33">
        <v>21.6426</v>
      </c>
      <c r="O47" s="33">
        <v>53.8466</v>
      </c>
      <c r="P47" s="33">
        <v>21.1394</v>
      </c>
      <c r="Q47" s="33">
        <v>0.00302229</v>
      </c>
      <c r="R47" s="34">
        <v>85.8146</v>
      </c>
      <c r="S47" s="33">
        <v>1.29203</v>
      </c>
      <c r="T47" s="33">
        <v>5.42652</v>
      </c>
      <c r="U47" s="33">
        <v>17.9509</v>
      </c>
      <c r="V47" s="33">
        <v>52.0045</v>
      </c>
      <c r="W47" s="33">
        <v>18.7458</v>
      </c>
      <c r="X47" s="33">
        <v>4.58028</v>
      </c>
      <c r="Y47" s="34">
        <v>8.86047</v>
      </c>
      <c r="Z47" s="33">
        <v>0.0</v>
      </c>
      <c r="AA47" s="33">
        <v>99.7733</v>
      </c>
      <c r="AB47" s="33">
        <v>0.187382</v>
      </c>
      <c r="AC47" s="33">
        <v>0.0256895</v>
      </c>
      <c r="AD47" s="33">
        <v>0.0136003</v>
      </c>
      <c r="AE47" s="33">
        <v>0.0</v>
      </c>
      <c r="AF47" s="34">
        <v>0.452039</v>
      </c>
      <c r="AG47" s="33">
        <v>0.769173</v>
      </c>
      <c r="AH47" s="33">
        <v>4.5561</v>
      </c>
      <c r="AI47" s="33">
        <v>13.3011</v>
      </c>
      <c r="AJ47" s="33">
        <v>25.6441</v>
      </c>
      <c r="AK47" s="33">
        <v>34.7185</v>
      </c>
      <c r="AL47" s="33">
        <v>21.011</v>
      </c>
      <c r="AM47" s="34">
        <v>0.223217</v>
      </c>
      <c r="AN47" s="33">
        <v>0.578768</v>
      </c>
      <c r="AO47" s="33">
        <v>4.07858</v>
      </c>
      <c r="AP47" s="33">
        <v>40.2917</v>
      </c>
      <c r="AQ47" s="33">
        <v>45.4159</v>
      </c>
      <c r="AR47" s="33">
        <v>7.75368</v>
      </c>
      <c r="AS47" s="33">
        <v>1.88138</v>
      </c>
      <c r="AT47" s="33">
        <v>525.372</v>
      </c>
      <c r="AU47" s="34">
        <v>533.73</v>
      </c>
      <c r="AV47" s="34">
        <v>17716.8</v>
      </c>
      <c r="AW47" s="34">
        <v>0.13359</v>
      </c>
      <c r="AX47" s="33">
        <v>0.149603</v>
      </c>
      <c r="AY47" s="33">
        <v>0.25085</v>
      </c>
      <c r="AZ47" s="33">
        <v>0.365697</v>
      </c>
      <c r="BA47" s="33">
        <v>3.8912</v>
      </c>
      <c r="BB47" s="33">
        <v>73.2316</v>
      </c>
      <c r="BC47" s="33">
        <v>22.1111</v>
      </c>
      <c r="BD47" s="34">
        <v>34.9239</v>
      </c>
      <c r="BE47" s="33">
        <v>0.0</v>
      </c>
      <c r="BF47" s="33">
        <v>21.9176</v>
      </c>
      <c r="BG47" s="33">
        <v>67.0706</v>
      </c>
      <c r="BH47" s="33">
        <v>9.99622</v>
      </c>
      <c r="BI47" s="33">
        <v>0.852286</v>
      </c>
      <c r="BJ47" s="33">
        <v>0.163204</v>
      </c>
      <c r="BK47" s="33">
        <v>31.2118</v>
      </c>
      <c r="BL47" s="33">
        <v>66175.0</v>
      </c>
    </row>
    <row r="48" ht="15.75" customHeight="1">
      <c r="A48" s="33" t="s">
        <v>113</v>
      </c>
      <c r="B48" s="33" t="s">
        <v>59</v>
      </c>
      <c r="C48" s="34">
        <v>38847.5</v>
      </c>
      <c r="D48" s="33">
        <v>431.294</v>
      </c>
      <c r="E48" s="33">
        <v>75061.9</v>
      </c>
      <c r="F48" s="33">
        <v>28.5658</v>
      </c>
      <c r="G48" s="33">
        <v>85.4951</v>
      </c>
      <c r="H48" s="33">
        <v>1070.23</v>
      </c>
      <c r="I48" s="33">
        <v>377.211</v>
      </c>
      <c r="J48" s="34">
        <v>2.25752E7</v>
      </c>
      <c r="K48" s="34">
        <v>0.218559</v>
      </c>
      <c r="L48" s="33">
        <v>0.30132</v>
      </c>
      <c r="M48" s="33">
        <v>3.31833</v>
      </c>
      <c r="N48" s="33">
        <v>20.2088</v>
      </c>
      <c r="O48" s="33">
        <v>52.8199</v>
      </c>
      <c r="P48" s="33">
        <v>23.3351</v>
      </c>
      <c r="Q48" s="33">
        <v>0.0165281</v>
      </c>
      <c r="R48" s="34">
        <v>84.2237</v>
      </c>
      <c r="S48" s="33">
        <v>1.46464</v>
      </c>
      <c r="T48" s="33">
        <v>6.07598</v>
      </c>
      <c r="U48" s="33">
        <v>19.2323</v>
      </c>
      <c r="V48" s="33">
        <v>52.2669</v>
      </c>
      <c r="W48" s="33">
        <v>16.9756</v>
      </c>
      <c r="X48" s="33">
        <v>3.98454</v>
      </c>
      <c r="Y48" s="34">
        <v>8.5021</v>
      </c>
      <c r="Z48" s="33">
        <v>0.0</v>
      </c>
      <c r="AA48" s="33">
        <v>99.9097</v>
      </c>
      <c r="AB48" s="33">
        <v>0.0902688</v>
      </c>
      <c r="AC48" s="33">
        <v>0.0</v>
      </c>
      <c r="AD48" s="33">
        <v>0.0</v>
      </c>
      <c r="AE48" s="33">
        <v>0.0</v>
      </c>
      <c r="AF48" s="34">
        <v>0.460204</v>
      </c>
      <c r="AG48" s="33">
        <v>0.542884</v>
      </c>
      <c r="AH48" s="33">
        <v>4.51471</v>
      </c>
      <c r="AI48" s="33">
        <v>12.0909</v>
      </c>
      <c r="AJ48" s="33">
        <v>26.3432</v>
      </c>
      <c r="AK48" s="33">
        <v>33.0702</v>
      </c>
      <c r="AL48" s="33">
        <v>23.4381</v>
      </c>
      <c r="AM48" s="34">
        <v>0.243232</v>
      </c>
      <c r="AN48" s="33">
        <v>0.174181</v>
      </c>
      <c r="AO48" s="33">
        <v>3.67941</v>
      </c>
      <c r="AP48" s="33">
        <v>35.8202</v>
      </c>
      <c r="AQ48" s="33">
        <v>48.0128</v>
      </c>
      <c r="AR48" s="33">
        <v>10.0211</v>
      </c>
      <c r="AS48" s="33">
        <v>2.29232</v>
      </c>
      <c r="AT48" s="33">
        <v>581.123</v>
      </c>
      <c r="AU48" s="34">
        <v>623.73</v>
      </c>
      <c r="AV48" s="34">
        <v>21442.0</v>
      </c>
      <c r="AW48" s="34">
        <v>0.143574</v>
      </c>
      <c r="AX48" s="33">
        <v>0.00635696</v>
      </c>
      <c r="AY48" s="33">
        <v>0.0394131</v>
      </c>
      <c r="AZ48" s="33">
        <v>0.261907</v>
      </c>
      <c r="BA48" s="33">
        <v>3.54591</v>
      </c>
      <c r="BB48" s="33">
        <v>71.6098</v>
      </c>
      <c r="BC48" s="33">
        <v>24.5366</v>
      </c>
      <c r="BD48" s="34">
        <v>36.4672</v>
      </c>
      <c r="BE48" s="33">
        <v>0.0</v>
      </c>
      <c r="BF48" s="33">
        <v>19.4612</v>
      </c>
      <c r="BG48" s="33">
        <v>66.6984</v>
      </c>
      <c r="BH48" s="33">
        <v>12.6503</v>
      </c>
      <c r="BI48" s="33">
        <v>0.940829</v>
      </c>
      <c r="BJ48" s="33">
        <v>0.249193</v>
      </c>
      <c r="BK48" s="33">
        <v>33.5339</v>
      </c>
      <c r="BL48" s="33">
        <v>78654.0</v>
      </c>
    </row>
    <row r="49" ht="15.75" customHeight="1">
      <c r="A49" s="33" t="s">
        <v>113</v>
      </c>
      <c r="B49" s="33" t="s">
        <v>59</v>
      </c>
      <c r="C49" s="34">
        <v>25741.9</v>
      </c>
      <c r="D49" s="33">
        <v>408.791</v>
      </c>
      <c r="E49" s="33">
        <v>60908.8</v>
      </c>
      <c r="F49" s="33">
        <v>22.3974</v>
      </c>
      <c r="G49" s="33">
        <v>78.2295</v>
      </c>
      <c r="H49" s="33">
        <v>945.001</v>
      </c>
      <c r="I49" s="33">
        <v>351.24</v>
      </c>
      <c r="J49" s="34">
        <v>1.29697E7</v>
      </c>
      <c r="K49" s="34">
        <v>0.195888</v>
      </c>
      <c r="L49" s="33">
        <v>0.479571</v>
      </c>
      <c r="M49" s="33">
        <v>3.6893</v>
      </c>
      <c r="N49" s="33">
        <v>27.2072</v>
      </c>
      <c r="O49" s="33">
        <v>51.8107</v>
      </c>
      <c r="P49" s="33">
        <v>16.8039</v>
      </c>
      <c r="Q49" s="33">
        <v>0.00944037</v>
      </c>
      <c r="R49" s="34">
        <v>80.2737</v>
      </c>
      <c r="S49" s="33">
        <v>1.73892</v>
      </c>
      <c r="T49" s="33">
        <v>9.90484</v>
      </c>
      <c r="U49" s="33">
        <v>23.2252</v>
      </c>
      <c r="V49" s="33">
        <v>47.0319</v>
      </c>
      <c r="W49" s="33">
        <v>14.0983</v>
      </c>
      <c r="X49" s="33">
        <v>4.00083</v>
      </c>
      <c r="Y49" s="34">
        <v>9.82515</v>
      </c>
      <c r="Z49" s="33">
        <v>0.0</v>
      </c>
      <c r="AA49" s="33">
        <v>99.6167</v>
      </c>
      <c r="AB49" s="33">
        <v>0.383279</v>
      </c>
      <c r="AC49" s="33">
        <v>0.0</v>
      </c>
      <c r="AD49" s="33">
        <v>0.0</v>
      </c>
      <c r="AE49" s="33">
        <v>0.0</v>
      </c>
      <c r="AF49" s="34">
        <v>0.404299</v>
      </c>
      <c r="AG49" s="33">
        <v>0.962918</v>
      </c>
      <c r="AH49" s="33">
        <v>8.54354</v>
      </c>
      <c r="AI49" s="33">
        <v>16.2695</v>
      </c>
      <c r="AJ49" s="33">
        <v>31.495</v>
      </c>
      <c r="AK49" s="33">
        <v>29.0159</v>
      </c>
      <c r="AL49" s="33">
        <v>13.7131</v>
      </c>
      <c r="AM49" s="34">
        <v>0.253782</v>
      </c>
      <c r="AN49" s="33">
        <v>0.545654</v>
      </c>
      <c r="AO49" s="33">
        <v>3.31924</v>
      </c>
      <c r="AP49" s="33">
        <v>34.903</v>
      </c>
      <c r="AQ49" s="33">
        <v>46.6732</v>
      </c>
      <c r="AR49" s="33">
        <v>10.5052</v>
      </c>
      <c r="AS49" s="33">
        <v>4.0537</v>
      </c>
      <c r="AT49" s="33">
        <v>503.838</v>
      </c>
      <c r="AU49" s="34">
        <v>510.03</v>
      </c>
      <c r="AV49" s="34">
        <v>13642.0</v>
      </c>
      <c r="AW49" s="34">
        <v>0.174349</v>
      </c>
      <c r="AX49" s="33">
        <v>0.0320973</v>
      </c>
      <c r="AY49" s="33">
        <v>0.253002</v>
      </c>
      <c r="AZ49" s="33">
        <v>0.430481</v>
      </c>
      <c r="BA49" s="33">
        <v>3.14931</v>
      </c>
      <c r="BB49" s="33">
        <v>62.8465</v>
      </c>
      <c r="BC49" s="33">
        <v>33.2887</v>
      </c>
      <c r="BD49" s="34">
        <v>35.9196</v>
      </c>
      <c r="BE49" s="33">
        <v>0.0</v>
      </c>
      <c r="BF49" s="33">
        <v>21.9224</v>
      </c>
      <c r="BG49" s="33">
        <v>64.1341</v>
      </c>
      <c r="BH49" s="33">
        <v>12.2744</v>
      </c>
      <c r="BI49" s="33">
        <v>1.3462</v>
      </c>
      <c r="BJ49" s="33">
        <v>0.322861</v>
      </c>
      <c r="BK49" s="33">
        <v>32.0167</v>
      </c>
      <c r="BL49" s="33">
        <v>52964.0</v>
      </c>
    </row>
    <row r="50" ht="15.75" customHeight="1">
      <c r="A50" s="33" t="s">
        <v>94</v>
      </c>
      <c r="B50" s="33" t="s">
        <v>61</v>
      </c>
      <c r="C50" s="34">
        <v>37518.9</v>
      </c>
      <c r="D50" s="33">
        <v>377.88</v>
      </c>
      <c r="E50" s="33">
        <v>69257.5</v>
      </c>
      <c r="F50" s="33">
        <v>30.2437</v>
      </c>
      <c r="G50" s="33">
        <v>73.2365</v>
      </c>
      <c r="H50" s="33">
        <v>1023.14</v>
      </c>
      <c r="I50" s="33">
        <v>370.96</v>
      </c>
      <c r="J50" s="34">
        <v>2.00569E7</v>
      </c>
      <c r="K50" s="34">
        <v>0.221763</v>
      </c>
      <c r="L50" s="33">
        <v>0.349907</v>
      </c>
      <c r="M50" s="33">
        <v>2.80974</v>
      </c>
      <c r="N50" s="33">
        <v>18.5031</v>
      </c>
      <c r="O50" s="33">
        <v>55.36</v>
      </c>
      <c r="P50" s="33">
        <v>22.9497</v>
      </c>
      <c r="Q50" s="33">
        <v>0.0275208</v>
      </c>
      <c r="R50" s="34">
        <v>86.9505</v>
      </c>
      <c r="S50" s="33">
        <v>1.14801</v>
      </c>
      <c r="T50" s="33">
        <v>4.66412</v>
      </c>
      <c r="U50" s="33">
        <v>16.0787</v>
      </c>
      <c r="V50" s="33">
        <v>54.1412</v>
      </c>
      <c r="W50" s="33">
        <v>19.925</v>
      </c>
      <c r="X50" s="33">
        <v>4.04293</v>
      </c>
      <c r="Y50" s="34">
        <v>9.20385</v>
      </c>
      <c r="Z50" s="33">
        <v>0.0</v>
      </c>
      <c r="AA50" s="33">
        <v>99.7589</v>
      </c>
      <c r="AB50" s="33">
        <v>0.241134</v>
      </c>
      <c r="AC50" s="33">
        <v>0.0</v>
      </c>
      <c r="AD50" s="33">
        <v>0.0</v>
      </c>
      <c r="AE50" s="33">
        <v>0.0</v>
      </c>
      <c r="AF50" s="34">
        <v>0.463922</v>
      </c>
      <c r="AG50" s="33">
        <v>0.71554</v>
      </c>
      <c r="AH50" s="33">
        <v>3.92892</v>
      </c>
      <c r="AI50" s="33">
        <v>10.3399</v>
      </c>
      <c r="AJ50" s="33">
        <v>25.7883</v>
      </c>
      <c r="AK50" s="33">
        <v>37.7336</v>
      </c>
      <c r="AL50" s="33">
        <v>21.4937</v>
      </c>
      <c r="AM50" s="34">
        <v>0.22394</v>
      </c>
      <c r="AN50" s="33">
        <v>0.604146</v>
      </c>
      <c r="AO50" s="33">
        <v>3.56328</v>
      </c>
      <c r="AP50" s="33">
        <v>40.5407</v>
      </c>
      <c r="AQ50" s="33">
        <v>46.016</v>
      </c>
      <c r="AR50" s="33">
        <v>7.23272</v>
      </c>
      <c r="AS50" s="33">
        <v>2.04309</v>
      </c>
      <c r="AT50" s="33">
        <v>534.579</v>
      </c>
      <c r="AU50" s="34">
        <v>569.746</v>
      </c>
      <c r="AV50" s="34">
        <v>20946.1</v>
      </c>
      <c r="AW50" s="34">
        <v>0.130706</v>
      </c>
      <c r="AX50" s="33">
        <v>0.0904254</v>
      </c>
      <c r="AY50" s="33">
        <v>0.231961</v>
      </c>
      <c r="AZ50" s="33">
        <v>0.483579</v>
      </c>
      <c r="BA50" s="33">
        <v>3.36147</v>
      </c>
      <c r="BB50" s="33">
        <v>76.0491</v>
      </c>
      <c r="BC50" s="33">
        <v>19.7835</v>
      </c>
      <c r="BD50" s="34">
        <v>35.6757</v>
      </c>
      <c r="BE50" s="33">
        <v>0.0</v>
      </c>
      <c r="BF50" s="33">
        <v>18.8845</v>
      </c>
      <c r="BG50" s="33">
        <v>70.2016</v>
      </c>
      <c r="BH50" s="33">
        <v>9.81574</v>
      </c>
      <c r="BI50" s="33">
        <v>0.86887</v>
      </c>
      <c r="BJ50" s="33">
        <v>0.22934</v>
      </c>
      <c r="BK50" s="33">
        <v>33.9692</v>
      </c>
      <c r="BL50" s="33">
        <v>76306.0</v>
      </c>
    </row>
    <row r="51" ht="15.75" customHeight="1">
      <c r="A51" s="33" t="s">
        <v>94</v>
      </c>
      <c r="B51" s="33" t="s">
        <v>61</v>
      </c>
      <c r="C51" s="34">
        <v>39772.2</v>
      </c>
      <c r="D51" s="33">
        <v>334.834</v>
      </c>
      <c r="E51" s="33">
        <v>80237.8</v>
      </c>
      <c r="F51" s="33">
        <v>28.4995</v>
      </c>
      <c r="G51" s="33">
        <v>84.619</v>
      </c>
      <c r="H51" s="33">
        <v>1097.91</v>
      </c>
      <c r="I51" s="33">
        <v>363.195</v>
      </c>
      <c r="J51" s="34">
        <v>2.23463E7</v>
      </c>
      <c r="K51" s="34">
        <v>0.222583</v>
      </c>
      <c r="L51" s="33">
        <v>0.285422</v>
      </c>
      <c r="M51" s="33">
        <v>2.7793</v>
      </c>
      <c r="N51" s="33">
        <v>17.6652</v>
      </c>
      <c r="O51" s="33">
        <v>56.9358</v>
      </c>
      <c r="P51" s="33">
        <v>22.3248</v>
      </c>
      <c r="Q51" s="33">
        <v>0.00951407</v>
      </c>
      <c r="R51" s="34">
        <v>87.2892</v>
      </c>
      <c r="S51" s="33">
        <v>1.12742</v>
      </c>
      <c r="T51" s="33">
        <v>4.5061</v>
      </c>
      <c r="U51" s="33">
        <v>15.4294</v>
      </c>
      <c r="V51" s="33">
        <v>54.5025</v>
      </c>
      <c r="W51" s="33">
        <v>20.4267</v>
      </c>
      <c r="X51" s="33">
        <v>4.0078</v>
      </c>
      <c r="Y51" s="34">
        <v>9.04139</v>
      </c>
      <c r="Z51" s="33">
        <v>0.0</v>
      </c>
      <c r="AA51" s="33">
        <v>99.6979</v>
      </c>
      <c r="AB51" s="33">
        <v>0.302072</v>
      </c>
      <c r="AC51" s="33">
        <v>0.0</v>
      </c>
      <c r="AD51" s="33">
        <v>0.0</v>
      </c>
      <c r="AE51" s="33">
        <v>0.0</v>
      </c>
      <c r="AF51" s="34">
        <v>0.46654</v>
      </c>
      <c r="AG51" s="33">
        <v>0.80156</v>
      </c>
      <c r="AH51" s="33">
        <v>4.46567</v>
      </c>
      <c r="AI51" s="33">
        <v>10.343</v>
      </c>
      <c r="AJ51" s="33">
        <v>22.2249</v>
      </c>
      <c r="AK51" s="33">
        <v>40.9236</v>
      </c>
      <c r="AL51" s="33">
        <v>21.2413</v>
      </c>
      <c r="AM51" s="34">
        <v>0.220658</v>
      </c>
      <c r="AN51" s="33">
        <v>0.573223</v>
      </c>
      <c r="AO51" s="33">
        <v>3.44885</v>
      </c>
      <c r="AP51" s="33">
        <v>41.7216</v>
      </c>
      <c r="AQ51" s="33">
        <v>45.7508</v>
      </c>
      <c r="AR51" s="33">
        <v>6.69196</v>
      </c>
      <c r="AS51" s="33">
        <v>1.81362</v>
      </c>
      <c r="AT51" s="33">
        <v>561.858</v>
      </c>
      <c r="AU51" s="34">
        <v>570.632</v>
      </c>
      <c r="AV51" s="34">
        <v>22867.4</v>
      </c>
      <c r="AW51" s="34">
        <v>0.1299</v>
      </c>
      <c r="AX51" s="33">
        <v>0.0796803</v>
      </c>
      <c r="AY51" s="33">
        <v>0.271151</v>
      </c>
      <c r="AZ51" s="33">
        <v>0.442404</v>
      </c>
      <c r="BA51" s="33">
        <v>3.22884</v>
      </c>
      <c r="BB51" s="33">
        <v>77.6229</v>
      </c>
      <c r="BC51" s="33">
        <v>18.355</v>
      </c>
      <c r="BD51" s="34">
        <v>35.4754</v>
      </c>
      <c r="BE51" s="33">
        <v>0.0</v>
      </c>
      <c r="BF51" s="33">
        <v>18.3598</v>
      </c>
      <c r="BG51" s="33">
        <v>71.5743</v>
      </c>
      <c r="BH51" s="33">
        <v>9.15848</v>
      </c>
      <c r="BI51" s="33">
        <v>0.687391</v>
      </c>
      <c r="BJ51" s="33">
        <v>0.220013</v>
      </c>
      <c r="BK51" s="33">
        <v>35.1338</v>
      </c>
      <c r="BL51" s="33">
        <v>84086.0</v>
      </c>
    </row>
    <row r="52" ht="15.75" customHeight="1">
      <c r="A52" s="33" t="s">
        <v>94</v>
      </c>
      <c r="B52" s="33" t="s">
        <v>61</v>
      </c>
      <c r="C52" s="34">
        <v>32708.8</v>
      </c>
      <c r="D52" s="33">
        <v>393.265</v>
      </c>
      <c r="E52" s="33">
        <v>57001.1</v>
      </c>
      <c r="F52" s="33">
        <v>31.7648</v>
      </c>
      <c r="G52" s="33">
        <v>73.0734</v>
      </c>
      <c r="H52" s="33">
        <v>917.877</v>
      </c>
      <c r="I52" s="33">
        <v>341.16</v>
      </c>
      <c r="J52" s="34">
        <v>1.75244E7</v>
      </c>
      <c r="K52" s="34">
        <v>0.215783</v>
      </c>
      <c r="L52" s="33">
        <v>0.281674</v>
      </c>
      <c r="M52" s="33">
        <v>2.75659</v>
      </c>
      <c r="N52" s="33">
        <v>21.281</v>
      </c>
      <c r="O52" s="33">
        <v>54.1723</v>
      </c>
      <c r="P52" s="33">
        <v>21.482</v>
      </c>
      <c r="Q52" s="33">
        <v>0.0264069</v>
      </c>
      <c r="R52" s="34">
        <v>84.5808</v>
      </c>
      <c r="S52" s="33">
        <v>1.19565</v>
      </c>
      <c r="T52" s="33">
        <v>5.71123</v>
      </c>
      <c r="U52" s="33">
        <v>18.8105</v>
      </c>
      <c r="V52" s="33">
        <v>54.1943</v>
      </c>
      <c r="W52" s="33">
        <v>16.2344</v>
      </c>
      <c r="X52" s="33">
        <v>3.85394</v>
      </c>
      <c r="Y52" s="34">
        <v>9.799</v>
      </c>
      <c r="Z52" s="33">
        <v>0.0</v>
      </c>
      <c r="AA52" s="33">
        <v>99.4968</v>
      </c>
      <c r="AB52" s="33">
        <v>0.501731</v>
      </c>
      <c r="AC52" s="33">
        <v>0.00146705</v>
      </c>
      <c r="AD52" s="33">
        <v>0.0</v>
      </c>
      <c r="AE52" s="33">
        <v>0.0</v>
      </c>
      <c r="AF52" s="34">
        <v>0.431215</v>
      </c>
      <c r="AG52" s="33">
        <v>1.10029</v>
      </c>
      <c r="AH52" s="33">
        <v>6.04131</v>
      </c>
      <c r="AI52" s="33">
        <v>13.8401</v>
      </c>
      <c r="AJ52" s="33">
        <v>26.6123</v>
      </c>
      <c r="AK52" s="33">
        <v>37.8205</v>
      </c>
      <c r="AL52" s="33">
        <v>14.5854</v>
      </c>
      <c r="AM52" s="34">
        <v>0.231831</v>
      </c>
      <c r="AN52" s="33">
        <v>0.261135</v>
      </c>
      <c r="AO52" s="33">
        <v>3.53412</v>
      </c>
      <c r="AP52" s="33">
        <v>36.9609</v>
      </c>
      <c r="AQ52" s="33">
        <v>49.9604</v>
      </c>
      <c r="AR52" s="33">
        <v>7.84872</v>
      </c>
      <c r="AS52" s="33">
        <v>1.43477</v>
      </c>
      <c r="AT52" s="33">
        <v>535.77</v>
      </c>
      <c r="AU52" s="34">
        <v>552.946</v>
      </c>
      <c r="AV52" s="34">
        <v>18106.3</v>
      </c>
      <c r="AW52" s="34">
        <v>0.149126</v>
      </c>
      <c r="AX52" s="33">
        <v>0.0234728</v>
      </c>
      <c r="AY52" s="33">
        <v>0.0689514</v>
      </c>
      <c r="AZ52" s="33">
        <v>0.256734</v>
      </c>
      <c r="BA52" s="33">
        <v>3.4461</v>
      </c>
      <c r="BB52" s="33">
        <v>71.5612</v>
      </c>
      <c r="BC52" s="33">
        <v>24.6435</v>
      </c>
      <c r="BD52" s="34">
        <v>35.3209</v>
      </c>
      <c r="BE52" s="33">
        <v>0.0</v>
      </c>
      <c r="BF52" s="33">
        <v>19.7201</v>
      </c>
      <c r="BG52" s="33">
        <v>69.8565</v>
      </c>
      <c r="BH52" s="33">
        <v>9.73241</v>
      </c>
      <c r="BI52" s="33">
        <v>0.466522</v>
      </c>
      <c r="BJ52" s="33">
        <v>0.224459</v>
      </c>
      <c r="BK52" s="33">
        <v>33.6389</v>
      </c>
      <c r="BL52" s="33">
        <v>68164.0</v>
      </c>
    </row>
    <row r="53" ht="15.75" customHeight="1">
      <c r="A53" s="33" t="s">
        <v>94</v>
      </c>
      <c r="B53" s="33" t="s">
        <v>61</v>
      </c>
      <c r="C53" s="34">
        <v>44762.2</v>
      </c>
      <c r="D53" s="33">
        <v>316.758</v>
      </c>
      <c r="E53" s="33">
        <v>87461.8</v>
      </c>
      <c r="F53" s="33">
        <v>28.58</v>
      </c>
      <c r="G53" s="33">
        <v>70.2252</v>
      </c>
      <c r="H53" s="33">
        <v>1140.93</v>
      </c>
      <c r="I53" s="33">
        <v>426.011</v>
      </c>
      <c r="J53" s="34">
        <v>2.45884E7</v>
      </c>
      <c r="K53" s="34">
        <v>0.223126</v>
      </c>
      <c r="L53" s="33">
        <v>0.273961</v>
      </c>
      <c r="M53" s="33">
        <v>2.95618</v>
      </c>
      <c r="N53" s="33">
        <v>18.6889</v>
      </c>
      <c r="O53" s="33">
        <v>53.8945</v>
      </c>
      <c r="P53" s="33">
        <v>24.141</v>
      </c>
      <c r="Q53" s="33">
        <v>0.0454796</v>
      </c>
      <c r="R53" s="34">
        <v>88.7988</v>
      </c>
      <c r="S53" s="33">
        <v>1.07094</v>
      </c>
      <c r="T53" s="33">
        <v>4.23502</v>
      </c>
      <c r="U53" s="33">
        <v>14.0911</v>
      </c>
      <c r="V53" s="33">
        <v>52.6687</v>
      </c>
      <c r="W53" s="33">
        <v>23.2867</v>
      </c>
      <c r="X53" s="33">
        <v>4.64759</v>
      </c>
      <c r="Y53" s="34">
        <v>8.68901</v>
      </c>
      <c r="Z53" s="33">
        <v>0.0</v>
      </c>
      <c r="AA53" s="33">
        <v>99.8452</v>
      </c>
      <c r="AB53" s="33">
        <v>0.154847</v>
      </c>
      <c r="AC53" s="33">
        <v>0.0</v>
      </c>
      <c r="AD53" s="33">
        <v>0.0</v>
      </c>
      <c r="AE53" s="33">
        <v>0.0</v>
      </c>
      <c r="AF53" s="34">
        <v>0.477037</v>
      </c>
      <c r="AG53" s="33">
        <v>0.538176</v>
      </c>
      <c r="AH53" s="33">
        <v>3.98813</v>
      </c>
      <c r="AI53" s="33">
        <v>11.2064</v>
      </c>
      <c r="AJ53" s="33">
        <v>22.3987</v>
      </c>
      <c r="AK53" s="33">
        <v>33.9917</v>
      </c>
      <c r="AL53" s="33">
        <v>27.8769</v>
      </c>
      <c r="AM53" s="34">
        <v>0.208832</v>
      </c>
      <c r="AN53" s="33">
        <v>0.533844</v>
      </c>
      <c r="AO53" s="33">
        <v>4.36496</v>
      </c>
      <c r="AP53" s="33">
        <v>45.2122</v>
      </c>
      <c r="AQ53" s="33">
        <v>42.4672</v>
      </c>
      <c r="AR53" s="33">
        <v>5.50953</v>
      </c>
      <c r="AS53" s="33">
        <v>1.91231</v>
      </c>
      <c r="AT53" s="33">
        <v>549.313</v>
      </c>
      <c r="AU53" s="34">
        <v>566.146</v>
      </c>
      <c r="AV53" s="34">
        <v>24996.5</v>
      </c>
      <c r="AW53" s="34">
        <v>0.11843</v>
      </c>
      <c r="AX53" s="33">
        <v>0.0270712</v>
      </c>
      <c r="AY53" s="33">
        <v>0.252304</v>
      </c>
      <c r="AZ53" s="33">
        <v>0.555501</v>
      </c>
      <c r="BA53" s="33">
        <v>4.06393</v>
      </c>
      <c r="BB53" s="33">
        <v>79.5309</v>
      </c>
      <c r="BC53" s="33">
        <v>15.5703</v>
      </c>
      <c r="BD53" s="34">
        <v>34.7972</v>
      </c>
      <c r="BE53" s="33">
        <v>0.0</v>
      </c>
      <c r="BF53" s="33">
        <v>21.6494</v>
      </c>
      <c r="BG53" s="33">
        <v>68.2411</v>
      </c>
      <c r="BH53" s="33">
        <v>9.03854</v>
      </c>
      <c r="BI53" s="33">
        <v>0.746083</v>
      </c>
      <c r="BJ53" s="33">
        <v>0.324855</v>
      </c>
      <c r="BK53" s="33">
        <v>33.9852</v>
      </c>
      <c r="BL53" s="33">
        <v>92349.0</v>
      </c>
    </row>
    <row r="54" ht="15.75" customHeight="1">
      <c r="A54" s="33" t="s">
        <v>111</v>
      </c>
      <c r="B54" s="33" t="s">
        <v>61</v>
      </c>
      <c r="C54" s="34">
        <v>49322.5</v>
      </c>
      <c r="D54" s="33">
        <v>384.501</v>
      </c>
      <c r="E54" s="33">
        <v>88226.3</v>
      </c>
      <c r="F54" s="33">
        <v>32.0798</v>
      </c>
      <c r="G54" s="33">
        <v>82.7556</v>
      </c>
      <c r="H54" s="33">
        <v>1122.64</v>
      </c>
      <c r="I54" s="33">
        <v>391.205</v>
      </c>
      <c r="J54" s="34">
        <v>3.18277E7</v>
      </c>
      <c r="K54" s="34">
        <v>0.236545</v>
      </c>
      <c r="L54" s="33">
        <v>0.192982</v>
      </c>
      <c r="M54" s="33">
        <v>2.47056</v>
      </c>
      <c r="N54" s="33">
        <v>16.1684</v>
      </c>
      <c r="O54" s="33">
        <v>52.112</v>
      </c>
      <c r="P54" s="33">
        <v>29.0247</v>
      </c>
      <c r="Q54" s="33">
        <v>0.0313473</v>
      </c>
      <c r="R54" s="34">
        <v>88.1857</v>
      </c>
      <c r="S54" s="33">
        <v>0.851276</v>
      </c>
      <c r="T54" s="33">
        <v>3.96054</v>
      </c>
      <c r="U54" s="33">
        <v>14.0514</v>
      </c>
      <c r="V54" s="33">
        <v>57.349</v>
      </c>
      <c r="W54" s="33">
        <v>20.0505</v>
      </c>
      <c r="X54" s="33">
        <v>3.73719</v>
      </c>
      <c r="Y54" s="34">
        <v>8.91534</v>
      </c>
      <c r="Z54" s="33">
        <v>0.0</v>
      </c>
      <c r="AA54" s="33">
        <v>99.6601</v>
      </c>
      <c r="AB54" s="33">
        <v>0.32229</v>
      </c>
      <c r="AC54" s="33">
        <v>0.0137145</v>
      </c>
      <c r="AD54" s="33">
        <v>0.00391842</v>
      </c>
      <c r="AE54" s="33">
        <v>0.0</v>
      </c>
      <c r="AF54" s="34">
        <v>0.481079</v>
      </c>
      <c r="AG54" s="33">
        <v>0.663192</v>
      </c>
      <c r="AH54" s="33">
        <v>3.42078</v>
      </c>
      <c r="AI54" s="33">
        <v>9.72845</v>
      </c>
      <c r="AJ54" s="33">
        <v>21.4377</v>
      </c>
      <c r="AK54" s="33">
        <v>39.1176</v>
      </c>
      <c r="AL54" s="33">
        <v>25.6323</v>
      </c>
      <c r="AM54" s="34">
        <v>0.22791</v>
      </c>
      <c r="AN54" s="33">
        <v>0.576008</v>
      </c>
      <c r="AO54" s="33">
        <v>3.20135</v>
      </c>
      <c r="AP54" s="33">
        <v>38.0763</v>
      </c>
      <c r="AQ54" s="33">
        <v>49.6444</v>
      </c>
      <c r="AR54" s="33">
        <v>7.07373</v>
      </c>
      <c r="AS54" s="33">
        <v>1.42826</v>
      </c>
      <c r="AT54" s="33">
        <v>645.298</v>
      </c>
      <c r="AU54" s="34">
        <v>652.847</v>
      </c>
      <c r="AV54" s="34">
        <v>28302.8</v>
      </c>
      <c r="AW54" s="34">
        <v>0.127569</v>
      </c>
      <c r="AX54" s="33">
        <v>0.00881644</v>
      </c>
      <c r="AY54" s="33">
        <v>0.244901</v>
      </c>
      <c r="AZ54" s="33">
        <v>0.530946</v>
      </c>
      <c r="BA54" s="33">
        <v>2.99269</v>
      </c>
      <c r="BB54" s="33">
        <v>79.925</v>
      </c>
      <c r="BC54" s="33">
        <v>16.2977</v>
      </c>
      <c r="BD54" s="34">
        <v>36.8691</v>
      </c>
      <c r="BE54" s="33">
        <v>0.0</v>
      </c>
      <c r="BF54" s="33">
        <v>16.6856</v>
      </c>
      <c r="BG54" s="33">
        <v>70.2396</v>
      </c>
      <c r="BH54" s="33">
        <v>12.3283</v>
      </c>
      <c r="BI54" s="33">
        <v>0.549558</v>
      </c>
      <c r="BJ54" s="33">
        <v>0.196901</v>
      </c>
      <c r="BK54" s="33">
        <v>35.0602</v>
      </c>
      <c r="BL54" s="33">
        <v>102082.0</v>
      </c>
    </row>
    <row r="55" ht="15.75" customHeight="1">
      <c r="A55" s="33" t="s">
        <v>111</v>
      </c>
      <c r="B55" s="33" t="s">
        <v>61</v>
      </c>
      <c r="C55" s="34">
        <v>41540.6</v>
      </c>
      <c r="D55" s="33">
        <v>449.923</v>
      </c>
      <c r="E55" s="33">
        <v>74596.9</v>
      </c>
      <c r="F55" s="33">
        <v>32.654</v>
      </c>
      <c r="G55" s="33">
        <v>67.4334</v>
      </c>
      <c r="H55" s="33">
        <v>1116.06</v>
      </c>
      <c r="I55" s="33">
        <v>393.044</v>
      </c>
      <c r="J55" s="34">
        <v>2.32088E7</v>
      </c>
      <c r="K55" s="34">
        <v>0.218028</v>
      </c>
      <c r="L55" s="33">
        <v>0.163994</v>
      </c>
      <c r="M55" s="33">
        <v>2.26972</v>
      </c>
      <c r="N55" s="33">
        <v>20.1793</v>
      </c>
      <c r="O55" s="33">
        <v>56.8969</v>
      </c>
      <c r="P55" s="33">
        <v>20.4833</v>
      </c>
      <c r="Q55" s="33">
        <v>0.00683309</v>
      </c>
      <c r="R55" s="34">
        <v>84.476</v>
      </c>
      <c r="S55" s="33">
        <v>0.934995</v>
      </c>
      <c r="T55" s="33">
        <v>5.74777</v>
      </c>
      <c r="U55" s="33">
        <v>18.8525</v>
      </c>
      <c r="V55" s="33">
        <v>55.5075</v>
      </c>
      <c r="W55" s="33">
        <v>16.0851</v>
      </c>
      <c r="X55" s="33">
        <v>2.87218</v>
      </c>
      <c r="Y55" s="34">
        <v>9.79703</v>
      </c>
      <c r="Z55" s="33">
        <v>0.0</v>
      </c>
      <c r="AA55" s="33">
        <v>99.7107</v>
      </c>
      <c r="AB55" s="33">
        <v>0.289267</v>
      </c>
      <c r="AC55" s="33">
        <v>0.0</v>
      </c>
      <c r="AD55" s="33">
        <v>0.0</v>
      </c>
      <c r="AE55" s="33">
        <v>0.0</v>
      </c>
      <c r="AF55" s="34">
        <v>0.44315</v>
      </c>
      <c r="AG55" s="33">
        <v>0.923606</v>
      </c>
      <c r="AH55" s="33">
        <v>4.68978</v>
      </c>
      <c r="AI55" s="33">
        <v>11.8361</v>
      </c>
      <c r="AJ55" s="33">
        <v>26.4646</v>
      </c>
      <c r="AK55" s="33">
        <v>42.5121</v>
      </c>
      <c r="AL55" s="33">
        <v>13.5739</v>
      </c>
      <c r="AM55" s="34">
        <v>0.237975</v>
      </c>
      <c r="AN55" s="33">
        <v>0.228909</v>
      </c>
      <c r="AO55" s="33">
        <v>2.71501</v>
      </c>
      <c r="AP55" s="33">
        <v>37.1766</v>
      </c>
      <c r="AQ55" s="33">
        <v>49.5069</v>
      </c>
      <c r="AR55" s="33">
        <v>8.65639</v>
      </c>
      <c r="AS55" s="33">
        <v>1.71624</v>
      </c>
      <c r="AT55" s="33">
        <v>558.701</v>
      </c>
      <c r="AU55" s="34">
        <v>570.047</v>
      </c>
      <c r="AV55" s="34">
        <v>24358.9</v>
      </c>
      <c r="AW55" s="34">
        <v>0.148889</v>
      </c>
      <c r="AX55" s="33">
        <v>0.0136662</v>
      </c>
      <c r="AY55" s="33">
        <v>0.111607</v>
      </c>
      <c r="AZ55" s="33">
        <v>0.214104</v>
      </c>
      <c r="BA55" s="33">
        <v>2.60455</v>
      </c>
      <c r="BB55" s="33">
        <v>73.7609</v>
      </c>
      <c r="BC55" s="33">
        <v>23.2951</v>
      </c>
      <c r="BD55" s="34">
        <v>35.7439</v>
      </c>
      <c r="BE55" s="33">
        <v>0.0</v>
      </c>
      <c r="BF55" s="33">
        <v>18.4721</v>
      </c>
      <c r="BG55" s="33">
        <v>70.6974</v>
      </c>
      <c r="BH55" s="33">
        <v>10.0788</v>
      </c>
      <c r="BI55" s="33">
        <v>0.636616</v>
      </c>
      <c r="BJ55" s="33">
        <v>0.115024</v>
      </c>
      <c r="BK55" s="33">
        <v>35.941</v>
      </c>
      <c r="BL55" s="33">
        <v>87808.0</v>
      </c>
    </row>
    <row r="56" ht="15.75" customHeight="1">
      <c r="A56" s="33" t="s">
        <v>111</v>
      </c>
      <c r="B56" s="33" t="s">
        <v>61</v>
      </c>
      <c r="C56" s="34">
        <v>42083.9</v>
      </c>
      <c r="D56" s="33">
        <v>397.603</v>
      </c>
      <c r="E56" s="33">
        <v>81557.0</v>
      </c>
      <c r="F56" s="33">
        <v>29.2649</v>
      </c>
      <c r="G56" s="33">
        <v>78.4639</v>
      </c>
      <c r="H56" s="33">
        <v>1080.76</v>
      </c>
      <c r="I56" s="33">
        <v>380.967</v>
      </c>
      <c r="J56" s="34">
        <v>2.29737E7</v>
      </c>
      <c r="K56" s="34">
        <v>0.219181</v>
      </c>
      <c r="L56" s="33">
        <v>0.206465</v>
      </c>
      <c r="M56" s="33">
        <v>2.19926</v>
      </c>
      <c r="N56" s="33">
        <v>20.3762</v>
      </c>
      <c r="O56" s="33">
        <v>55.8848</v>
      </c>
      <c r="P56" s="33">
        <v>21.3173</v>
      </c>
      <c r="Q56" s="33">
        <v>0.0159697</v>
      </c>
      <c r="R56" s="34">
        <v>85.2086</v>
      </c>
      <c r="S56" s="33">
        <v>0.936509</v>
      </c>
      <c r="T56" s="33">
        <v>4.99167</v>
      </c>
      <c r="U56" s="33">
        <v>18.0469</v>
      </c>
      <c r="V56" s="33">
        <v>56.6719</v>
      </c>
      <c r="W56" s="33">
        <v>16.2492</v>
      </c>
      <c r="X56" s="33">
        <v>3.10383</v>
      </c>
      <c r="Y56" s="34">
        <v>9.7678</v>
      </c>
      <c r="Z56" s="33">
        <v>0.0</v>
      </c>
      <c r="AA56" s="33">
        <v>99.5962</v>
      </c>
      <c r="AB56" s="33">
        <v>0.402665</v>
      </c>
      <c r="AC56" s="33">
        <v>0.00114069</v>
      </c>
      <c r="AD56" s="33">
        <v>0.0</v>
      </c>
      <c r="AE56" s="33">
        <v>0.0</v>
      </c>
      <c r="AF56" s="34">
        <v>0.44196</v>
      </c>
      <c r="AG56" s="33">
        <v>0.667305</v>
      </c>
      <c r="AH56" s="33">
        <v>4.1795</v>
      </c>
      <c r="AI56" s="33">
        <v>13.24</v>
      </c>
      <c r="AJ56" s="33">
        <v>27.2728</v>
      </c>
      <c r="AK56" s="33">
        <v>40.6315</v>
      </c>
      <c r="AL56" s="33">
        <v>14.0089</v>
      </c>
      <c r="AM56" s="34">
        <v>0.233779</v>
      </c>
      <c r="AN56" s="33">
        <v>0.224717</v>
      </c>
      <c r="AO56" s="33">
        <v>2.90078</v>
      </c>
      <c r="AP56" s="33">
        <v>38.2862</v>
      </c>
      <c r="AQ56" s="33">
        <v>49.327</v>
      </c>
      <c r="AR56" s="33">
        <v>7.33352</v>
      </c>
      <c r="AS56" s="33">
        <v>1.92777</v>
      </c>
      <c r="AT56" s="33">
        <v>545.902</v>
      </c>
      <c r="AU56" s="34">
        <v>573.947</v>
      </c>
      <c r="AV56" s="34">
        <v>23867.6</v>
      </c>
      <c r="AW56" s="34">
        <v>0.144585</v>
      </c>
      <c r="AX56" s="33">
        <v>0.0376429</v>
      </c>
      <c r="AY56" s="33">
        <v>0.107225</v>
      </c>
      <c r="AZ56" s="33">
        <v>0.188214</v>
      </c>
      <c r="BA56" s="33">
        <v>2.79242</v>
      </c>
      <c r="BB56" s="33">
        <v>74.0002</v>
      </c>
      <c r="BC56" s="33">
        <v>22.8743</v>
      </c>
      <c r="BD56" s="34">
        <v>35.5769</v>
      </c>
      <c r="BE56" s="33">
        <v>0.0</v>
      </c>
      <c r="BF56" s="33">
        <v>19.6165</v>
      </c>
      <c r="BG56" s="33">
        <v>69.6268</v>
      </c>
      <c r="BH56" s="33">
        <v>9.79513</v>
      </c>
      <c r="BI56" s="33">
        <v>0.730044</v>
      </c>
      <c r="BJ56" s="33">
        <v>0.231561</v>
      </c>
      <c r="BK56" s="33">
        <v>34.5888</v>
      </c>
      <c r="BL56" s="33">
        <v>87666.0</v>
      </c>
    </row>
    <row r="57" ht="15.75" customHeight="1">
      <c r="A57" s="33" t="s">
        <v>111</v>
      </c>
      <c r="B57" s="33" t="s">
        <v>61</v>
      </c>
      <c r="C57" s="34">
        <v>42600.8</v>
      </c>
      <c r="D57" s="33">
        <v>337.447</v>
      </c>
      <c r="E57" s="33">
        <v>91793.5</v>
      </c>
      <c r="F57" s="33">
        <v>27.2874</v>
      </c>
      <c r="G57" s="33">
        <v>65.5777</v>
      </c>
      <c r="H57" s="33">
        <v>1199.86</v>
      </c>
      <c r="I57" s="33">
        <v>426.934</v>
      </c>
      <c r="J57" s="34">
        <v>2.23175E7</v>
      </c>
      <c r="K57" s="34">
        <v>0.228053</v>
      </c>
      <c r="L57" s="33">
        <v>0.203884</v>
      </c>
      <c r="M57" s="33">
        <v>2.24381</v>
      </c>
      <c r="N57" s="33">
        <v>18.2263</v>
      </c>
      <c r="O57" s="33">
        <v>53.6672</v>
      </c>
      <c r="P57" s="33">
        <v>25.6348</v>
      </c>
      <c r="Q57" s="33">
        <v>0.0239863</v>
      </c>
      <c r="R57" s="34">
        <v>86.2841</v>
      </c>
      <c r="S57" s="33">
        <v>0.985619</v>
      </c>
      <c r="T57" s="33">
        <v>5.22574</v>
      </c>
      <c r="U57" s="33">
        <v>16.2605</v>
      </c>
      <c r="V57" s="33">
        <v>56.3242</v>
      </c>
      <c r="W57" s="33">
        <v>18.0421</v>
      </c>
      <c r="X57" s="33">
        <v>3.16183</v>
      </c>
      <c r="Y57" s="34">
        <v>9.80619</v>
      </c>
      <c r="Z57" s="33">
        <v>0.0</v>
      </c>
      <c r="AA57" s="33">
        <v>99.7623</v>
      </c>
      <c r="AB57" s="33">
        <v>0.237682</v>
      </c>
      <c r="AC57" s="33">
        <v>0.0</v>
      </c>
      <c r="AD57" s="33">
        <v>0.0</v>
      </c>
      <c r="AE57" s="33">
        <v>0.0</v>
      </c>
      <c r="AF57" s="34">
        <v>0.457456</v>
      </c>
      <c r="AG57" s="33">
        <v>0.715228</v>
      </c>
      <c r="AH57" s="33">
        <v>4.65661</v>
      </c>
      <c r="AI57" s="33">
        <v>11.9441</v>
      </c>
      <c r="AJ57" s="33">
        <v>22.7467</v>
      </c>
      <c r="AK57" s="33">
        <v>41.3709</v>
      </c>
      <c r="AL57" s="33">
        <v>18.5665</v>
      </c>
      <c r="AM57" s="34">
        <v>0.237137</v>
      </c>
      <c r="AN57" s="33">
        <v>0.259488</v>
      </c>
      <c r="AO57" s="33">
        <v>3.02773</v>
      </c>
      <c r="AP57" s="33">
        <v>37.7555</v>
      </c>
      <c r="AQ57" s="33">
        <v>48.3924</v>
      </c>
      <c r="AR57" s="33">
        <v>8.30253</v>
      </c>
      <c r="AS57" s="33">
        <v>2.26234</v>
      </c>
      <c r="AT57" s="33">
        <v>523.876</v>
      </c>
      <c r="AU57" s="34">
        <v>528.647</v>
      </c>
      <c r="AV57" s="34">
        <v>25048.1</v>
      </c>
      <c r="AW57" s="34">
        <v>0.144155</v>
      </c>
      <c r="AX57" s="33">
        <v>0.00981258</v>
      </c>
      <c r="AY57" s="33">
        <v>0.126473</v>
      </c>
      <c r="AZ57" s="33">
        <v>0.247495</v>
      </c>
      <c r="BA57" s="33">
        <v>2.90343</v>
      </c>
      <c r="BB57" s="33">
        <v>76.029</v>
      </c>
      <c r="BC57" s="33">
        <v>20.6838</v>
      </c>
      <c r="BD57" s="34">
        <v>36.6985</v>
      </c>
      <c r="BE57" s="33">
        <v>0.0</v>
      </c>
      <c r="BF57" s="33">
        <v>17.5634</v>
      </c>
      <c r="BG57" s="33">
        <v>69.5952</v>
      </c>
      <c r="BH57" s="33">
        <v>11.8634</v>
      </c>
      <c r="BI57" s="33">
        <v>0.79809</v>
      </c>
      <c r="BJ57" s="33">
        <v>0.179897</v>
      </c>
      <c r="BK57" s="33">
        <v>36.0539</v>
      </c>
      <c r="BL57" s="33">
        <v>91719.0</v>
      </c>
    </row>
    <row r="58" ht="15.75" customHeight="1">
      <c r="A58" s="33" t="s">
        <v>112</v>
      </c>
      <c r="B58" s="33" t="s">
        <v>61</v>
      </c>
      <c r="C58" s="34">
        <v>46272.7</v>
      </c>
      <c r="D58" s="33">
        <v>377.547</v>
      </c>
      <c r="E58" s="33">
        <v>87259.1</v>
      </c>
      <c r="F58" s="33">
        <v>30.2322</v>
      </c>
      <c r="G58" s="33">
        <v>58.4866</v>
      </c>
      <c r="H58" s="33">
        <v>1172.55</v>
      </c>
      <c r="I58" s="33">
        <v>469.196</v>
      </c>
      <c r="J58" s="34">
        <v>2.62465E7</v>
      </c>
      <c r="K58" s="34">
        <v>0.226497</v>
      </c>
      <c r="L58" s="33">
        <v>0.247243</v>
      </c>
      <c r="M58" s="33">
        <v>2.83261</v>
      </c>
      <c r="N58" s="33">
        <v>19.9392</v>
      </c>
      <c r="O58" s="33">
        <v>50.1282</v>
      </c>
      <c r="P58" s="33">
        <v>26.805</v>
      </c>
      <c r="Q58" s="33">
        <v>0.0478206</v>
      </c>
      <c r="R58" s="34">
        <v>89.2041</v>
      </c>
      <c r="S58" s="33">
        <v>1.25961</v>
      </c>
      <c r="T58" s="33">
        <v>4.67726</v>
      </c>
      <c r="U58" s="33">
        <v>13.984</v>
      </c>
      <c r="V58" s="33">
        <v>50.7539</v>
      </c>
      <c r="W58" s="33">
        <v>24.1891</v>
      </c>
      <c r="X58" s="33">
        <v>5.13614</v>
      </c>
      <c r="Y58" s="34">
        <v>9.47383</v>
      </c>
      <c r="Z58" s="33">
        <v>0.0</v>
      </c>
      <c r="AA58" s="33">
        <v>98.9245</v>
      </c>
      <c r="AB58" s="33">
        <v>0.796671</v>
      </c>
      <c r="AC58" s="33">
        <v>0.167881</v>
      </c>
      <c r="AD58" s="33">
        <v>0.110903</v>
      </c>
      <c r="AE58" s="33">
        <v>0.0</v>
      </c>
      <c r="AF58" s="34">
        <v>0.479612</v>
      </c>
      <c r="AG58" s="33">
        <v>1.18229</v>
      </c>
      <c r="AH58" s="33">
        <v>4.47886</v>
      </c>
      <c r="AI58" s="33">
        <v>10.5582</v>
      </c>
      <c r="AJ58" s="33">
        <v>18.9583</v>
      </c>
      <c r="AK58" s="33">
        <v>35.0606</v>
      </c>
      <c r="AL58" s="33">
        <v>29.7617</v>
      </c>
      <c r="AM58" s="34">
        <v>0.206222</v>
      </c>
      <c r="AN58" s="33">
        <v>0.630825</v>
      </c>
      <c r="AO58" s="33">
        <v>4.90416</v>
      </c>
      <c r="AP58" s="33">
        <v>43.7965</v>
      </c>
      <c r="AQ58" s="33">
        <v>43.7731</v>
      </c>
      <c r="AR58" s="33">
        <v>5.59603</v>
      </c>
      <c r="AS58" s="33">
        <v>1.2993</v>
      </c>
      <c r="AT58" s="33">
        <v>567.214</v>
      </c>
      <c r="AU58" s="34">
        <v>595.409</v>
      </c>
      <c r="AV58" s="34">
        <v>26380.3</v>
      </c>
      <c r="AW58" s="34">
        <v>0.115729</v>
      </c>
      <c r="AX58" s="33">
        <v>0.110903</v>
      </c>
      <c r="AY58" s="33">
        <v>0.281836</v>
      </c>
      <c r="AZ58" s="33">
        <v>0.678646</v>
      </c>
      <c r="BA58" s="33">
        <v>4.45851</v>
      </c>
      <c r="BB58" s="33">
        <v>78.6995</v>
      </c>
      <c r="BC58" s="33">
        <v>15.7706</v>
      </c>
      <c r="BD58" s="34">
        <v>35.0581</v>
      </c>
      <c r="BE58" s="33">
        <v>0.0</v>
      </c>
      <c r="BF58" s="33">
        <v>21.1967</v>
      </c>
      <c r="BG58" s="33">
        <v>67.9775</v>
      </c>
      <c r="BH58" s="33">
        <v>9.96602</v>
      </c>
      <c r="BI58" s="33">
        <v>0.592161</v>
      </c>
      <c r="BJ58" s="33">
        <v>0.267592</v>
      </c>
      <c r="BK58" s="33">
        <v>34.7981</v>
      </c>
      <c r="BL58" s="33">
        <v>98284.0</v>
      </c>
    </row>
    <row r="59" ht="15.75" customHeight="1">
      <c r="A59" s="33" t="s">
        <v>112</v>
      </c>
      <c r="B59" s="33" t="s">
        <v>61</v>
      </c>
      <c r="C59" s="34">
        <v>39313.4</v>
      </c>
      <c r="D59" s="33">
        <v>411.129</v>
      </c>
      <c r="E59" s="33">
        <v>82576.8</v>
      </c>
      <c r="F59" s="33">
        <v>26.7724</v>
      </c>
      <c r="G59" s="33">
        <v>79.8831</v>
      </c>
      <c r="H59" s="33">
        <v>1151.18</v>
      </c>
      <c r="I59" s="33">
        <v>400.362</v>
      </c>
      <c r="J59" s="34">
        <v>2.11958E7</v>
      </c>
      <c r="K59" s="34">
        <v>0.21872</v>
      </c>
      <c r="L59" s="33">
        <v>0.241238</v>
      </c>
      <c r="M59" s="33">
        <v>3.05073</v>
      </c>
      <c r="N59" s="33">
        <v>20.1168</v>
      </c>
      <c r="O59" s="33">
        <v>53.8592</v>
      </c>
      <c r="P59" s="33">
        <v>22.7085</v>
      </c>
      <c r="Q59" s="33">
        <v>0.0235053</v>
      </c>
      <c r="R59" s="34">
        <v>87.1531</v>
      </c>
      <c r="S59" s="33">
        <v>1.16289</v>
      </c>
      <c r="T59" s="33">
        <v>4.38064</v>
      </c>
      <c r="U59" s="33">
        <v>15.4405</v>
      </c>
      <c r="V59" s="33">
        <v>55.2806</v>
      </c>
      <c r="W59" s="33">
        <v>19.1889</v>
      </c>
      <c r="X59" s="33">
        <v>4.54641</v>
      </c>
      <c r="Y59" s="34">
        <v>9.36114</v>
      </c>
      <c r="Z59" s="33">
        <v>0.0</v>
      </c>
      <c r="AA59" s="33">
        <v>99.8775</v>
      </c>
      <c r="AB59" s="33">
        <v>0.122475</v>
      </c>
      <c r="AC59" s="33">
        <v>0.0</v>
      </c>
      <c r="AD59" s="33">
        <v>0.0</v>
      </c>
      <c r="AE59" s="33">
        <v>0.0</v>
      </c>
      <c r="AF59" s="34">
        <v>0.452667</v>
      </c>
      <c r="AG59" s="33">
        <v>0.587631</v>
      </c>
      <c r="AH59" s="33">
        <v>4.76043</v>
      </c>
      <c r="AI59" s="33">
        <v>12.3155</v>
      </c>
      <c r="AJ59" s="33">
        <v>25.7543</v>
      </c>
      <c r="AK59" s="33">
        <v>37.1173</v>
      </c>
      <c r="AL59" s="33">
        <v>19.4648</v>
      </c>
      <c r="AM59" s="34">
        <v>0.215629</v>
      </c>
      <c r="AN59" s="33">
        <v>0.581446</v>
      </c>
      <c r="AO59" s="33">
        <v>3.90311</v>
      </c>
      <c r="AP59" s="33">
        <v>42.0868</v>
      </c>
      <c r="AQ59" s="33">
        <v>45.8204</v>
      </c>
      <c r="AR59" s="33">
        <v>6.10147</v>
      </c>
      <c r="AS59" s="33">
        <v>1.50681</v>
      </c>
      <c r="AT59" s="33">
        <v>539.151</v>
      </c>
      <c r="AU59" s="34">
        <v>562.409</v>
      </c>
      <c r="AV59" s="34">
        <v>22107.8</v>
      </c>
      <c r="AW59" s="34">
        <v>0.127721</v>
      </c>
      <c r="AX59" s="33">
        <v>0.0853612</v>
      </c>
      <c r="AY59" s="33">
        <v>0.237527</v>
      </c>
      <c r="AZ59" s="33">
        <v>0.405775</v>
      </c>
      <c r="BA59" s="33">
        <v>3.75589</v>
      </c>
      <c r="BB59" s="33">
        <v>76.5071</v>
      </c>
      <c r="BC59" s="33">
        <v>19.0083</v>
      </c>
      <c r="BD59" s="34">
        <v>34.6958</v>
      </c>
      <c r="BE59" s="33">
        <v>0.0</v>
      </c>
      <c r="BF59" s="33">
        <v>22.017</v>
      </c>
      <c r="BG59" s="33">
        <v>67.7236</v>
      </c>
      <c r="BH59" s="33">
        <v>9.52952</v>
      </c>
      <c r="BI59" s="33">
        <v>0.541858</v>
      </c>
      <c r="BJ59" s="33">
        <v>0.188042</v>
      </c>
      <c r="BK59" s="33">
        <v>34.2533</v>
      </c>
      <c r="BL59" s="33">
        <v>80833.0</v>
      </c>
    </row>
    <row r="60" ht="15.75" customHeight="1">
      <c r="A60" s="33" t="s">
        <v>112</v>
      </c>
      <c r="B60" s="33" t="s">
        <v>61</v>
      </c>
      <c r="C60" s="34">
        <v>40165.1</v>
      </c>
      <c r="D60" s="33">
        <v>409.566</v>
      </c>
      <c r="E60" s="33">
        <v>78526.4</v>
      </c>
      <c r="F60" s="33">
        <v>28.8783</v>
      </c>
      <c r="G60" s="33">
        <v>78.1622</v>
      </c>
      <c r="H60" s="33">
        <v>1052.54</v>
      </c>
      <c r="I60" s="33">
        <v>382.368</v>
      </c>
      <c r="J60" s="34">
        <v>2.51947E7</v>
      </c>
      <c r="K60" s="34">
        <v>0.23245</v>
      </c>
      <c r="L60" s="33">
        <v>0.164105</v>
      </c>
      <c r="M60" s="33">
        <v>2.63048</v>
      </c>
      <c r="N60" s="33">
        <v>18.3546</v>
      </c>
      <c r="O60" s="33">
        <v>50.2258</v>
      </c>
      <c r="P60" s="33">
        <v>28.5843</v>
      </c>
      <c r="Q60" s="33">
        <v>0.0407269</v>
      </c>
      <c r="R60" s="34">
        <v>87.7663</v>
      </c>
      <c r="S60" s="33">
        <v>1.18587</v>
      </c>
      <c r="T60" s="33">
        <v>4.7315</v>
      </c>
      <c r="U60" s="33">
        <v>15.1827</v>
      </c>
      <c r="V60" s="33">
        <v>53.2168</v>
      </c>
      <c r="W60" s="33">
        <v>21.7134</v>
      </c>
      <c r="X60" s="33">
        <v>3.96967</v>
      </c>
      <c r="Y60" s="34">
        <v>8.99199</v>
      </c>
      <c r="Z60" s="33">
        <v>0.0</v>
      </c>
      <c r="AA60" s="33">
        <v>99.3232</v>
      </c>
      <c r="AB60" s="33">
        <v>0.571374</v>
      </c>
      <c r="AC60" s="33">
        <v>0.0694752</v>
      </c>
      <c r="AD60" s="33">
        <v>0.0359355</v>
      </c>
      <c r="AE60" s="33">
        <v>0.0</v>
      </c>
      <c r="AF60" s="34">
        <v>0.475511</v>
      </c>
      <c r="AG60" s="33">
        <v>1.04213</v>
      </c>
      <c r="AH60" s="33">
        <v>4.31585</v>
      </c>
      <c r="AI60" s="33">
        <v>11.1436</v>
      </c>
      <c r="AJ60" s="33">
        <v>20.2975</v>
      </c>
      <c r="AK60" s="33">
        <v>34.758</v>
      </c>
      <c r="AL60" s="33">
        <v>28.4429</v>
      </c>
      <c r="AM60" s="34">
        <v>0.22511</v>
      </c>
      <c r="AN60" s="33">
        <v>0.389301</v>
      </c>
      <c r="AO60" s="33">
        <v>3.76604</v>
      </c>
      <c r="AP60" s="33">
        <v>39.2295</v>
      </c>
      <c r="AQ60" s="33">
        <v>47.3833</v>
      </c>
      <c r="AR60" s="33">
        <v>7.94174</v>
      </c>
      <c r="AS60" s="33">
        <v>1.29008</v>
      </c>
      <c r="AT60" s="33">
        <v>627.279</v>
      </c>
      <c r="AU60" s="34">
        <v>644.909</v>
      </c>
      <c r="AV60" s="34">
        <v>22677.0</v>
      </c>
      <c r="AW60" s="34">
        <v>0.130179</v>
      </c>
      <c r="AX60" s="33">
        <v>0.0850473</v>
      </c>
      <c r="AY60" s="33">
        <v>0.137753</v>
      </c>
      <c r="AZ60" s="33">
        <v>0.391697</v>
      </c>
      <c r="BA60" s="33">
        <v>3.54084</v>
      </c>
      <c r="BB60" s="33">
        <v>77.7272</v>
      </c>
      <c r="BC60" s="33">
        <v>18.1175</v>
      </c>
      <c r="BD60" s="34">
        <v>36.3938</v>
      </c>
      <c r="BE60" s="33">
        <v>0.0</v>
      </c>
      <c r="BF60" s="33">
        <v>18.2037</v>
      </c>
      <c r="BG60" s="33">
        <v>68.4223</v>
      </c>
      <c r="BH60" s="33">
        <v>12.7643</v>
      </c>
      <c r="BI60" s="33">
        <v>0.444402</v>
      </c>
      <c r="BJ60" s="33">
        <v>0.165303</v>
      </c>
      <c r="BK60" s="33">
        <v>34.4102</v>
      </c>
      <c r="BL60" s="33">
        <v>83483.0</v>
      </c>
    </row>
    <row r="61" ht="15.75" customHeight="1">
      <c r="A61" s="33" t="s">
        <v>112</v>
      </c>
      <c r="B61" s="33" t="s">
        <v>61</v>
      </c>
      <c r="C61" s="34">
        <v>40911.1</v>
      </c>
      <c r="D61" s="33">
        <v>345.62</v>
      </c>
      <c r="E61" s="33">
        <v>69082.6</v>
      </c>
      <c r="F61" s="33">
        <v>33.0452</v>
      </c>
      <c r="G61" s="33">
        <v>83.6074</v>
      </c>
      <c r="H61" s="33">
        <v>972.918</v>
      </c>
      <c r="I61" s="33">
        <v>336.482</v>
      </c>
      <c r="J61" s="34">
        <v>2.37893E7</v>
      </c>
      <c r="K61" s="34">
        <v>0.236233</v>
      </c>
      <c r="L61" s="33">
        <v>0.158954</v>
      </c>
      <c r="M61" s="33">
        <v>2.18062</v>
      </c>
      <c r="N61" s="33">
        <v>16.7408</v>
      </c>
      <c r="O61" s="33">
        <v>52.2218</v>
      </c>
      <c r="P61" s="33">
        <v>28.6695</v>
      </c>
      <c r="Q61" s="33">
        <v>0.0282586</v>
      </c>
      <c r="R61" s="34">
        <v>90.0232</v>
      </c>
      <c r="S61" s="33">
        <v>0.819498</v>
      </c>
      <c r="T61" s="33">
        <v>3.62887</v>
      </c>
      <c r="U61" s="33">
        <v>12.9695</v>
      </c>
      <c r="V61" s="33">
        <v>52.3961</v>
      </c>
      <c r="W61" s="33">
        <v>26.503</v>
      </c>
      <c r="X61" s="33">
        <v>3.68303</v>
      </c>
      <c r="Y61" s="34">
        <v>8.5513</v>
      </c>
      <c r="Z61" s="33">
        <v>0.0</v>
      </c>
      <c r="AA61" s="33">
        <v>99.748</v>
      </c>
      <c r="AB61" s="33">
        <v>0.251972</v>
      </c>
      <c r="AC61" s="33">
        <v>0.0</v>
      </c>
      <c r="AD61" s="33">
        <v>0.0</v>
      </c>
      <c r="AE61" s="33">
        <v>0.0</v>
      </c>
      <c r="AF61" s="34">
        <v>0.497303</v>
      </c>
      <c r="AG61" s="33">
        <v>0.383846</v>
      </c>
      <c r="AH61" s="33">
        <v>3.39692</v>
      </c>
      <c r="AI61" s="33">
        <v>9.58319</v>
      </c>
      <c r="AJ61" s="33">
        <v>19.0333</v>
      </c>
      <c r="AK61" s="33">
        <v>34.3106</v>
      </c>
      <c r="AL61" s="33">
        <v>33.2921</v>
      </c>
      <c r="AM61" s="34">
        <v>0.207296</v>
      </c>
      <c r="AN61" s="33">
        <v>0.194278</v>
      </c>
      <c r="AO61" s="33">
        <v>3.71247</v>
      </c>
      <c r="AP61" s="33">
        <v>46.3676</v>
      </c>
      <c r="AQ61" s="33">
        <v>43.1803</v>
      </c>
      <c r="AR61" s="33">
        <v>5.44684</v>
      </c>
      <c r="AS61" s="33">
        <v>1.09855</v>
      </c>
      <c r="AT61" s="33">
        <v>581.487</v>
      </c>
      <c r="AU61" s="34">
        <v>594.209</v>
      </c>
      <c r="AV61" s="34">
        <v>22828.5</v>
      </c>
      <c r="AW61" s="34">
        <v>0.114339</v>
      </c>
      <c r="AX61" s="33">
        <v>0.010597</v>
      </c>
      <c r="AY61" s="33">
        <v>0.0671141</v>
      </c>
      <c r="AZ61" s="33">
        <v>0.223714</v>
      </c>
      <c r="BA61" s="33">
        <v>3.60532</v>
      </c>
      <c r="BB61" s="33">
        <v>82.13</v>
      </c>
      <c r="BC61" s="33">
        <v>13.9633</v>
      </c>
      <c r="BD61" s="34">
        <v>35.4142</v>
      </c>
      <c r="BE61" s="33">
        <v>0.0</v>
      </c>
      <c r="BF61" s="33">
        <v>18.8897</v>
      </c>
      <c r="BG61" s="33">
        <v>70.7571</v>
      </c>
      <c r="BH61" s="33">
        <v>9.80101</v>
      </c>
      <c r="BI61" s="33">
        <v>0.412104</v>
      </c>
      <c r="BJ61" s="33">
        <v>0.140115</v>
      </c>
      <c r="BK61" s="33">
        <v>33.953</v>
      </c>
      <c r="BL61" s="33">
        <v>84930.0</v>
      </c>
    </row>
    <row r="62" ht="15.75" customHeight="1">
      <c r="A62" s="33" t="s">
        <v>113</v>
      </c>
      <c r="B62" s="33" t="s">
        <v>61</v>
      </c>
      <c r="C62" s="34">
        <v>38007.7</v>
      </c>
      <c r="D62" s="33">
        <v>393.349</v>
      </c>
      <c r="E62" s="33">
        <v>58810.2</v>
      </c>
      <c r="F62" s="33">
        <v>37.5935</v>
      </c>
      <c r="G62" s="33">
        <v>66.2628</v>
      </c>
      <c r="H62" s="33">
        <v>960.452</v>
      </c>
      <c r="I62" s="33">
        <v>349.629</v>
      </c>
      <c r="J62" s="34">
        <v>2.1839E7</v>
      </c>
      <c r="K62" s="34">
        <v>0.228383</v>
      </c>
      <c r="L62" s="33">
        <v>0.152295</v>
      </c>
      <c r="M62" s="33">
        <v>2.11002</v>
      </c>
      <c r="N62" s="33">
        <v>18.1206</v>
      </c>
      <c r="O62" s="33">
        <v>54.8925</v>
      </c>
      <c r="P62" s="33">
        <v>24.6926</v>
      </c>
      <c r="Q62" s="33">
        <v>0.0319328</v>
      </c>
      <c r="R62" s="34">
        <v>87.4616</v>
      </c>
      <c r="S62" s="33">
        <v>0.837622</v>
      </c>
      <c r="T62" s="33">
        <v>4.33058</v>
      </c>
      <c r="U62" s="33">
        <v>15.803</v>
      </c>
      <c r="V62" s="33">
        <v>55.579</v>
      </c>
      <c r="W62" s="33">
        <v>19.9948</v>
      </c>
      <c r="X62" s="33">
        <v>3.45488</v>
      </c>
      <c r="Y62" s="34">
        <v>9.96755</v>
      </c>
      <c r="Z62" s="33">
        <v>0.0</v>
      </c>
      <c r="AA62" s="33">
        <v>99.1796</v>
      </c>
      <c r="AB62" s="33">
        <v>0.664448</v>
      </c>
      <c r="AC62" s="33">
        <v>0.0957984</v>
      </c>
      <c r="AD62" s="33">
        <v>0.060181</v>
      </c>
      <c r="AE62" s="33">
        <v>0.0</v>
      </c>
      <c r="AF62" s="34">
        <v>0.461294</v>
      </c>
      <c r="AG62" s="33">
        <v>0.863414</v>
      </c>
      <c r="AH62" s="33">
        <v>4.01739</v>
      </c>
      <c r="AI62" s="33">
        <v>11.6063</v>
      </c>
      <c r="AJ62" s="33">
        <v>23.1058</v>
      </c>
      <c r="AK62" s="33">
        <v>39.9307</v>
      </c>
      <c r="AL62" s="33">
        <v>20.4763</v>
      </c>
      <c r="AM62" s="34">
        <v>0.221224</v>
      </c>
      <c r="AN62" s="33">
        <v>0.492502</v>
      </c>
      <c r="AO62" s="33">
        <v>3.21047</v>
      </c>
      <c r="AP62" s="33">
        <v>39.8079</v>
      </c>
      <c r="AQ62" s="33">
        <v>48.9935</v>
      </c>
      <c r="AR62" s="33">
        <v>6.43937</v>
      </c>
      <c r="AS62" s="33">
        <v>1.05624</v>
      </c>
      <c r="AT62" s="33">
        <v>574.595</v>
      </c>
      <c r="AU62" s="34">
        <v>586.862</v>
      </c>
      <c r="AV62" s="34">
        <v>22108.8</v>
      </c>
      <c r="AW62" s="34">
        <v>0.133743</v>
      </c>
      <c r="AX62" s="33">
        <v>0.0405301</v>
      </c>
      <c r="AY62" s="33">
        <v>0.257919</v>
      </c>
      <c r="AZ62" s="33">
        <v>0.438462</v>
      </c>
      <c r="BA62" s="33">
        <v>2.96607</v>
      </c>
      <c r="BB62" s="33">
        <v>77.4469</v>
      </c>
      <c r="BC62" s="33">
        <v>18.8502</v>
      </c>
      <c r="BD62" s="34">
        <v>35.6641</v>
      </c>
      <c r="BE62" s="33">
        <v>0.0</v>
      </c>
      <c r="BF62" s="33">
        <v>17.5913</v>
      </c>
      <c r="BG62" s="33">
        <v>72.8547</v>
      </c>
      <c r="BH62" s="33">
        <v>8.98908</v>
      </c>
      <c r="BI62" s="33">
        <v>0.389334</v>
      </c>
      <c r="BJ62" s="33">
        <v>0.17563</v>
      </c>
      <c r="BK62" s="33">
        <v>35.6058</v>
      </c>
      <c r="BL62" s="33">
        <v>81421.0</v>
      </c>
    </row>
    <row r="63" ht="15.75" customHeight="1">
      <c r="A63" s="33" t="s">
        <v>113</v>
      </c>
      <c r="B63" s="33" t="s">
        <v>61</v>
      </c>
      <c r="C63" s="34">
        <v>47842.1</v>
      </c>
      <c r="D63" s="33">
        <v>377.93</v>
      </c>
      <c r="E63" s="33">
        <v>92797.9</v>
      </c>
      <c r="F63" s="33">
        <v>30.8956</v>
      </c>
      <c r="G63" s="33">
        <v>68.4321</v>
      </c>
      <c r="H63" s="33">
        <v>1196.56</v>
      </c>
      <c r="I63" s="33">
        <v>424.845</v>
      </c>
      <c r="J63" s="34">
        <v>2.78354E7</v>
      </c>
      <c r="K63" s="34">
        <v>0.245614</v>
      </c>
      <c r="L63" s="33">
        <v>0.301467</v>
      </c>
      <c r="M63" s="33">
        <v>2.06389</v>
      </c>
      <c r="N63" s="33">
        <v>14.9912</v>
      </c>
      <c r="O63" s="33">
        <v>50.2145</v>
      </c>
      <c r="P63" s="33">
        <v>32.2888</v>
      </c>
      <c r="Q63" s="33">
        <v>0.140105</v>
      </c>
      <c r="R63" s="34">
        <v>91.1199</v>
      </c>
      <c r="S63" s="33">
        <v>0.848358</v>
      </c>
      <c r="T63" s="33">
        <v>3.41662</v>
      </c>
      <c r="U63" s="33">
        <v>11.6741</v>
      </c>
      <c r="V63" s="33">
        <v>52.205</v>
      </c>
      <c r="W63" s="33">
        <v>27.9446</v>
      </c>
      <c r="X63" s="33">
        <v>3.91134</v>
      </c>
      <c r="Y63" s="34">
        <v>8.32578</v>
      </c>
      <c r="Z63" s="33">
        <v>0.0</v>
      </c>
      <c r="AA63" s="33">
        <v>99.7159</v>
      </c>
      <c r="AB63" s="33">
        <v>0.284074</v>
      </c>
      <c r="AC63" s="33">
        <v>0.0</v>
      </c>
      <c r="AD63" s="33">
        <v>0.0</v>
      </c>
      <c r="AE63" s="33">
        <v>0.0</v>
      </c>
      <c r="AF63" s="34">
        <v>0.517513</v>
      </c>
      <c r="AG63" s="33">
        <v>0.501478</v>
      </c>
      <c r="AH63" s="33">
        <v>2.88616</v>
      </c>
      <c r="AI63" s="33">
        <v>7.20815</v>
      </c>
      <c r="AJ63" s="33">
        <v>15.6608</v>
      </c>
      <c r="AK63" s="33">
        <v>36.7818</v>
      </c>
      <c r="AL63" s="33">
        <v>36.9616</v>
      </c>
      <c r="AM63" s="34">
        <v>0.21445</v>
      </c>
      <c r="AN63" s="33">
        <v>0.594237</v>
      </c>
      <c r="AO63" s="33">
        <v>3.69007</v>
      </c>
      <c r="AP63" s="33">
        <v>44.9118</v>
      </c>
      <c r="AQ63" s="33">
        <v>42.1831</v>
      </c>
      <c r="AR63" s="33">
        <v>6.68928</v>
      </c>
      <c r="AS63" s="33">
        <v>1.93151</v>
      </c>
      <c r="AT63" s="33">
        <v>581.819</v>
      </c>
      <c r="AU63" s="34">
        <v>596.462</v>
      </c>
      <c r="AV63" s="34">
        <v>28670.5</v>
      </c>
      <c r="AW63" s="34">
        <v>0.109448</v>
      </c>
      <c r="AX63" s="33">
        <v>0.0753667</v>
      </c>
      <c r="AY63" s="33">
        <v>0.220303</v>
      </c>
      <c r="AZ63" s="33">
        <v>0.373935</v>
      </c>
      <c r="BA63" s="33">
        <v>3.6147</v>
      </c>
      <c r="BB63" s="33">
        <v>83.63</v>
      </c>
      <c r="BC63" s="33">
        <v>12.0857</v>
      </c>
      <c r="BD63" s="34">
        <v>37.0588</v>
      </c>
      <c r="BE63" s="33">
        <v>0.0</v>
      </c>
      <c r="BF63" s="33">
        <v>17.0541</v>
      </c>
      <c r="BG63" s="33">
        <v>68.8639</v>
      </c>
      <c r="BH63" s="33">
        <v>12.7679</v>
      </c>
      <c r="BI63" s="33">
        <v>0.844493</v>
      </c>
      <c r="BJ63" s="33">
        <v>0.469592</v>
      </c>
      <c r="BK63" s="33">
        <v>36.8639</v>
      </c>
      <c r="BL63" s="33">
        <v>103494.0</v>
      </c>
    </row>
    <row r="64" ht="15.75" customHeight="1">
      <c r="A64" s="33" t="s">
        <v>113</v>
      </c>
      <c r="B64" s="33" t="s">
        <v>61</v>
      </c>
      <c r="C64" s="34">
        <v>38998.4</v>
      </c>
      <c r="D64" s="33">
        <v>355.155</v>
      </c>
      <c r="E64" s="33">
        <v>73808.1</v>
      </c>
      <c r="F64" s="33">
        <v>29.2896</v>
      </c>
      <c r="G64" s="33">
        <v>87.2951</v>
      </c>
      <c r="H64" s="33">
        <v>1075.77</v>
      </c>
      <c r="I64" s="33">
        <v>357.617</v>
      </c>
      <c r="J64" s="34">
        <v>2.12432E7</v>
      </c>
      <c r="K64" s="34">
        <v>0.223495</v>
      </c>
      <c r="L64" s="33">
        <v>0.271473</v>
      </c>
      <c r="M64" s="33">
        <v>2.5903</v>
      </c>
      <c r="N64" s="33">
        <v>20.1443</v>
      </c>
      <c r="O64" s="33">
        <v>51.8965</v>
      </c>
      <c r="P64" s="33">
        <v>25.0786</v>
      </c>
      <c r="Q64" s="33">
        <v>0.0188523</v>
      </c>
      <c r="R64" s="34">
        <v>87.1409</v>
      </c>
      <c r="S64" s="33">
        <v>1.0884</v>
      </c>
      <c r="T64" s="33">
        <v>5.06498</v>
      </c>
      <c r="U64" s="33">
        <v>15.5908</v>
      </c>
      <c r="V64" s="33">
        <v>53.3632</v>
      </c>
      <c r="W64" s="33">
        <v>21.063</v>
      </c>
      <c r="X64" s="33">
        <v>3.82953</v>
      </c>
      <c r="Y64" s="34">
        <v>9.22029</v>
      </c>
      <c r="Z64" s="33">
        <v>0.0</v>
      </c>
      <c r="AA64" s="33">
        <v>99.7323</v>
      </c>
      <c r="AB64" s="33">
        <v>0.267702</v>
      </c>
      <c r="AC64" s="33">
        <v>0.0</v>
      </c>
      <c r="AD64" s="33">
        <v>0.0</v>
      </c>
      <c r="AE64" s="33">
        <v>0.0</v>
      </c>
      <c r="AF64" s="34">
        <v>0.458368</v>
      </c>
      <c r="AG64" s="33">
        <v>1.13993</v>
      </c>
      <c r="AH64" s="33">
        <v>4.66154</v>
      </c>
      <c r="AI64" s="33">
        <v>11.7651</v>
      </c>
      <c r="AJ64" s="33">
        <v>23.3504</v>
      </c>
      <c r="AK64" s="33">
        <v>36.6677</v>
      </c>
      <c r="AL64" s="33">
        <v>22.4154</v>
      </c>
      <c r="AM64" s="34">
        <v>0.219432</v>
      </c>
      <c r="AN64" s="33">
        <v>0.407209</v>
      </c>
      <c r="AO64" s="33">
        <v>3.47385</v>
      </c>
      <c r="AP64" s="33">
        <v>41.8797</v>
      </c>
      <c r="AQ64" s="33">
        <v>46.1843</v>
      </c>
      <c r="AR64" s="33">
        <v>6.53671</v>
      </c>
      <c r="AS64" s="33">
        <v>1.51824</v>
      </c>
      <c r="AT64" s="33">
        <v>544.72</v>
      </c>
      <c r="AU64" s="34">
        <v>567.062</v>
      </c>
      <c r="AV64" s="34">
        <v>21618.1</v>
      </c>
      <c r="AW64" s="34">
        <v>0.132047</v>
      </c>
      <c r="AX64" s="33">
        <v>0.135736</v>
      </c>
      <c r="AY64" s="33">
        <v>0.113114</v>
      </c>
      <c r="AZ64" s="33">
        <v>0.286555</v>
      </c>
      <c r="BA64" s="33">
        <v>3.34565</v>
      </c>
      <c r="BB64" s="33">
        <v>77.459</v>
      </c>
      <c r="BC64" s="33">
        <v>18.66</v>
      </c>
      <c r="BD64" s="34">
        <v>35.3865</v>
      </c>
      <c r="BE64" s="33">
        <v>0.0</v>
      </c>
      <c r="BF64" s="33">
        <v>20.4359</v>
      </c>
      <c r="BG64" s="33">
        <v>68.7492</v>
      </c>
      <c r="BH64" s="33">
        <v>10.0319</v>
      </c>
      <c r="BI64" s="33">
        <v>0.565568</v>
      </c>
      <c r="BJ64" s="33">
        <v>0.21743</v>
      </c>
      <c r="BK64" s="33">
        <v>33.6983</v>
      </c>
      <c r="BL64" s="33">
        <v>79566.0</v>
      </c>
    </row>
    <row r="65" ht="15.75" customHeight="1">
      <c r="A65" s="33" t="s">
        <v>113</v>
      </c>
      <c r="B65" s="33" t="s">
        <v>61</v>
      </c>
      <c r="C65" s="34">
        <v>39884.1</v>
      </c>
      <c r="D65" s="33">
        <v>333.662</v>
      </c>
      <c r="E65" s="33">
        <v>75907.2</v>
      </c>
      <c r="F65" s="33">
        <v>29.2232</v>
      </c>
      <c r="G65" s="33">
        <v>68.5939</v>
      </c>
      <c r="H65" s="33">
        <v>1079.85</v>
      </c>
      <c r="I65" s="33">
        <v>396.707</v>
      </c>
      <c r="J65" s="34">
        <v>1.97731E7</v>
      </c>
      <c r="K65" s="34">
        <v>0.224709</v>
      </c>
      <c r="L65" s="33">
        <v>0.328915</v>
      </c>
      <c r="M65" s="33">
        <v>2.74218</v>
      </c>
      <c r="N65" s="33">
        <v>19.3244</v>
      </c>
      <c r="O65" s="33">
        <v>52.423</v>
      </c>
      <c r="P65" s="33">
        <v>25.1364</v>
      </c>
      <c r="Q65" s="33">
        <v>0.0450736</v>
      </c>
      <c r="R65" s="34">
        <v>87.2194</v>
      </c>
      <c r="S65" s="33">
        <v>1.20846</v>
      </c>
      <c r="T65" s="33">
        <v>5.15544</v>
      </c>
      <c r="U65" s="33">
        <v>15.6771</v>
      </c>
      <c r="V65" s="33">
        <v>51.2401</v>
      </c>
      <c r="W65" s="33">
        <v>22.6732</v>
      </c>
      <c r="X65" s="33">
        <v>4.04566</v>
      </c>
      <c r="Y65" s="34">
        <v>8.68876</v>
      </c>
      <c r="Z65" s="33">
        <v>0.0</v>
      </c>
      <c r="AA65" s="33">
        <v>99.7247</v>
      </c>
      <c r="AB65" s="33">
        <v>0.275314</v>
      </c>
      <c r="AC65" s="33">
        <v>0.0</v>
      </c>
      <c r="AD65" s="33">
        <v>0.0</v>
      </c>
      <c r="AE65" s="33">
        <v>0.0</v>
      </c>
      <c r="AF65" s="34">
        <v>0.47197</v>
      </c>
      <c r="AG65" s="33">
        <v>0.911217</v>
      </c>
      <c r="AH65" s="33">
        <v>5.01779</v>
      </c>
      <c r="AI65" s="33">
        <v>10.4449</v>
      </c>
      <c r="AJ65" s="33">
        <v>21.9058</v>
      </c>
      <c r="AK65" s="33">
        <v>35.1038</v>
      </c>
      <c r="AL65" s="33">
        <v>26.6166</v>
      </c>
      <c r="AM65" s="34">
        <v>0.222139</v>
      </c>
      <c r="AN65" s="33">
        <v>0.246077</v>
      </c>
      <c r="AO65" s="33">
        <v>3.94089</v>
      </c>
      <c r="AP65" s="33">
        <v>42.6567</v>
      </c>
      <c r="AQ65" s="33">
        <v>43.4351</v>
      </c>
      <c r="AR65" s="33">
        <v>7.64058</v>
      </c>
      <c r="AS65" s="33">
        <v>2.08069</v>
      </c>
      <c r="AT65" s="33">
        <v>495.763</v>
      </c>
      <c r="AU65" s="34">
        <v>510.112</v>
      </c>
      <c r="AV65" s="34">
        <v>22182.5</v>
      </c>
      <c r="AW65" s="34">
        <v>0.130718</v>
      </c>
      <c r="AX65" s="33">
        <v>0.0389826</v>
      </c>
      <c r="AY65" s="33">
        <v>0.0633467</v>
      </c>
      <c r="AZ65" s="33">
        <v>0.218059</v>
      </c>
      <c r="BA65" s="33">
        <v>3.86658</v>
      </c>
      <c r="BB65" s="33">
        <v>77.8214</v>
      </c>
      <c r="BC65" s="33">
        <v>17.9917</v>
      </c>
      <c r="BD65" s="34">
        <v>35.7074</v>
      </c>
      <c r="BE65" s="33">
        <v>0.0</v>
      </c>
      <c r="BF65" s="33">
        <v>20.4683</v>
      </c>
      <c r="BG65" s="33">
        <v>66.6943</v>
      </c>
      <c r="BH65" s="33">
        <v>11.7277</v>
      </c>
      <c r="BI65" s="33">
        <v>0.790615</v>
      </c>
      <c r="BJ65" s="33">
        <v>0.31917</v>
      </c>
      <c r="BK65" s="33">
        <v>33.8258</v>
      </c>
      <c r="BL65" s="33">
        <v>82088.0</v>
      </c>
    </row>
    <row r="66" ht="15.75" customHeight="1">
      <c r="A66" s="33" t="s">
        <v>94</v>
      </c>
      <c r="B66" s="33" t="s">
        <v>62</v>
      </c>
      <c r="C66" s="34">
        <v>35171.8</v>
      </c>
      <c r="D66" s="33">
        <v>378.354</v>
      </c>
      <c r="E66" s="33">
        <v>79403.4</v>
      </c>
      <c r="F66" s="33">
        <v>25.4979</v>
      </c>
      <c r="G66" s="33">
        <v>83.5059</v>
      </c>
      <c r="H66" s="33">
        <v>1076.8</v>
      </c>
      <c r="I66" s="33">
        <v>376.782</v>
      </c>
      <c r="J66" s="34">
        <v>1.92418E7</v>
      </c>
      <c r="K66" s="34">
        <v>0.223174</v>
      </c>
      <c r="L66" s="33">
        <v>0.363219</v>
      </c>
      <c r="M66" s="33">
        <v>3.35577</v>
      </c>
      <c r="N66" s="33">
        <v>18.9341</v>
      </c>
      <c r="O66" s="33">
        <v>51.8455</v>
      </c>
      <c r="P66" s="33">
        <v>25.4867</v>
      </c>
      <c r="Q66" s="33">
        <v>0.014689</v>
      </c>
      <c r="R66" s="34">
        <v>85.829</v>
      </c>
      <c r="S66" s="33">
        <v>1.28328</v>
      </c>
      <c r="T66" s="33">
        <v>5.43893</v>
      </c>
      <c r="U66" s="33">
        <v>17.6749</v>
      </c>
      <c r="V66" s="33">
        <v>52.6908</v>
      </c>
      <c r="W66" s="33">
        <v>18.2624</v>
      </c>
      <c r="X66" s="33">
        <v>4.64973</v>
      </c>
      <c r="Y66" s="34">
        <v>9.44123</v>
      </c>
      <c r="Z66" s="33">
        <v>0.0</v>
      </c>
      <c r="AA66" s="33">
        <v>99.8237</v>
      </c>
      <c r="AB66" s="33">
        <v>0.176268</v>
      </c>
      <c r="AC66" s="33">
        <v>0.0</v>
      </c>
      <c r="AD66" s="33">
        <v>0.0</v>
      </c>
      <c r="AE66" s="33">
        <v>0.0</v>
      </c>
      <c r="AF66" s="34">
        <v>0.45449</v>
      </c>
      <c r="AG66" s="33">
        <v>0.797212</v>
      </c>
      <c r="AH66" s="33">
        <v>5.17587</v>
      </c>
      <c r="AI66" s="33">
        <v>13.6327</v>
      </c>
      <c r="AJ66" s="33">
        <v>23.3729</v>
      </c>
      <c r="AK66" s="33">
        <v>33.6792</v>
      </c>
      <c r="AL66" s="33">
        <v>23.3421</v>
      </c>
      <c r="AM66" s="34">
        <v>0.237687</v>
      </c>
      <c r="AN66" s="33">
        <v>0.705072</v>
      </c>
      <c r="AO66" s="33">
        <v>3.92196</v>
      </c>
      <c r="AP66" s="33">
        <v>35.7877</v>
      </c>
      <c r="AQ66" s="33">
        <v>48.3108</v>
      </c>
      <c r="AR66" s="33">
        <v>8.6171</v>
      </c>
      <c r="AS66" s="33">
        <v>2.65737</v>
      </c>
      <c r="AT66" s="33">
        <v>547.081</v>
      </c>
      <c r="AU66" s="34">
        <v>560.688</v>
      </c>
      <c r="AV66" s="34">
        <v>20246.2</v>
      </c>
      <c r="AW66" s="34">
        <v>0.1411</v>
      </c>
      <c r="AX66" s="33">
        <v>0.00667682</v>
      </c>
      <c r="AY66" s="33">
        <v>0.415298</v>
      </c>
      <c r="AZ66" s="33">
        <v>0.648986</v>
      </c>
      <c r="BA66" s="33">
        <v>3.55607</v>
      </c>
      <c r="BB66" s="33">
        <v>72.1056</v>
      </c>
      <c r="BC66" s="33">
        <v>23.2674</v>
      </c>
      <c r="BD66" s="34">
        <v>36.8423</v>
      </c>
      <c r="BE66" s="33">
        <v>0.0</v>
      </c>
      <c r="BF66" s="33">
        <v>18.006</v>
      </c>
      <c r="BG66" s="33">
        <v>68.2477</v>
      </c>
      <c r="BH66" s="33">
        <v>12.4175</v>
      </c>
      <c r="BI66" s="33">
        <v>1.02956</v>
      </c>
      <c r="BJ66" s="33">
        <v>0.299121</v>
      </c>
      <c r="BK66" s="33">
        <v>35.177</v>
      </c>
      <c r="BL66" s="33">
        <v>74886.0</v>
      </c>
    </row>
    <row r="67" ht="15.75" customHeight="1">
      <c r="A67" s="33" t="s">
        <v>94</v>
      </c>
      <c r="B67" s="33" t="s">
        <v>62</v>
      </c>
      <c r="C67" s="34">
        <v>36973.9</v>
      </c>
      <c r="D67" s="33">
        <v>364.682</v>
      </c>
      <c r="E67" s="33">
        <v>72946.0</v>
      </c>
      <c r="F67" s="33">
        <v>26.7754</v>
      </c>
      <c r="G67" s="33">
        <v>75.9929</v>
      </c>
      <c r="H67" s="33">
        <v>1055.51</v>
      </c>
      <c r="I67" s="33">
        <v>362.369</v>
      </c>
      <c r="J67" s="34">
        <v>2.13305E7</v>
      </c>
      <c r="K67" s="34">
        <v>0.208714</v>
      </c>
      <c r="L67" s="33">
        <v>0.451754</v>
      </c>
      <c r="M67" s="33">
        <v>3.33561</v>
      </c>
      <c r="N67" s="33">
        <v>20.8953</v>
      </c>
      <c r="O67" s="33">
        <v>56.9919</v>
      </c>
      <c r="P67" s="33">
        <v>18.3049</v>
      </c>
      <c r="Q67" s="33">
        <v>0.0204722</v>
      </c>
      <c r="R67" s="34">
        <v>83.6323</v>
      </c>
      <c r="S67" s="33">
        <v>1.56817</v>
      </c>
      <c r="T67" s="33">
        <v>6.45148</v>
      </c>
      <c r="U67" s="33">
        <v>19.3558</v>
      </c>
      <c r="V67" s="33">
        <v>53.221</v>
      </c>
      <c r="W67" s="33">
        <v>15.7118</v>
      </c>
      <c r="X67" s="33">
        <v>3.69182</v>
      </c>
      <c r="Y67" s="34">
        <v>8.82183</v>
      </c>
      <c r="Z67" s="33">
        <v>0.0</v>
      </c>
      <c r="AA67" s="33">
        <v>99.6602</v>
      </c>
      <c r="AB67" s="33">
        <v>0.339839</v>
      </c>
      <c r="AC67" s="33">
        <v>0.0</v>
      </c>
      <c r="AD67" s="33">
        <v>0.0</v>
      </c>
      <c r="AE67" s="33">
        <v>0.0</v>
      </c>
      <c r="AF67" s="34">
        <v>0.447779</v>
      </c>
      <c r="AG67" s="33">
        <v>0.853009</v>
      </c>
      <c r="AH67" s="33">
        <v>5.00341</v>
      </c>
      <c r="AI67" s="33">
        <v>12.8811</v>
      </c>
      <c r="AJ67" s="33">
        <v>25.1399</v>
      </c>
      <c r="AK67" s="33">
        <v>37.4778</v>
      </c>
      <c r="AL67" s="33">
        <v>18.6447</v>
      </c>
      <c r="AM67" s="34">
        <v>0.242658</v>
      </c>
      <c r="AN67" s="33">
        <v>0.4422</v>
      </c>
      <c r="AO67" s="33">
        <v>3.1691</v>
      </c>
      <c r="AP67" s="33">
        <v>37.7303</v>
      </c>
      <c r="AQ67" s="33">
        <v>46.0298</v>
      </c>
      <c r="AR67" s="33">
        <v>9.58783</v>
      </c>
      <c r="AS67" s="33">
        <v>3.04081</v>
      </c>
      <c r="AT67" s="33">
        <v>576.907</v>
      </c>
      <c r="AU67" s="34">
        <v>593.088</v>
      </c>
      <c r="AV67" s="34">
        <v>19531.6</v>
      </c>
      <c r="AW67" s="34">
        <v>0.149606</v>
      </c>
      <c r="AX67" s="33">
        <v>0.00545926</v>
      </c>
      <c r="AY67" s="33">
        <v>0.225194</v>
      </c>
      <c r="AZ67" s="33">
        <v>0.387607</v>
      </c>
      <c r="BA67" s="33">
        <v>2.99304</v>
      </c>
      <c r="BB67" s="33">
        <v>73.0162</v>
      </c>
      <c r="BC67" s="33">
        <v>23.3725</v>
      </c>
      <c r="BD67" s="34">
        <v>35.9298</v>
      </c>
      <c r="BE67" s="33">
        <v>0.0</v>
      </c>
      <c r="BF67" s="33">
        <v>19.1729</v>
      </c>
      <c r="BG67" s="33">
        <v>68.9245</v>
      </c>
      <c r="BH67" s="33">
        <v>10.3862</v>
      </c>
      <c r="BI67" s="33">
        <v>1.1519</v>
      </c>
      <c r="BJ67" s="33">
        <v>0.364406</v>
      </c>
      <c r="BK67" s="33">
        <v>31.9149</v>
      </c>
      <c r="BL67" s="33">
        <v>73270.0</v>
      </c>
    </row>
    <row r="68" ht="15.75" customHeight="1">
      <c r="A68" s="33" t="s">
        <v>94</v>
      </c>
      <c r="B68" s="33" t="s">
        <v>62</v>
      </c>
      <c r="C68" s="34">
        <v>41244.3</v>
      </c>
      <c r="D68" s="33">
        <v>397.659</v>
      </c>
      <c r="E68" s="33">
        <v>83449.2</v>
      </c>
      <c r="F68" s="33">
        <v>25.9737</v>
      </c>
      <c r="G68" s="33">
        <v>77.255</v>
      </c>
      <c r="H68" s="33">
        <v>1180.77</v>
      </c>
      <c r="I68" s="33">
        <v>413.846</v>
      </c>
      <c r="J68" s="34">
        <v>2.38245E7</v>
      </c>
      <c r="K68" s="34">
        <v>0.204218</v>
      </c>
      <c r="L68" s="33">
        <v>0.529159</v>
      </c>
      <c r="M68" s="33">
        <v>2.99857</v>
      </c>
      <c r="N68" s="33">
        <v>22.6996</v>
      </c>
      <c r="O68" s="33">
        <v>57.0986</v>
      </c>
      <c r="P68" s="33">
        <v>16.6383</v>
      </c>
      <c r="Q68" s="33">
        <v>0.0357707</v>
      </c>
      <c r="R68" s="34">
        <v>83.3904</v>
      </c>
      <c r="S68" s="33">
        <v>1.64422</v>
      </c>
      <c r="T68" s="33">
        <v>6.62498</v>
      </c>
      <c r="U68" s="33">
        <v>19.8947</v>
      </c>
      <c r="V68" s="33">
        <v>52.2893</v>
      </c>
      <c r="W68" s="33">
        <v>15.5331</v>
      </c>
      <c r="X68" s="33">
        <v>4.01372</v>
      </c>
      <c r="Y68" s="34">
        <v>9.15307</v>
      </c>
      <c r="Z68" s="33">
        <v>0.0</v>
      </c>
      <c r="AA68" s="33">
        <v>99.7114</v>
      </c>
      <c r="AB68" s="33">
        <v>0.284932</v>
      </c>
      <c r="AC68" s="33">
        <v>0.00370041</v>
      </c>
      <c r="AD68" s="33">
        <v>0.0</v>
      </c>
      <c r="AE68" s="33">
        <v>0.0</v>
      </c>
      <c r="AF68" s="34">
        <v>0.440949</v>
      </c>
      <c r="AG68" s="33">
        <v>0.794356</v>
      </c>
      <c r="AH68" s="33">
        <v>5.06217</v>
      </c>
      <c r="AI68" s="33">
        <v>12.5876</v>
      </c>
      <c r="AJ68" s="33">
        <v>28.2218</v>
      </c>
      <c r="AK68" s="33">
        <v>37.1731</v>
      </c>
      <c r="AL68" s="33">
        <v>16.1609</v>
      </c>
      <c r="AM68" s="34">
        <v>0.239763</v>
      </c>
      <c r="AN68" s="33">
        <v>0.251628</v>
      </c>
      <c r="AO68" s="33">
        <v>3.8287</v>
      </c>
      <c r="AP68" s="33">
        <v>38.1093</v>
      </c>
      <c r="AQ68" s="33">
        <v>45.578</v>
      </c>
      <c r="AR68" s="33">
        <v>9.06972</v>
      </c>
      <c r="AS68" s="33">
        <v>3.16262</v>
      </c>
      <c r="AT68" s="33">
        <v>577.644</v>
      </c>
      <c r="AU68" s="34">
        <v>605.688</v>
      </c>
      <c r="AV68" s="34">
        <v>21674.8</v>
      </c>
      <c r="AW68" s="34">
        <v>0.1494</v>
      </c>
      <c r="AX68" s="33">
        <v>0.0222025</v>
      </c>
      <c r="AY68" s="33">
        <v>0.0974442</v>
      </c>
      <c r="AZ68" s="33">
        <v>0.277531</v>
      </c>
      <c r="BA68" s="33">
        <v>3.68315</v>
      </c>
      <c r="BB68" s="33">
        <v>71.8127</v>
      </c>
      <c r="BC68" s="33">
        <v>24.107</v>
      </c>
      <c r="BD68" s="34">
        <v>35.288</v>
      </c>
      <c r="BE68" s="33">
        <v>0.0</v>
      </c>
      <c r="BF68" s="33">
        <v>21.624</v>
      </c>
      <c r="BG68" s="33">
        <v>66.753</v>
      </c>
      <c r="BH68" s="33">
        <v>10.1724</v>
      </c>
      <c r="BI68" s="33">
        <v>1.04968</v>
      </c>
      <c r="BJ68" s="33">
        <v>0.400878</v>
      </c>
      <c r="BK68" s="33">
        <v>31.7338</v>
      </c>
      <c r="BL68" s="33">
        <v>81072.0</v>
      </c>
    </row>
    <row r="69" ht="15.75" customHeight="1">
      <c r="A69" s="33" t="s">
        <v>94</v>
      </c>
      <c r="B69" s="33" t="s">
        <v>62</v>
      </c>
      <c r="C69" s="34">
        <v>36792.0</v>
      </c>
      <c r="D69" s="33">
        <v>355.219</v>
      </c>
      <c r="E69" s="33">
        <v>69609.8</v>
      </c>
      <c r="F69" s="33">
        <v>30.5903</v>
      </c>
      <c r="G69" s="33">
        <v>74.7533</v>
      </c>
      <c r="H69" s="33">
        <v>1075.61</v>
      </c>
      <c r="I69" s="33">
        <v>392.564</v>
      </c>
      <c r="J69" s="34">
        <v>1.85568E7</v>
      </c>
      <c r="K69" s="34">
        <v>0.211906</v>
      </c>
      <c r="L69" s="33">
        <v>0.503706</v>
      </c>
      <c r="M69" s="33">
        <v>2.52372</v>
      </c>
      <c r="N69" s="33">
        <v>20.4079</v>
      </c>
      <c r="O69" s="33">
        <v>58.2066</v>
      </c>
      <c r="P69" s="33">
        <v>18.3398</v>
      </c>
      <c r="Q69" s="33">
        <v>0.018175</v>
      </c>
      <c r="R69" s="34">
        <v>84.3346</v>
      </c>
      <c r="S69" s="33">
        <v>1.45789</v>
      </c>
      <c r="T69" s="33">
        <v>5.5953</v>
      </c>
      <c r="U69" s="33">
        <v>18.1153</v>
      </c>
      <c r="V69" s="33">
        <v>55.1844</v>
      </c>
      <c r="W69" s="33">
        <v>16.7846</v>
      </c>
      <c r="X69" s="33">
        <v>2.86256</v>
      </c>
      <c r="Y69" s="34">
        <v>9.51684</v>
      </c>
      <c r="Z69" s="33">
        <v>0.0</v>
      </c>
      <c r="AA69" s="33">
        <v>99.7481</v>
      </c>
      <c r="AB69" s="33">
        <v>0.250555</v>
      </c>
      <c r="AC69" s="33">
        <v>0.00129821</v>
      </c>
      <c r="AD69" s="33">
        <v>0.0</v>
      </c>
      <c r="AE69" s="33">
        <v>0.0</v>
      </c>
      <c r="AF69" s="34">
        <v>0.451169</v>
      </c>
      <c r="AG69" s="33">
        <v>0.57381</v>
      </c>
      <c r="AH69" s="33">
        <v>4.61514</v>
      </c>
      <c r="AI69" s="33">
        <v>11.9461</v>
      </c>
      <c r="AJ69" s="33">
        <v>25.6709</v>
      </c>
      <c r="AK69" s="33">
        <v>39.9317</v>
      </c>
      <c r="AL69" s="33">
        <v>17.2623</v>
      </c>
      <c r="AM69" s="34">
        <v>0.240136</v>
      </c>
      <c r="AN69" s="33">
        <v>0.150593</v>
      </c>
      <c r="AO69" s="33">
        <v>2.66653</v>
      </c>
      <c r="AP69" s="33">
        <v>40.1316</v>
      </c>
      <c r="AQ69" s="33">
        <v>46.2034</v>
      </c>
      <c r="AR69" s="33">
        <v>7.62051</v>
      </c>
      <c r="AS69" s="33">
        <v>3.22736</v>
      </c>
      <c r="AT69" s="33">
        <v>504.369</v>
      </c>
      <c r="AU69" s="34">
        <v>518.088</v>
      </c>
      <c r="AV69" s="34">
        <v>21293.8</v>
      </c>
      <c r="AW69" s="34">
        <v>0.146824</v>
      </c>
      <c r="AX69" s="33">
        <v>0.00389464</v>
      </c>
      <c r="AY69" s="33">
        <v>0.0480339</v>
      </c>
      <c r="AZ69" s="33">
        <v>0.199925</v>
      </c>
      <c r="BA69" s="33">
        <v>2.56397</v>
      </c>
      <c r="BB69" s="33">
        <v>74.4512</v>
      </c>
      <c r="BC69" s="33">
        <v>22.733</v>
      </c>
      <c r="BD69" s="34">
        <v>35.7952</v>
      </c>
      <c r="BE69" s="33">
        <v>0.0</v>
      </c>
      <c r="BF69" s="33">
        <v>19.503</v>
      </c>
      <c r="BG69" s="33">
        <v>69.6439</v>
      </c>
      <c r="BH69" s="33">
        <v>8.99402</v>
      </c>
      <c r="BI69" s="33">
        <v>1.35144</v>
      </c>
      <c r="BJ69" s="33">
        <v>0.507601</v>
      </c>
      <c r="BK69" s="33">
        <v>35.3985</v>
      </c>
      <c r="BL69" s="33">
        <v>77029.0</v>
      </c>
    </row>
    <row r="70" ht="15.75" customHeight="1">
      <c r="A70" s="33" t="s">
        <v>111</v>
      </c>
      <c r="B70" s="33" t="s">
        <v>62</v>
      </c>
      <c r="C70" s="34">
        <v>34128.5</v>
      </c>
      <c r="D70" s="33">
        <v>344.764</v>
      </c>
      <c r="E70" s="33">
        <v>64014.3</v>
      </c>
      <c r="F70" s="33">
        <v>27.0</v>
      </c>
      <c r="G70" s="33">
        <v>63.6953</v>
      </c>
      <c r="H70" s="33">
        <v>998.237</v>
      </c>
      <c r="I70" s="33">
        <v>364.557</v>
      </c>
      <c r="J70" s="34">
        <v>2.06316E7</v>
      </c>
      <c r="K70" s="34">
        <v>0.216061</v>
      </c>
      <c r="L70" s="33">
        <v>0.280061</v>
      </c>
      <c r="M70" s="33">
        <v>3.54694</v>
      </c>
      <c r="N70" s="33">
        <v>22.2686</v>
      </c>
      <c r="O70" s="33">
        <v>49.7192</v>
      </c>
      <c r="P70" s="33">
        <v>24.1776</v>
      </c>
      <c r="Q70" s="33">
        <v>0.00756922</v>
      </c>
      <c r="R70" s="34">
        <v>85.5889</v>
      </c>
      <c r="S70" s="33">
        <v>1.35035</v>
      </c>
      <c r="T70" s="33">
        <v>5.87523</v>
      </c>
      <c r="U70" s="33">
        <v>18.0692</v>
      </c>
      <c r="V70" s="33">
        <v>52.0778</v>
      </c>
      <c r="W70" s="33">
        <v>17.5424</v>
      </c>
      <c r="X70" s="33">
        <v>5.085</v>
      </c>
      <c r="Y70" s="34">
        <v>8.81536</v>
      </c>
      <c r="Z70" s="33">
        <v>0.0</v>
      </c>
      <c r="AA70" s="33">
        <v>99.6215</v>
      </c>
      <c r="AB70" s="33">
        <v>0.378461</v>
      </c>
      <c r="AC70" s="33">
        <v>0.0</v>
      </c>
      <c r="AD70" s="33">
        <v>0.0</v>
      </c>
      <c r="AE70" s="33">
        <v>0.0</v>
      </c>
      <c r="AF70" s="34">
        <v>0.443941</v>
      </c>
      <c r="AG70" s="33">
        <v>1.03244</v>
      </c>
      <c r="AH70" s="33">
        <v>5.27877</v>
      </c>
      <c r="AI70" s="33">
        <v>14.2271</v>
      </c>
      <c r="AJ70" s="33">
        <v>25.8474</v>
      </c>
      <c r="AK70" s="33">
        <v>32.5128</v>
      </c>
      <c r="AL70" s="33">
        <v>21.1015</v>
      </c>
      <c r="AM70" s="34">
        <v>0.230088</v>
      </c>
      <c r="AN70" s="33">
        <v>0.650953</v>
      </c>
      <c r="AO70" s="33">
        <v>4.39469</v>
      </c>
      <c r="AP70" s="33">
        <v>36.9878</v>
      </c>
      <c r="AQ70" s="33">
        <v>47.3016</v>
      </c>
      <c r="AR70" s="33">
        <v>8.7258</v>
      </c>
      <c r="AS70" s="33">
        <v>1.93923</v>
      </c>
      <c r="AT70" s="33">
        <v>604.528</v>
      </c>
      <c r="AU70" s="34">
        <v>617.445</v>
      </c>
      <c r="AV70" s="34">
        <v>17283.9</v>
      </c>
      <c r="AW70" s="34">
        <v>0.140109</v>
      </c>
      <c r="AX70" s="33">
        <v>0.00302769</v>
      </c>
      <c r="AY70" s="33">
        <v>0.355753</v>
      </c>
      <c r="AZ70" s="33">
        <v>0.664578</v>
      </c>
      <c r="BA70" s="33">
        <v>4.02228</v>
      </c>
      <c r="BB70" s="33">
        <v>72.6691</v>
      </c>
      <c r="BC70" s="33">
        <v>22.2853</v>
      </c>
      <c r="BD70" s="34">
        <v>35.6565</v>
      </c>
      <c r="BE70" s="33">
        <v>0.0</v>
      </c>
      <c r="BF70" s="33">
        <v>22.0355</v>
      </c>
      <c r="BG70" s="33">
        <v>64.3429</v>
      </c>
      <c r="BH70" s="33">
        <v>12.6981</v>
      </c>
      <c r="BI70" s="33">
        <v>0.793254</v>
      </c>
      <c r="BJ70" s="33">
        <v>0.130191</v>
      </c>
      <c r="BK70" s="33">
        <v>30.4487</v>
      </c>
      <c r="BL70" s="33">
        <v>66057.0</v>
      </c>
    </row>
    <row r="71" ht="15.75" customHeight="1">
      <c r="A71" s="33" t="s">
        <v>111</v>
      </c>
      <c r="B71" s="33" t="s">
        <v>62</v>
      </c>
      <c r="C71" s="34">
        <v>35632.5</v>
      </c>
      <c r="D71" s="33">
        <v>411.918</v>
      </c>
      <c r="E71" s="33">
        <v>68092.9</v>
      </c>
      <c r="F71" s="33">
        <v>29.0527</v>
      </c>
      <c r="G71" s="33">
        <v>62.9513</v>
      </c>
      <c r="H71" s="33">
        <v>1025.45</v>
      </c>
      <c r="I71" s="33">
        <v>375.215</v>
      </c>
      <c r="J71" s="34">
        <v>1.94108E7</v>
      </c>
      <c r="K71" s="34">
        <v>0.223159</v>
      </c>
      <c r="L71" s="33">
        <v>0.605474</v>
      </c>
      <c r="M71" s="33">
        <v>2.69146</v>
      </c>
      <c r="N71" s="33">
        <v>17.6403</v>
      </c>
      <c r="O71" s="33">
        <v>55.4078</v>
      </c>
      <c r="P71" s="33">
        <v>23.59</v>
      </c>
      <c r="Q71" s="33">
        <v>0.064971</v>
      </c>
      <c r="R71" s="34">
        <v>86.8991</v>
      </c>
      <c r="S71" s="33">
        <v>1.48051</v>
      </c>
      <c r="T71" s="33">
        <v>4.53276</v>
      </c>
      <c r="U71" s="33">
        <v>15.3815</v>
      </c>
      <c r="V71" s="33">
        <v>54.9475</v>
      </c>
      <c r="W71" s="33">
        <v>19.6102</v>
      </c>
      <c r="X71" s="33">
        <v>4.04755</v>
      </c>
      <c r="Y71" s="34">
        <v>8.76651</v>
      </c>
      <c r="Z71" s="33">
        <v>0.0</v>
      </c>
      <c r="AA71" s="33">
        <v>99.5079</v>
      </c>
      <c r="AB71" s="33">
        <v>0.413326</v>
      </c>
      <c r="AC71" s="33">
        <v>0.0580592</v>
      </c>
      <c r="AD71" s="33">
        <v>0.0207354</v>
      </c>
      <c r="AE71" s="33">
        <v>0.0</v>
      </c>
      <c r="AF71" s="34">
        <v>0.479785</v>
      </c>
      <c r="AG71" s="33">
        <v>0.562621</v>
      </c>
      <c r="AH71" s="33">
        <v>3.2762</v>
      </c>
      <c r="AI71" s="33">
        <v>9.32817</v>
      </c>
      <c r="AJ71" s="33">
        <v>22.4371</v>
      </c>
      <c r="AK71" s="33">
        <v>40.7797</v>
      </c>
      <c r="AL71" s="33">
        <v>23.6163</v>
      </c>
      <c r="AM71" s="34">
        <v>0.233313</v>
      </c>
      <c r="AN71" s="33">
        <v>0.349737</v>
      </c>
      <c r="AO71" s="33">
        <v>3.73514</v>
      </c>
      <c r="AP71" s="33">
        <v>39.4277</v>
      </c>
      <c r="AQ71" s="33">
        <v>46.1059</v>
      </c>
      <c r="AR71" s="33">
        <v>7.38319</v>
      </c>
      <c r="AS71" s="33">
        <v>2.99834</v>
      </c>
      <c r="AT71" s="33">
        <v>544.749</v>
      </c>
      <c r="AU71" s="34">
        <v>556.245</v>
      </c>
      <c r="AV71" s="34">
        <v>19782.8</v>
      </c>
      <c r="AW71" s="34">
        <v>0.128852</v>
      </c>
      <c r="AX71" s="33">
        <v>0.015206</v>
      </c>
      <c r="AY71" s="33">
        <v>0.12303</v>
      </c>
      <c r="AZ71" s="33">
        <v>0.35112</v>
      </c>
      <c r="BA71" s="33">
        <v>3.59414</v>
      </c>
      <c r="BB71" s="33">
        <v>78.6052</v>
      </c>
      <c r="BC71" s="33">
        <v>17.3113</v>
      </c>
      <c r="BD71" s="34">
        <v>36.5051</v>
      </c>
      <c r="BE71" s="33">
        <v>0.0</v>
      </c>
      <c r="BF71" s="33">
        <v>18.261</v>
      </c>
      <c r="BG71" s="33">
        <v>69.136</v>
      </c>
      <c r="BH71" s="33">
        <v>10.6691</v>
      </c>
      <c r="BI71" s="33">
        <v>1.30495</v>
      </c>
      <c r="BJ71" s="33">
        <v>0.628974</v>
      </c>
      <c r="BK71" s="33">
        <v>33.7544</v>
      </c>
      <c r="BL71" s="33">
        <v>72340.0</v>
      </c>
    </row>
    <row r="72" ht="15.75" customHeight="1">
      <c r="A72" s="33" t="s">
        <v>111</v>
      </c>
      <c r="B72" s="33" t="s">
        <v>62</v>
      </c>
      <c r="C72" s="34">
        <v>45307.1</v>
      </c>
      <c r="D72" s="33">
        <v>422.417</v>
      </c>
      <c r="E72" s="33">
        <v>87561.3</v>
      </c>
      <c r="F72" s="33">
        <v>27.8291</v>
      </c>
      <c r="G72" s="33">
        <v>82.5876</v>
      </c>
      <c r="H72" s="33">
        <v>1158.39</v>
      </c>
      <c r="I72" s="33">
        <v>427.473</v>
      </c>
      <c r="J72" s="34">
        <v>2.69734E7</v>
      </c>
      <c r="K72" s="34">
        <v>0.218217</v>
      </c>
      <c r="L72" s="33">
        <v>0.427979</v>
      </c>
      <c r="M72" s="33">
        <v>2.81449</v>
      </c>
      <c r="N72" s="33">
        <v>20.6481</v>
      </c>
      <c r="O72" s="33">
        <v>52.9356</v>
      </c>
      <c r="P72" s="33">
        <v>23.1275</v>
      </c>
      <c r="Q72" s="33">
        <v>0.0464473</v>
      </c>
      <c r="R72" s="34">
        <v>84.6399</v>
      </c>
      <c r="S72" s="33">
        <v>1.48853</v>
      </c>
      <c r="T72" s="33">
        <v>5.8413</v>
      </c>
      <c r="U72" s="33">
        <v>18.5303</v>
      </c>
      <c r="V72" s="33">
        <v>52.9013</v>
      </c>
      <c r="W72" s="33">
        <v>17.5361</v>
      </c>
      <c r="X72" s="33">
        <v>3.70252</v>
      </c>
      <c r="Y72" s="34">
        <v>8.65983</v>
      </c>
      <c r="Z72" s="33">
        <v>0.0</v>
      </c>
      <c r="AA72" s="33">
        <v>99.5599</v>
      </c>
      <c r="AB72" s="33">
        <v>0.413602</v>
      </c>
      <c r="AC72" s="33">
        <v>0.0188001</v>
      </c>
      <c r="AD72" s="33">
        <v>0.00774122</v>
      </c>
      <c r="AE72" s="33">
        <v>0.0</v>
      </c>
      <c r="AF72" s="34">
        <v>0.461546</v>
      </c>
      <c r="AG72" s="33">
        <v>0.790711</v>
      </c>
      <c r="AH72" s="33">
        <v>4.5452</v>
      </c>
      <c r="AI72" s="33">
        <v>11.7877</v>
      </c>
      <c r="AJ72" s="33">
        <v>25.3956</v>
      </c>
      <c r="AK72" s="33">
        <v>33.3879</v>
      </c>
      <c r="AL72" s="33">
        <v>24.0929</v>
      </c>
      <c r="AM72" s="34">
        <v>0.239933</v>
      </c>
      <c r="AN72" s="33">
        <v>0.189107</v>
      </c>
      <c r="AO72" s="33">
        <v>3.48687</v>
      </c>
      <c r="AP72" s="33">
        <v>36.7763</v>
      </c>
      <c r="AQ72" s="33">
        <v>48.2809</v>
      </c>
      <c r="AR72" s="33">
        <v>8.83937</v>
      </c>
      <c r="AS72" s="33">
        <v>2.42743</v>
      </c>
      <c r="AT72" s="33">
        <v>595.347</v>
      </c>
      <c r="AU72" s="34">
        <v>606.045</v>
      </c>
      <c r="AV72" s="34">
        <v>24367.5</v>
      </c>
      <c r="AW72" s="34">
        <v>0.142175</v>
      </c>
      <c r="AX72" s="33">
        <v>0.0110589</v>
      </c>
      <c r="AY72" s="33">
        <v>0.0818358</v>
      </c>
      <c r="AZ72" s="33">
        <v>0.259884</v>
      </c>
      <c r="BA72" s="33">
        <v>3.3232</v>
      </c>
      <c r="BB72" s="33">
        <v>74.5148</v>
      </c>
      <c r="BC72" s="33">
        <v>21.8092</v>
      </c>
      <c r="BD72" s="34">
        <v>36.2355</v>
      </c>
      <c r="BE72" s="33">
        <v>0.0</v>
      </c>
      <c r="BF72" s="33">
        <v>19.4316</v>
      </c>
      <c r="BG72" s="33">
        <v>67.4824</v>
      </c>
      <c r="BH72" s="33">
        <v>11.7755</v>
      </c>
      <c r="BI72" s="33">
        <v>1.0517</v>
      </c>
      <c r="BJ72" s="33">
        <v>0.258778</v>
      </c>
      <c r="BK72" s="33">
        <v>32.5711</v>
      </c>
      <c r="BL72" s="33">
        <v>90425.0</v>
      </c>
    </row>
    <row r="73" ht="15.75" customHeight="1">
      <c r="A73" s="33" t="s">
        <v>111</v>
      </c>
      <c r="B73" s="33" t="s">
        <v>62</v>
      </c>
      <c r="C73" s="34">
        <v>40329.3</v>
      </c>
      <c r="D73" s="33">
        <v>350.809</v>
      </c>
      <c r="E73" s="33">
        <v>82260.9</v>
      </c>
      <c r="F73" s="33">
        <v>26.1876</v>
      </c>
      <c r="G73" s="33">
        <v>78.7384</v>
      </c>
      <c r="H73" s="33">
        <v>1130.98</v>
      </c>
      <c r="I73" s="33">
        <v>421.257</v>
      </c>
      <c r="J73" s="34">
        <v>2.20403E7</v>
      </c>
      <c r="K73" s="34">
        <v>0.233471</v>
      </c>
      <c r="L73" s="33">
        <v>0.474241</v>
      </c>
      <c r="M73" s="33">
        <v>2.4246</v>
      </c>
      <c r="N73" s="33">
        <v>16.7383</v>
      </c>
      <c r="O73" s="33">
        <v>51.7902</v>
      </c>
      <c r="P73" s="33">
        <v>28.532</v>
      </c>
      <c r="Q73" s="33">
        <v>0.0406856</v>
      </c>
      <c r="R73" s="34">
        <v>84.856</v>
      </c>
      <c r="S73" s="33">
        <v>1.38204</v>
      </c>
      <c r="T73" s="33">
        <v>5.54849</v>
      </c>
      <c r="U73" s="33">
        <v>17.6118</v>
      </c>
      <c r="V73" s="33">
        <v>55.9909</v>
      </c>
      <c r="W73" s="33">
        <v>16.6976</v>
      </c>
      <c r="X73" s="33">
        <v>2.76916</v>
      </c>
      <c r="Y73" s="34">
        <v>9.13867</v>
      </c>
      <c r="Z73" s="33">
        <v>0.0</v>
      </c>
      <c r="AA73" s="33">
        <v>99.7419</v>
      </c>
      <c r="AB73" s="33">
        <v>0.258099</v>
      </c>
      <c r="AC73" s="33">
        <v>0.0</v>
      </c>
      <c r="AD73" s="33">
        <v>0.0</v>
      </c>
      <c r="AE73" s="33">
        <v>0.0</v>
      </c>
      <c r="AF73" s="34">
        <v>0.458571</v>
      </c>
      <c r="AG73" s="33">
        <v>0.75904</v>
      </c>
      <c r="AH73" s="33">
        <v>5.04628</v>
      </c>
      <c r="AI73" s="33">
        <v>11.4848</v>
      </c>
      <c r="AJ73" s="33">
        <v>22.2499</v>
      </c>
      <c r="AK73" s="33">
        <v>40.95</v>
      </c>
      <c r="AL73" s="33">
        <v>19.51</v>
      </c>
      <c r="AM73" s="34">
        <v>0.262502</v>
      </c>
      <c r="AN73" s="33">
        <v>0.0889996</v>
      </c>
      <c r="AO73" s="33">
        <v>2.6649</v>
      </c>
      <c r="AP73" s="33">
        <v>32.6069</v>
      </c>
      <c r="AQ73" s="33">
        <v>49.9835</v>
      </c>
      <c r="AR73" s="33">
        <v>10.769</v>
      </c>
      <c r="AS73" s="33">
        <v>3.88674</v>
      </c>
      <c r="AT73" s="33">
        <v>546.509</v>
      </c>
      <c r="AU73" s="34">
        <v>568.32</v>
      </c>
      <c r="AV73" s="34">
        <v>21542.2</v>
      </c>
      <c r="AW73" s="34">
        <v>0.156638</v>
      </c>
      <c r="AX73" s="33">
        <v>0.00635712</v>
      </c>
      <c r="AY73" s="33">
        <v>0.0165285</v>
      </c>
      <c r="AZ73" s="33">
        <v>0.150028</v>
      </c>
      <c r="BA73" s="33">
        <v>2.58099</v>
      </c>
      <c r="BB73" s="33">
        <v>72.9835</v>
      </c>
      <c r="BC73" s="33">
        <v>24.2626</v>
      </c>
      <c r="BD73" s="34">
        <v>38.9514</v>
      </c>
      <c r="BE73" s="33">
        <v>0.0</v>
      </c>
      <c r="BF73" s="33">
        <v>14.8006</v>
      </c>
      <c r="BG73" s="33">
        <v>67.3244</v>
      </c>
      <c r="BH73" s="33">
        <v>15.9081</v>
      </c>
      <c r="BI73" s="33">
        <v>1.57148</v>
      </c>
      <c r="BJ73" s="33">
        <v>0.395413</v>
      </c>
      <c r="BK73" s="33">
        <v>32.3185</v>
      </c>
      <c r="BL73" s="33">
        <v>78652.0</v>
      </c>
    </row>
    <row r="74" ht="15.75" customHeight="1">
      <c r="A74" s="33" t="s">
        <v>112</v>
      </c>
      <c r="B74" s="33" t="s">
        <v>62</v>
      </c>
      <c r="C74" s="34">
        <v>38452.0</v>
      </c>
      <c r="D74" s="33">
        <v>372.221</v>
      </c>
      <c r="E74" s="33">
        <v>61123.3</v>
      </c>
      <c r="F74" s="33">
        <v>35.9912</v>
      </c>
      <c r="G74" s="33">
        <v>51.2816</v>
      </c>
      <c r="H74" s="33">
        <v>1010.15</v>
      </c>
      <c r="I74" s="33">
        <v>419.905</v>
      </c>
      <c r="J74" s="34">
        <v>2.22828E7</v>
      </c>
      <c r="K74" s="34">
        <v>0.218794</v>
      </c>
      <c r="L74" s="33">
        <v>0.787067</v>
      </c>
      <c r="M74" s="33">
        <v>3.33567</v>
      </c>
      <c r="N74" s="33">
        <v>18.6785</v>
      </c>
      <c r="O74" s="33">
        <v>53.4831</v>
      </c>
      <c r="P74" s="33">
        <v>23.6083</v>
      </c>
      <c r="Q74" s="33">
        <v>0.107441</v>
      </c>
      <c r="R74" s="34">
        <v>88.1276</v>
      </c>
      <c r="S74" s="33">
        <v>1.7353</v>
      </c>
      <c r="T74" s="33">
        <v>5.06471</v>
      </c>
      <c r="U74" s="33">
        <v>14.6432</v>
      </c>
      <c r="V74" s="33">
        <v>49.3991</v>
      </c>
      <c r="W74" s="33">
        <v>24.0743</v>
      </c>
      <c r="X74" s="33">
        <v>5.08345</v>
      </c>
      <c r="Y74" s="34">
        <v>7.78865</v>
      </c>
      <c r="Z74" s="33">
        <v>0.0</v>
      </c>
      <c r="AA74" s="33">
        <v>99.7414</v>
      </c>
      <c r="AB74" s="33">
        <v>0.258608</v>
      </c>
      <c r="AC74" s="33">
        <v>0.0</v>
      </c>
      <c r="AD74" s="33">
        <v>0.0</v>
      </c>
      <c r="AE74" s="33">
        <v>0.0</v>
      </c>
      <c r="AF74" s="34">
        <v>0.505262</v>
      </c>
      <c r="AG74" s="33">
        <v>0.514717</v>
      </c>
      <c r="AH74" s="33">
        <v>3.6405</v>
      </c>
      <c r="AI74" s="33">
        <v>8.31668</v>
      </c>
      <c r="AJ74" s="33">
        <v>18.6048</v>
      </c>
      <c r="AK74" s="33">
        <v>33.4141</v>
      </c>
      <c r="AL74" s="33">
        <v>35.5092</v>
      </c>
      <c r="AM74" s="34">
        <v>0.219872</v>
      </c>
      <c r="AN74" s="33">
        <v>0.639648</v>
      </c>
      <c r="AO74" s="33">
        <v>4.6362</v>
      </c>
      <c r="AP74" s="33">
        <v>44.3569</v>
      </c>
      <c r="AQ74" s="33">
        <v>40.1866</v>
      </c>
      <c r="AR74" s="33">
        <v>6.89871</v>
      </c>
      <c r="AS74" s="33">
        <v>3.28194</v>
      </c>
      <c r="AT74" s="33">
        <v>579.495</v>
      </c>
      <c r="AU74" s="34">
        <v>588.301</v>
      </c>
      <c r="AV74" s="34">
        <v>21999.0</v>
      </c>
      <c r="AW74" s="34">
        <v>0.116194</v>
      </c>
      <c r="AX74" s="33">
        <v>0.00249863</v>
      </c>
      <c r="AY74" s="33">
        <v>0.282345</v>
      </c>
      <c r="AZ74" s="33">
        <v>0.514717</v>
      </c>
      <c r="BA74" s="33">
        <v>4.47629</v>
      </c>
      <c r="BB74" s="33">
        <v>79.5025</v>
      </c>
      <c r="BC74" s="33">
        <v>15.2216</v>
      </c>
      <c r="BD74" s="34">
        <v>35.8463</v>
      </c>
      <c r="BE74" s="33">
        <v>0.0</v>
      </c>
      <c r="BF74" s="33">
        <v>20.2851</v>
      </c>
      <c r="BG74" s="33">
        <v>67.6965</v>
      </c>
      <c r="BH74" s="33">
        <v>9.93079</v>
      </c>
      <c r="BI74" s="33">
        <v>1.3555</v>
      </c>
      <c r="BJ74" s="33">
        <v>0.732097</v>
      </c>
      <c r="BK74" s="33">
        <v>34.9327</v>
      </c>
      <c r="BL74" s="33">
        <v>80044.0</v>
      </c>
    </row>
    <row r="75" ht="15.75" customHeight="1">
      <c r="A75" s="33" t="s">
        <v>112</v>
      </c>
      <c r="B75" s="33" t="s">
        <v>62</v>
      </c>
      <c r="C75" s="34">
        <v>29161.6</v>
      </c>
      <c r="D75" s="33">
        <v>285.709</v>
      </c>
      <c r="E75" s="33">
        <v>48931.6</v>
      </c>
      <c r="F75" s="33">
        <v>33.7762</v>
      </c>
      <c r="G75" s="33">
        <v>58.346</v>
      </c>
      <c r="H75" s="33">
        <v>871.509</v>
      </c>
      <c r="I75" s="33">
        <v>339.517</v>
      </c>
      <c r="J75" s="34">
        <v>1.49973E7</v>
      </c>
      <c r="K75" s="34">
        <v>0.22146</v>
      </c>
      <c r="L75" s="33">
        <v>0.506423</v>
      </c>
      <c r="M75" s="33">
        <v>2.31531</v>
      </c>
      <c r="N75" s="33">
        <v>17.3883</v>
      </c>
      <c r="O75" s="33">
        <v>58.7063</v>
      </c>
      <c r="P75" s="33">
        <v>21.0093</v>
      </c>
      <c r="Q75" s="33">
        <v>0.0744264</v>
      </c>
      <c r="R75" s="34">
        <v>86.8193</v>
      </c>
      <c r="S75" s="33">
        <v>1.22318</v>
      </c>
      <c r="T75" s="33">
        <v>4.50442</v>
      </c>
      <c r="U75" s="33">
        <v>15.5778</v>
      </c>
      <c r="V75" s="33">
        <v>55.8312</v>
      </c>
      <c r="W75" s="33">
        <v>19.6486</v>
      </c>
      <c r="X75" s="33">
        <v>3.2149</v>
      </c>
      <c r="Y75" s="34">
        <v>8.36466</v>
      </c>
      <c r="Z75" s="33">
        <v>0.0</v>
      </c>
      <c r="AA75" s="33">
        <v>99.7848</v>
      </c>
      <c r="AB75" s="33">
        <v>0.215189</v>
      </c>
      <c r="AC75" s="33">
        <v>0.0</v>
      </c>
      <c r="AD75" s="33">
        <v>0.0</v>
      </c>
      <c r="AE75" s="33">
        <v>0.0</v>
      </c>
      <c r="AF75" s="34">
        <v>0.493076</v>
      </c>
      <c r="AG75" s="33">
        <v>0.436851</v>
      </c>
      <c r="AH75" s="33">
        <v>3.04339</v>
      </c>
      <c r="AI75" s="33">
        <v>7.80345</v>
      </c>
      <c r="AJ75" s="33">
        <v>19.7505</v>
      </c>
      <c r="AK75" s="33">
        <v>43.4116</v>
      </c>
      <c r="AL75" s="33">
        <v>25.5542</v>
      </c>
      <c r="AM75" s="34">
        <v>0.229922</v>
      </c>
      <c r="AN75" s="33">
        <v>0.347863</v>
      </c>
      <c r="AO75" s="33">
        <v>2.94308</v>
      </c>
      <c r="AP75" s="33">
        <v>42.3017</v>
      </c>
      <c r="AQ75" s="33">
        <v>44.7724</v>
      </c>
      <c r="AR75" s="33">
        <v>6.65469</v>
      </c>
      <c r="AS75" s="33">
        <v>2.98029</v>
      </c>
      <c r="AT75" s="33">
        <v>514.282</v>
      </c>
      <c r="AU75" s="34">
        <v>527.101</v>
      </c>
      <c r="AV75" s="34">
        <v>16527.2</v>
      </c>
      <c r="AW75" s="34">
        <v>0.1251</v>
      </c>
      <c r="AX75" s="33">
        <v>0.0048539</v>
      </c>
      <c r="AY75" s="33">
        <v>0.160179</v>
      </c>
      <c r="AZ75" s="33">
        <v>0.250785</v>
      </c>
      <c r="BA75" s="33">
        <v>2.87513</v>
      </c>
      <c r="BB75" s="33">
        <v>81.5228</v>
      </c>
      <c r="BC75" s="33">
        <v>15.1862</v>
      </c>
      <c r="BD75" s="34">
        <v>35.9846</v>
      </c>
      <c r="BE75" s="33">
        <v>0.0</v>
      </c>
      <c r="BF75" s="33">
        <v>17.9174</v>
      </c>
      <c r="BG75" s="33">
        <v>71.4478</v>
      </c>
      <c r="BH75" s="33">
        <v>8.7807</v>
      </c>
      <c r="BI75" s="33">
        <v>1.21024</v>
      </c>
      <c r="BJ75" s="33">
        <v>0.64395</v>
      </c>
      <c r="BK75" s="33">
        <v>34.5483</v>
      </c>
      <c r="BL75" s="33">
        <v>61806.0</v>
      </c>
    </row>
    <row r="76" ht="15.75" customHeight="1">
      <c r="A76" s="33" t="s">
        <v>112</v>
      </c>
      <c r="B76" s="33" t="s">
        <v>62</v>
      </c>
      <c r="C76" s="34">
        <v>34442.9</v>
      </c>
      <c r="D76" s="33">
        <v>323.199</v>
      </c>
      <c r="E76" s="33">
        <v>71099.4</v>
      </c>
      <c r="F76" s="33">
        <v>27.0867</v>
      </c>
      <c r="G76" s="33">
        <v>79.0067</v>
      </c>
      <c r="H76" s="33">
        <v>1023.06</v>
      </c>
      <c r="I76" s="33">
        <v>378.708</v>
      </c>
      <c r="J76" s="34">
        <v>1.75072E7</v>
      </c>
      <c r="K76" s="34">
        <v>0.208183</v>
      </c>
      <c r="L76" s="33">
        <v>0.594772</v>
      </c>
      <c r="M76" s="33">
        <v>3.20337</v>
      </c>
      <c r="N76" s="33">
        <v>22.9876</v>
      </c>
      <c r="O76" s="33">
        <v>53.2635</v>
      </c>
      <c r="P76" s="33">
        <v>19.92</v>
      </c>
      <c r="Q76" s="33">
        <v>0.0307882</v>
      </c>
      <c r="R76" s="34">
        <v>86.1289</v>
      </c>
      <c r="S76" s="33">
        <v>1.78431</v>
      </c>
      <c r="T76" s="33">
        <v>6.02888</v>
      </c>
      <c r="U76" s="33">
        <v>16.9083</v>
      </c>
      <c r="V76" s="33">
        <v>48.2171</v>
      </c>
      <c r="W76" s="33">
        <v>22.8378</v>
      </c>
      <c r="X76" s="33">
        <v>4.22358</v>
      </c>
      <c r="Y76" s="34">
        <v>8.3435</v>
      </c>
      <c r="Z76" s="33">
        <v>0.0</v>
      </c>
      <c r="AA76" s="33">
        <v>99.7747</v>
      </c>
      <c r="AB76" s="33">
        <v>0.225313</v>
      </c>
      <c r="AC76" s="33">
        <v>0.0</v>
      </c>
      <c r="AD76" s="33">
        <v>0.0</v>
      </c>
      <c r="AE76" s="33">
        <v>0.0</v>
      </c>
      <c r="AF76" s="34">
        <v>0.474348</v>
      </c>
      <c r="AG76" s="33">
        <v>0.663345</v>
      </c>
      <c r="AH76" s="33">
        <v>4.76377</v>
      </c>
      <c r="AI76" s="33">
        <v>10.7157</v>
      </c>
      <c r="AJ76" s="33">
        <v>22.3914</v>
      </c>
      <c r="AK76" s="33">
        <v>33.9412</v>
      </c>
      <c r="AL76" s="33">
        <v>27.5246</v>
      </c>
      <c r="AM76" s="34">
        <v>0.216285</v>
      </c>
      <c r="AN76" s="33">
        <v>0.120354</v>
      </c>
      <c r="AO76" s="33">
        <v>4.18719</v>
      </c>
      <c r="AP76" s="33">
        <v>46.798</v>
      </c>
      <c r="AQ76" s="33">
        <v>39.483</v>
      </c>
      <c r="AR76" s="33">
        <v>6.69363</v>
      </c>
      <c r="AS76" s="33">
        <v>2.71776</v>
      </c>
      <c r="AT76" s="33">
        <v>508.297</v>
      </c>
      <c r="AU76" s="34">
        <v>519.301</v>
      </c>
      <c r="AV76" s="34">
        <v>19258.4</v>
      </c>
      <c r="AW76" s="34">
        <v>0.127438</v>
      </c>
      <c r="AX76" s="33">
        <v>0.00559785</v>
      </c>
      <c r="AY76" s="33">
        <v>0.0293887</v>
      </c>
      <c r="AZ76" s="33">
        <v>0.188927</v>
      </c>
      <c r="BA76" s="33">
        <v>4.08363</v>
      </c>
      <c r="BB76" s="33">
        <v>77.5456</v>
      </c>
      <c r="BC76" s="33">
        <v>18.1468</v>
      </c>
      <c r="BD76" s="34">
        <v>34.2555</v>
      </c>
      <c r="BE76" s="33">
        <v>0.0</v>
      </c>
      <c r="BF76" s="33">
        <v>24.2345</v>
      </c>
      <c r="BG76" s="33">
        <v>65.2597</v>
      </c>
      <c r="BH76" s="33">
        <v>8.91458</v>
      </c>
      <c r="BI76" s="33">
        <v>1.12657</v>
      </c>
      <c r="BJ76" s="33">
        <v>0.464622</v>
      </c>
      <c r="BK76" s="33">
        <v>34.0266</v>
      </c>
      <c r="BL76" s="33">
        <v>71456.0</v>
      </c>
    </row>
    <row r="77" ht="15.75" customHeight="1">
      <c r="A77" s="33" t="s">
        <v>112</v>
      </c>
      <c r="B77" s="33" t="s">
        <v>62</v>
      </c>
      <c r="C77" s="34">
        <v>33505.8</v>
      </c>
      <c r="D77" s="33">
        <v>318.406</v>
      </c>
      <c r="E77" s="33">
        <v>57593.5</v>
      </c>
      <c r="F77" s="33">
        <v>32.61</v>
      </c>
      <c r="G77" s="33">
        <v>66.2062</v>
      </c>
      <c r="H77" s="33">
        <v>992.258</v>
      </c>
      <c r="I77" s="33">
        <v>356.236</v>
      </c>
      <c r="J77" s="34">
        <v>1.64718E7</v>
      </c>
      <c r="K77" s="34">
        <v>0.220016</v>
      </c>
      <c r="L77" s="33">
        <v>0.672951</v>
      </c>
      <c r="M77" s="33">
        <v>3.05247</v>
      </c>
      <c r="N77" s="33">
        <v>19.0611</v>
      </c>
      <c r="O77" s="33">
        <v>53.1984</v>
      </c>
      <c r="P77" s="33">
        <v>23.9242</v>
      </c>
      <c r="Q77" s="33">
        <v>0.0908998</v>
      </c>
      <c r="R77" s="34">
        <v>85.0997</v>
      </c>
      <c r="S77" s="33">
        <v>1.65086</v>
      </c>
      <c r="T77" s="33">
        <v>5.93341</v>
      </c>
      <c r="U77" s="33">
        <v>17.8032</v>
      </c>
      <c r="V77" s="33">
        <v>52.0548</v>
      </c>
      <c r="W77" s="33">
        <v>18.5377</v>
      </c>
      <c r="X77" s="33">
        <v>4.02012</v>
      </c>
      <c r="Y77" s="34">
        <v>8.36217</v>
      </c>
      <c r="Z77" s="33">
        <v>0.0</v>
      </c>
      <c r="AA77" s="33">
        <v>99.9164</v>
      </c>
      <c r="AB77" s="33">
        <v>0.0835691</v>
      </c>
      <c r="AC77" s="33">
        <v>0.0</v>
      </c>
      <c r="AD77" s="33">
        <v>0.0</v>
      </c>
      <c r="AE77" s="33">
        <v>0.0</v>
      </c>
      <c r="AF77" s="34">
        <v>0.475378</v>
      </c>
      <c r="AG77" s="33">
        <v>0.595247</v>
      </c>
      <c r="AH77" s="33">
        <v>3.94828</v>
      </c>
      <c r="AI77" s="33">
        <v>11.2481</v>
      </c>
      <c r="AJ77" s="33">
        <v>22.8818</v>
      </c>
      <c r="AK77" s="33">
        <v>34.1563</v>
      </c>
      <c r="AL77" s="33">
        <v>27.1702</v>
      </c>
      <c r="AM77" s="34">
        <v>0.248837</v>
      </c>
      <c r="AN77" s="33">
        <v>0.460363</v>
      </c>
      <c r="AO77" s="33">
        <v>3.65212</v>
      </c>
      <c r="AP77" s="33">
        <v>37.4727</v>
      </c>
      <c r="AQ77" s="33">
        <v>44.2579</v>
      </c>
      <c r="AR77" s="33">
        <v>9.88608</v>
      </c>
      <c r="AS77" s="33">
        <v>4.27082</v>
      </c>
      <c r="AT77" s="33">
        <v>491.611</v>
      </c>
      <c r="AU77" s="34">
        <v>507.901</v>
      </c>
      <c r="AV77" s="34">
        <v>18781.2</v>
      </c>
      <c r="AW77" s="34">
        <v>0.141028</v>
      </c>
      <c r="AX77" s="33">
        <v>0.0058645</v>
      </c>
      <c r="AY77" s="33">
        <v>0.190596</v>
      </c>
      <c r="AZ77" s="33">
        <v>0.387057</v>
      </c>
      <c r="BA77" s="33">
        <v>3.52896</v>
      </c>
      <c r="BB77" s="33">
        <v>74.7093</v>
      </c>
      <c r="BC77" s="33">
        <v>21.1782</v>
      </c>
      <c r="BD77" s="34">
        <v>37.5231</v>
      </c>
      <c r="BE77" s="33">
        <v>0.0</v>
      </c>
      <c r="BF77" s="33">
        <v>18.7341</v>
      </c>
      <c r="BG77" s="33">
        <v>65.3745</v>
      </c>
      <c r="BH77" s="33">
        <v>13.3095</v>
      </c>
      <c r="BI77" s="33">
        <v>1.96901</v>
      </c>
      <c r="BJ77" s="33">
        <v>0.61284</v>
      </c>
      <c r="BK77" s="33">
        <v>34.1222</v>
      </c>
      <c r="BL77" s="33">
        <v>68207.0</v>
      </c>
    </row>
    <row r="78" ht="15.75" customHeight="1">
      <c r="A78" s="33" t="s">
        <v>113</v>
      </c>
      <c r="B78" s="33" t="s">
        <v>62</v>
      </c>
      <c r="C78" s="34">
        <v>34739.0</v>
      </c>
      <c r="D78" s="33">
        <v>237.789</v>
      </c>
      <c r="E78" s="33">
        <v>63560.5</v>
      </c>
      <c r="F78" s="33">
        <v>31.8561</v>
      </c>
      <c r="G78" s="33">
        <v>70.7961</v>
      </c>
      <c r="H78" s="33">
        <v>1015.25</v>
      </c>
      <c r="I78" s="33">
        <v>355.596</v>
      </c>
      <c r="J78" s="34">
        <v>1.6767E7</v>
      </c>
      <c r="K78" s="34">
        <v>0.227591</v>
      </c>
      <c r="L78" s="33">
        <v>0.547425</v>
      </c>
      <c r="M78" s="33">
        <v>2.49458</v>
      </c>
      <c r="N78" s="33">
        <v>16.2967</v>
      </c>
      <c r="O78" s="33">
        <v>55.7995</v>
      </c>
      <c r="P78" s="33">
        <v>24.8279</v>
      </c>
      <c r="Q78" s="33">
        <v>0.0338753</v>
      </c>
      <c r="R78" s="34">
        <v>89.092</v>
      </c>
      <c r="S78" s="33">
        <v>1.22087</v>
      </c>
      <c r="T78" s="33">
        <v>3.89837</v>
      </c>
      <c r="U78" s="33">
        <v>13.4079</v>
      </c>
      <c r="V78" s="33">
        <v>54.3211</v>
      </c>
      <c r="W78" s="33">
        <v>23.3333</v>
      </c>
      <c r="X78" s="33">
        <v>3.81843</v>
      </c>
      <c r="Y78" s="34">
        <v>8.76875</v>
      </c>
      <c r="Z78" s="33">
        <v>0.0</v>
      </c>
      <c r="AA78" s="33">
        <v>99.8577</v>
      </c>
      <c r="AB78" s="33">
        <v>0.142276</v>
      </c>
      <c r="AC78" s="33">
        <v>0.0</v>
      </c>
      <c r="AD78" s="33">
        <v>0.0</v>
      </c>
      <c r="AE78" s="33">
        <v>0.0</v>
      </c>
      <c r="AF78" s="34">
        <v>0.50028</v>
      </c>
      <c r="AG78" s="33">
        <v>0.291328</v>
      </c>
      <c r="AH78" s="33">
        <v>2.64634</v>
      </c>
      <c r="AI78" s="33">
        <v>8.89295</v>
      </c>
      <c r="AJ78" s="33">
        <v>19.0095</v>
      </c>
      <c r="AK78" s="33">
        <v>38.1504</v>
      </c>
      <c r="AL78" s="33">
        <v>31.0095</v>
      </c>
      <c r="AM78" s="34">
        <v>0.218124</v>
      </c>
      <c r="AN78" s="33">
        <v>0.668022</v>
      </c>
      <c r="AO78" s="33">
        <v>3.45528</v>
      </c>
      <c r="AP78" s="33">
        <v>44.4986</v>
      </c>
      <c r="AQ78" s="33">
        <v>43.1802</v>
      </c>
      <c r="AR78" s="33">
        <v>5.55285</v>
      </c>
      <c r="AS78" s="33">
        <v>2.64499</v>
      </c>
      <c r="AT78" s="33">
        <v>482.658</v>
      </c>
      <c r="AU78" s="34">
        <v>503.439</v>
      </c>
      <c r="AV78" s="34">
        <v>20247.9</v>
      </c>
      <c r="AW78" s="34">
        <v>0.115159</v>
      </c>
      <c r="AX78" s="33">
        <v>0.00135501</v>
      </c>
      <c r="AY78" s="33">
        <v>0.319783</v>
      </c>
      <c r="AZ78" s="33">
        <v>0.586721</v>
      </c>
      <c r="BA78" s="33">
        <v>3.21545</v>
      </c>
      <c r="BB78" s="33">
        <v>81.1477</v>
      </c>
      <c r="BC78" s="33">
        <v>14.729</v>
      </c>
      <c r="BD78" s="34">
        <v>36.004</v>
      </c>
      <c r="BE78" s="33">
        <v>0.0</v>
      </c>
      <c r="BF78" s="33">
        <v>17.9932</v>
      </c>
      <c r="BG78" s="33">
        <v>71.5285</v>
      </c>
      <c r="BH78" s="33">
        <v>8.75068</v>
      </c>
      <c r="BI78" s="33">
        <v>1.1206</v>
      </c>
      <c r="BJ78" s="33">
        <v>0.607046</v>
      </c>
      <c r="BK78" s="33">
        <v>35.6853</v>
      </c>
      <c r="BL78" s="33">
        <v>73800.0</v>
      </c>
    </row>
    <row r="79" ht="15.75" customHeight="1">
      <c r="A79" s="33" t="s">
        <v>113</v>
      </c>
      <c r="B79" s="33" t="s">
        <v>62</v>
      </c>
      <c r="C79" s="34">
        <v>40460.2</v>
      </c>
      <c r="D79" s="33">
        <v>369.477</v>
      </c>
      <c r="E79" s="33">
        <v>83963.3</v>
      </c>
      <c r="F79" s="33">
        <v>26.6347</v>
      </c>
      <c r="G79" s="33">
        <v>76.0241</v>
      </c>
      <c r="H79" s="33">
        <v>1154.63</v>
      </c>
      <c r="I79" s="33">
        <v>428.21</v>
      </c>
      <c r="J79" s="34">
        <v>2.27104E7</v>
      </c>
      <c r="K79" s="34">
        <v>0.219738</v>
      </c>
      <c r="L79" s="33">
        <v>0.409003</v>
      </c>
      <c r="M79" s="33">
        <v>2.4102</v>
      </c>
      <c r="N79" s="33">
        <v>18.6948</v>
      </c>
      <c r="O79" s="33">
        <v>57.045</v>
      </c>
      <c r="P79" s="33">
        <v>21.4154</v>
      </c>
      <c r="Q79" s="33">
        <v>0.0255627</v>
      </c>
      <c r="R79" s="34">
        <v>84.0982</v>
      </c>
      <c r="S79" s="33">
        <v>1.27083</v>
      </c>
      <c r="T79" s="33">
        <v>4.88126</v>
      </c>
      <c r="U79" s="33">
        <v>19.3388</v>
      </c>
      <c r="V79" s="33">
        <v>57.3907</v>
      </c>
      <c r="W79" s="33">
        <v>14.0802</v>
      </c>
      <c r="X79" s="33">
        <v>3.03831</v>
      </c>
      <c r="Y79" s="34">
        <v>9.76551</v>
      </c>
      <c r="Z79" s="33">
        <v>0.0</v>
      </c>
      <c r="AA79" s="33">
        <v>99.7626</v>
      </c>
      <c r="AB79" s="33">
        <v>0.237368</v>
      </c>
      <c r="AC79" s="33">
        <v>0.0</v>
      </c>
      <c r="AD79" s="33">
        <v>0.0</v>
      </c>
      <c r="AE79" s="33">
        <v>0.0</v>
      </c>
      <c r="AF79" s="34">
        <v>0.438136</v>
      </c>
      <c r="AG79" s="33">
        <v>0.49056</v>
      </c>
      <c r="AH79" s="33">
        <v>4.14846</v>
      </c>
      <c r="AI79" s="33">
        <v>13.3778</v>
      </c>
      <c r="AJ79" s="33">
        <v>30.6071</v>
      </c>
      <c r="AK79" s="33">
        <v>37.6027</v>
      </c>
      <c r="AL79" s="33">
        <v>13.7734</v>
      </c>
      <c r="AM79" s="34">
        <v>0.247479</v>
      </c>
      <c r="AN79" s="33">
        <v>0.155811</v>
      </c>
      <c r="AO79" s="33">
        <v>2.80581</v>
      </c>
      <c r="AP79" s="33">
        <v>33.9059</v>
      </c>
      <c r="AQ79" s="33">
        <v>52.0261</v>
      </c>
      <c r="AR79" s="33">
        <v>9.05649</v>
      </c>
      <c r="AS79" s="33">
        <v>2.04988</v>
      </c>
      <c r="AT79" s="33">
        <v>561.301</v>
      </c>
      <c r="AU79" s="34">
        <v>583.839</v>
      </c>
      <c r="AV79" s="34">
        <v>22363.4</v>
      </c>
      <c r="AW79" s="34">
        <v>0.152833</v>
      </c>
      <c r="AX79" s="33">
        <v>0.0</v>
      </c>
      <c r="AY79" s="33">
        <v>0.0596463</v>
      </c>
      <c r="AZ79" s="33">
        <v>0.209371</v>
      </c>
      <c r="BA79" s="33">
        <v>2.6926</v>
      </c>
      <c r="BB79" s="33">
        <v>71.2164</v>
      </c>
      <c r="BC79" s="33">
        <v>25.822</v>
      </c>
      <c r="BD79" s="34">
        <v>36.5719</v>
      </c>
      <c r="BE79" s="33">
        <v>0.0</v>
      </c>
      <c r="BF79" s="33">
        <v>17.6249</v>
      </c>
      <c r="BG79" s="33">
        <v>69.8932</v>
      </c>
      <c r="BH79" s="33">
        <v>11.317</v>
      </c>
      <c r="BI79" s="33">
        <v>0.894694</v>
      </c>
      <c r="BJ79" s="33">
        <v>0.270234</v>
      </c>
      <c r="BK79" s="33">
        <v>33.5885</v>
      </c>
      <c r="BL79" s="33">
        <v>82151.0</v>
      </c>
    </row>
    <row r="80" ht="15.75" customHeight="1">
      <c r="A80" s="33" t="s">
        <v>113</v>
      </c>
      <c r="B80" s="33" t="s">
        <v>62</v>
      </c>
      <c r="C80" s="34">
        <v>40071.8</v>
      </c>
      <c r="D80" s="33">
        <v>343.763</v>
      </c>
      <c r="E80" s="33">
        <v>68922.0</v>
      </c>
      <c r="F80" s="33">
        <v>34.368</v>
      </c>
      <c r="G80" s="33">
        <v>75.8699</v>
      </c>
      <c r="H80" s="33">
        <v>1011.14</v>
      </c>
      <c r="I80" s="33">
        <v>347.015</v>
      </c>
      <c r="J80" s="34">
        <v>2.11049E7</v>
      </c>
      <c r="K80" s="34">
        <v>0.218381</v>
      </c>
      <c r="L80" s="33">
        <v>0.288016</v>
      </c>
      <c r="M80" s="33">
        <v>2.18822</v>
      </c>
      <c r="N80" s="33">
        <v>19.1683</v>
      </c>
      <c r="O80" s="33">
        <v>58.6311</v>
      </c>
      <c r="P80" s="33">
        <v>19.694</v>
      </c>
      <c r="Q80" s="33">
        <v>0.0304407</v>
      </c>
      <c r="R80" s="34">
        <v>87.0495</v>
      </c>
      <c r="S80" s="33">
        <v>0.992835</v>
      </c>
      <c r="T80" s="33">
        <v>4.11535</v>
      </c>
      <c r="U80" s="33">
        <v>16.8419</v>
      </c>
      <c r="V80" s="33">
        <v>54.1751</v>
      </c>
      <c r="W80" s="33">
        <v>20.2325</v>
      </c>
      <c r="X80" s="33">
        <v>3.64235</v>
      </c>
      <c r="Y80" s="34">
        <v>9.43327</v>
      </c>
      <c r="Z80" s="33">
        <v>0.0</v>
      </c>
      <c r="AA80" s="33">
        <v>99.7143</v>
      </c>
      <c r="AB80" s="33">
        <v>0.285674</v>
      </c>
      <c r="AC80" s="33">
        <v>0.0</v>
      </c>
      <c r="AD80" s="33">
        <v>0.0</v>
      </c>
      <c r="AE80" s="33">
        <v>0.0</v>
      </c>
      <c r="AF80" s="34">
        <v>0.477412</v>
      </c>
      <c r="AG80" s="33">
        <v>0.432024</v>
      </c>
      <c r="AH80" s="33">
        <v>3.2232</v>
      </c>
      <c r="AI80" s="33">
        <v>11.3239</v>
      </c>
      <c r="AJ80" s="33">
        <v>22.7369</v>
      </c>
      <c r="AK80" s="33">
        <v>36.0991</v>
      </c>
      <c r="AL80" s="33">
        <v>26.1848</v>
      </c>
      <c r="AM80" s="34">
        <v>0.219636</v>
      </c>
      <c r="AN80" s="33">
        <v>0.183815</v>
      </c>
      <c r="AO80" s="33">
        <v>3.72196</v>
      </c>
      <c r="AP80" s="33">
        <v>43.1345</v>
      </c>
      <c r="AQ80" s="33">
        <v>44.6085</v>
      </c>
      <c r="AR80" s="33">
        <v>6.55763</v>
      </c>
      <c r="AS80" s="33">
        <v>1.79366</v>
      </c>
      <c r="AT80" s="33">
        <v>526.677</v>
      </c>
      <c r="AU80" s="34">
        <v>540.712</v>
      </c>
      <c r="AV80" s="34">
        <v>23687.1</v>
      </c>
      <c r="AW80" s="34">
        <v>0.127046</v>
      </c>
      <c r="AX80" s="33">
        <v>0.00234159</v>
      </c>
      <c r="AY80" s="33">
        <v>0.0854681</v>
      </c>
      <c r="AZ80" s="33">
        <v>0.251721</v>
      </c>
      <c r="BA80" s="33">
        <v>3.56624</v>
      </c>
      <c r="BB80" s="33">
        <v>78.4304</v>
      </c>
      <c r="BC80" s="33">
        <v>17.6638</v>
      </c>
      <c r="BD80" s="34">
        <v>34.7481</v>
      </c>
      <c r="BE80" s="33">
        <v>0.0</v>
      </c>
      <c r="BF80" s="33">
        <v>20.2232</v>
      </c>
      <c r="BG80" s="33">
        <v>70.7371</v>
      </c>
      <c r="BH80" s="33">
        <v>8.06093</v>
      </c>
      <c r="BI80" s="33">
        <v>0.724723</v>
      </c>
      <c r="BJ80" s="33">
        <v>0.254063</v>
      </c>
      <c r="BK80" s="33">
        <v>36.2758</v>
      </c>
      <c r="BL80" s="33">
        <v>85412.0</v>
      </c>
    </row>
    <row r="81" ht="15.75" customHeight="1">
      <c r="A81" s="33" t="s">
        <v>113</v>
      </c>
      <c r="B81" s="33" t="s">
        <v>62</v>
      </c>
      <c r="C81" s="34">
        <v>35946.3</v>
      </c>
      <c r="D81" s="33">
        <v>380.706</v>
      </c>
      <c r="E81" s="33">
        <v>63903.5</v>
      </c>
      <c r="F81" s="33">
        <v>31.0658</v>
      </c>
      <c r="G81" s="33">
        <v>67.4857</v>
      </c>
      <c r="H81" s="33">
        <v>976.172</v>
      </c>
      <c r="I81" s="33">
        <v>385.484</v>
      </c>
      <c r="J81" s="34">
        <v>2.00047E7</v>
      </c>
      <c r="K81" s="34">
        <v>0.213125</v>
      </c>
      <c r="L81" s="33">
        <v>0.452093</v>
      </c>
      <c r="M81" s="33">
        <v>2.67978</v>
      </c>
      <c r="N81" s="33">
        <v>22.5036</v>
      </c>
      <c r="O81" s="33">
        <v>52.6832</v>
      </c>
      <c r="P81" s="33">
        <v>21.6568</v>
      </c>
      <c r="Q81" s="33">
        <v>0.0245851</v>
      </c>
      <c r="R81" s="34">
        <v>82.839</v>
      </c>
      <c r="S81" s="33">
        <v>1.39179</v>
      </c>
      <c r="T81" s="33">
        <v>8.40128</v>
      </c>
      <c r="U81" s="33">
        <v>20.1543</v>
      </c>
      <c r="V81" s="33">
        <v>49.8996</v>
      </c>
      <c r="W81" s="33">
        <v>16.5881</v>
      </c>
      <c r="X81" s="33">
        <v>3.56484</v>
      </c>
      <c r="Y81" s="34">
        <v>9.43746</v>
      </c>
      <c r="Z81" s="33">
        <v>0.0</v>
      </c>
      <c r="AA81" s="33">
        <v>99.4769</v>
      </c>
      <c r="AB81" s="33">
        <v>0.523117</v>
      </c>
      <c r="AC81" s="33">
        <v>0.0</v>
      </c>
      <c r="AD81" s="33">
        <v>0.0</v>
      </c>
      <c r="AE81" s="33">
        <v>0.0</v>
      </c>
      <c r="AF81" s="34">
        <v>0.44151</v>
      </c>
      <c r="AG81" s="33">
        <v>0.734822</v>
      </c>
      <c r="AH81" s="33">
        <v>7.0491</v>
      </c>
      <c r="AI81" s="33">
        <v>14.1296</v>
      </c>
      <c r="AJ81" s="33">
        <v>23.472</v>
      </c>
      <c r="AK81" s="33">
        <v>34.1296</v>
      </c>
      <c r="AL81" s="33">
        <v>20.4849</v>
      </c>
      <c r="AM81" s="34">
        <v>0.25711</v>
      </c>
      <c r="AN81" s="33">
        <v>0.165267</v>
      </c>
      <c r="AO81" s="33">
        <v>3.36816</v>
      </c>
      <c r="AP81" s="33">
        <v>35.77</v>
      </c>
      <c r="AQ81" s="33">
        <v>44.693</v>
      </c>
      <c r="AR81" s="33">
        <v>11.6069</v>
      </c>
      <c r="AS81" s="33">
        <v>4.39664</v>
      </c>
      <c r="AT81" s="33">
        <v>556.516</v>
      </c>
      <c r="AU81" s="34">
        <v>570.639</v>
      </c>
      <c r="AV81" s="34">
        <v>19852.2</v>
      </c>
      <c r="AW81" s="34">
        <v>0.164203</v>
      </c>
      <c r="AX81" s="33">
        <v>0.0</v>
      </c>
      <c r="AY81" s="33">
        <v>0.0641945</v>
      </c>
      <c r="AZ81" s="33">
        <v>0.169364</v>
      </c>
      <c r="BA81" s="33">
        <v>3.29987</v>
      </c>
      <c r="BB81" s="33">
        <v>69.8108</v>
      </c>
      <c r="BC81" s="33">
        <v>26.6557</v>
      </c>
      <c r="BD81" s="34">
        <v>37.2831</v>
      </c>
      <c r="BE81" s="33">
        <v>0.0</v>
      </c>
      <c r="BF81" s="33">
        <v>18.6205</v>
      </c>
      <c r="BG81" s="33">
        <v>65.2339</v>
      </c>
      <c r="BH81" s="33">
        <v>14.4998</v>
      </c>
      <c r="BI81" s="33">
        <v>1.25111</v>
      </c>
      <c r="BJ81" s="33">
        <v>0.394728</v>
      </c>
      <c r="BK81" s="33">
        <v>33.5536</v>
      </c>
      <c r="BL81" s="33">
        <v>73215.0</v>
      </c>
    </row>
    <row r="82" ht="15.75" customHeight="1">
      <c r="A82" s="33" t="s">
        <v>94</v>
      </c>
      <c r="B82" s="33" t="s">
        <v>64</v>
      </c>
      <c r="C82" s="34">
        <v>30968.9</v>
      </c>
      <c r="D82" s="33">
        <v>451.037</v>
      </c>
      <c r="E82" s="33">
        <v>72245.2</v>
      </c>
      <c r="F82" s="33">
        <v>22.7046</v>
      </c>
      <c r="G82" s="33">
        <v>70.9969</v>
      </c>
      <c r="H82" s="33">
        <v>1039.76</v>
      </c>
      <c r="I82" s="33">
        <v>366.39</v>
      </c>
      <c r="J82" s="34">
        <v>1.7431E7</v>
      </c>
      <c r="K82" s="34">
        <v>0.196505</v>
      </c>
      <c r="L82" s="33">
        <v>0.314273</v>
      </c>
      <c r="M82" s="33">
        <v>4.1484</v>
      </c>
      <c r="N82" s="33">
        <v>26.0532</v>
      </c>
      <c r="O82" s="33">
        <v>52.9318</v>
      </c>
      <c r="P82" s="33">
        <v>16.5324</v>
      </c>
      <c r="Q82" s="33">
        <v>0.0198488</v>
      </c>
      <c r="R82" s="34">
        <v>84.1589</v>
      </c>
      <c r="S82" s="33">
        <v>2.27931</v>
      </c>
      <c r="T82" s="33">
        <v>6.35824</v>
      </c>
      <c r="U82" s="33">
        <v>20.2971</v>
      </c>
      <c r="V82" s="33">
        <v>49.1837</v>
      </c>
      <c r="W82" s="33">
        <v>15.9601</v>
      </c>
      <c r="X82" s="33">
        <v>5.92156</v>
      </c>
      <c r="Y82" s="34">
        <v>10.9188</v>
      </c>
      <c r="Z82" s="33">
        <v>0.0</v>
      </c>
      <c r="AA82" s="33">
        <v>97.9572</v>
      </c>
      <c r="AB82" s="33">
        <v>1.26702</v>
      </c>
      <c r="AC82" s="33">
        <v>0.464793</v>
      </c>
      <c r="AD82" s="33">
        <v>0.310965</v>
      </c>
      <c r="AE82" s="33">
        <v>0.0</v>
      </c>
      <c r="AF82" s="34">
        <v>0.410422</v>
      </c>
      <c r="AG82" s="33">
        <v>1.85586</v>
      </c>
      <c r="AH82" s="33">
        <v>5.8339</v>
      </c>
      <c r="AI82" s="33">
        <v>17.4835</v>
      </c>
      <c r="AJ82" s="33">
        <v>27.9835</v>
      </c>
      <c r="AK82" s="33">
        <v>33.7463</v>
      </c>
      <c r="AL82" s="33">
        <v>13.0969</v>
      </c>
      <c r="AM82" s="34">
        <v>0.218031</v>
      </c>
      <c r="AN82" s="33">
        <v>0.921316</v>
      </c>
      <c r="AO82" s="33">
        <v>5.5312</v>
      </c>
      <c r="AP82" s="33">
        <v>39.4727</v>
      </c>
      <c r="AQ82" s="33">
        <v>44.4729</v>
      </c>
      <c r="AR82" s="33">
        <v>7.33579</v>
      </c>
      <c r="AS82" s="33">
        <v>2.26607</v>
      </c>
      <c r="AT82" s="33">
        <v>562.855</v>
      </c>
      <c r="AU82" s="34">
        <v>569.872</v>
      </c>
      <c r="AV82" s="34">
        <v>16403.0</v>
      </c>
      <c r="AW82" s="34">
        <v>0.136954</v>
      </c>
      <c r="AX82" s="33">
        <v>0.309311</v>
      </c>
      <c r="AY82" s="33">
        <v>0.451561</v>
      </c>
      <c r="AZ82" s="33">
        <v>0.918008</v>
      </c>
      <c r="BA82" s="33">
        <v>4.76702</v>
      </c>
      <c r="BB82" s="33">
        <v>67.4794</v>
      </c>
      <c r="BC82" s="33">
        <v>26.0747</v>
      </c>
      <c r="BD82" s="34">
        <v>33.6973</v>
      </c>
      <c r="BE82" s="33">
        <v>0.0</v>
      </c>
      <c r="BF82" s="33">
        <v>26.2583</v>
      </c>
      <c r="BG82" s="33">
        <v>63.589</v>
      </c>
      <c r="BH82" s="33">
        <v>8.40928</v>
      </c>
      <c r="BI82" s="33">
        <v>1.0983</v>
      </c>
      <c r="BJ82" s="33">
        <v>0.645087</v>
      </c>
      <c r="BK82" s="33">
        <v>32.0039</v>
      </c>
      <c r="BL82" s="33">
        <v>60457.0</v>
      </c>
    </row>
    <row r="83" ht="15.75" customHeight="1">
      <c r="A83" s="33" t="s">
        <v>94</v>
      </c>
      <c r="B83" s="33" t="s">
        <v>64</v>
      </c>
      <c r="C83" s="34">
        <v>35160.7</v>
      </c>
      <c r="D83" s="33">
        <v>359.798</v>
      </c>
      <c r="E83" s="33">
        <v>75477.2</v>
      </c>
      <c r="F83" s="33">
        <v>23.0908</v>
      </c>
      <c r="G83" s="33">
        <v>85.7202</v>
      </c>
      <c r="H83" s="33">
        <v>1028.65</v>
      </c>
      <c r="I83" s="33">
        <v>361.505</v>
      </c>
      <c r="J83" s="34">
        <v>2.10993E7</v>
      </c>
      <c r="K83" s="34">
        <v>0.205224</v>
      </c>
      <c r="L83" s="33">
        <v>0.351522</v>
      </c>
      <c r="M83" s="33">
        <v>3.39707</v>
      </c>
      <c r="N83" s="33">
        <v>22.8241</v>
      </c>
      <c r="O83" s="33">
        <v>55.418</v>
      </c>
      <c r="P83" s="33">
        <v>17.9918</v>
      </c>
      <c r="Q83" s="33">
        <v>0.0175032</v>
      </c>
      <c r="R83" s="34">
        <v>82.7973</v>
      </c>
      <c r="S83" s="33">
        <v>1.62342</v>
      </c>
      <c r="T83" s="33">
        <v>7.31195</v>
      </c>
      <c r="U83" s="33">
        <v>19.2199</v>
      </c>
      <c r="V83" s="33">
        <v>54.4538</v>
      </c>
      <c r="W83" s="33">
        <v>13.5912</v>
      </c>
      <c r="X83" s="33">
        <v>3.79965</v>
      </c>
      <c r="Y83" s="34">
        <v>9.37518</v>
      </c>
      <c r="Z83" s="33">
        <v>0.0</v>
      </c>
      <c r="AA83" s="33">
        <v>99.6003</v>
      </c>
      <c r="AB83" s="33">
        <v>0.398197</v>
      </c>
      <c r="AC83" s="33">
        <v>0.0014586</v>
      </c>
      <c r="AD83" s="33">
        <v>0.0</v>
      </c>
      <c r="AE83" s="33">
        <v>0.0</v>
      </c>
      <c r="AF83" s="34">
        <v>0.41436</v>
      </c>
      <c r="AG83" s="33">
        <v>1.29815</v>
      </c>
      <c r="AH83" s="33">
        <v>6.9896</v>
      </c>
      <c r="AI83" s="33">
        <v>14.8952</v>
      </c>
      <c r="AJ83" s="33">
        <v>29.0976</v>
      </c>
      <c r="AK83" s="33">
        <v>36.3978</v>
      </c>
      <c r="AL83" s="33">
        <v>11.3216</v>
      </c>
      <c r="AM83" s="34">
        <v>0.241256</v>
      </c>
      <c r="AN83" s="33">
        <v>0.23921</v>
      </c>
      <c r="AO83" s="33">
        <v>3.44083</v>
      </c>
      <c r="AP83" s="33">
        <v>35.1683</v>
      </c>
      <c r="AQ83" s="33">
        <v>49.9672</v>
      </c>
      <c r="AR83" s="33">
        <v>8.95871</v>
      </c>
      <c r="AS83" s="33">
        <v>2.22582</v>
      </c>
      <c r="AT83" s="33">
        <v>600.081</v>
      </c>
      <c r="AU83" s="34">
        <v>610.672</v>
      </c>
      <c r="AV83" s="34">
        <v>17428.3</v>
      </c>
      <c r="AW83" s="34">
        <v>0.161838</v>
      </c>
      <c r="AX83" s="33">
        <v>0.00437579</v>
      </c>
      <c r="AY83" s="33">
        <v>0.144401</v>
      </c>
      <c r="AZ83" s="33">
        <v>0.396739</v>
      </c>
      <c r="BA83" s="33">
        <v>3.13453</v>
      </c>
      <c r="BB83" s="33">
        <v>69.7939</v>
      </c>
      <c r="BC83" s="33">
        <v>26.5261</v>
      </c>
      <c r="BD83" s="34">
        <v>35.3574</v>
      </c>
      <c r="BE83" s="33">
        <v>0.0</v>
      </c>
      <c r="BF83" s="33">
        <v>20.3562</v>
      </c>
      <c r="BG83" s="33">
        <v>68.3689</v>
      </c>
      <c r="BH83" s="33">
        <v>10.3444</v>
      </c>
      <c r="BI83" s="33">
        <v>0.703044</v>
      </c>
      <c r="BJ83" s="33">
        <v>0.227541</v>
      </c>
      <c r="BK83" s="33">
        <v>29.7358</v>
      </c>
      <c r="BL83" s="33">
        <v>68559.0</v>
      </c>
    </row>
    <row r="84" ht="15.75" customHeight="1">
      <c r="A84" s="33" t="s">
        <v>94</v>
      </c>
      <c r="B84" s="33" t="s">
        <v>64</v>
      </c>
      <c r="C84" s="34">
        <v>37584.1</v>
      </c>
      <c r="D84" s="33">
        <v>346.918</v>
      </c>
      <c r="E84" s="33">
        <v>76776.5</v>
      </c>
      <c r="F84" s="33">
        <v>26.6966</v>
      </c>
      <c r="G84" s="33">
        <v>90.946</v>
      </c>
      <c r="H84" s="33">
        <v>1028.66</v>
      </c>
      <c r="I84" s="33">
        <v>350.733</v>
      </c>
      <c r="J84" s="34">
        <v>2.06322E7</v>
      </c>
      <c r="K84" s="34">
        <v>0.213833</v>
      </c>
      <c r="L84" s="33">
        <v>0.465148</v>
      </c>
      <c r="M84" s="33">
        <v>2.62186</v>
      </c>
      <c r="N84" s="33">
        <v>20.7964</v>
      </c>
      <c r="O84" s="33">
        <v>55.719</v>
      </c>
      <c r="P84" s="33">
        <v>20.384</v>
      </c>
      <c r="Q84" s="33">
        <v>0.0135217</v>
      </c>
      <c r="R84" s="34">
        <v>83.271</v>
      </c>
      <c r="S84" s="33">
        <v>1.47522</v>
      </c>
      <c r="T84" s="33">
        <v>5.89683</v>
      </c>
      <c r="U84" s="33">
        <v>20.0865</v>
      </c>
      <c r="V84" s="33">
        <v>55.0254</v>
      </c>
      <c r="W84" s="33">
        <v>14.6684</v>
      </c>
      <c r="X84" s="33">
        <v>2.84768</v>
      </c>
      <c r="Y84" s="34">
        <v>9.59191</v>
      </c>
      <c r="Z84" s="33">
        <v>0.0</v>
      </c>
      <c r="AA84" s="33">
        <v>99.6917</v>
      </c>
      <c r="AB84" s="33">
        <v>0.308296</v>
      </c>
      <c r="AC84" s="33">
        <v>0.0</v>
      </c>
      <c r="AD84" s="33">
        <v>0.0</v>
      </c>
      <c r="AE84" s="33">
        <v>0.0</v>
      </c>
      <c r="AF84" s="34">
        <v>0.426812</v>
      </c>
      <c r="AG84" s="33">
        <v>0.881617</v>
      </c>
      <c r="AH84" s="33">
        <v>5.64938</v>
      </c>
      <c r="AI84" s="33">
        <v>14.3222</v>
      </c>
      <c r="AJ84" s="33">
        <v>28.7648</v>
      </c>
      <c r="AK84" s="33">
        <v>37.8811</v>
      </c>
      <c r="AL84" s="33">
        <v>12.5008</v>
      </c>
      <c r="AM84" s="34">
        <v>0.245538</v>
      </c>
      <c r="AN84" s="33">
        <v>0.156852</v>
      </c>
      <c r="AO84" s="33">
        <v>2.60023</v>
      </c>
      <c r="AP84" s="33">
        <v>35.4094</v>
      </c>
      <c r="AQ84" s="33">
        <v>51.0135</v>
      </c>
      <c r="AR84" s="33">
        <v>8.45109</v>
      </c>
      <c r="AS84" s="33">
        <v>2.36901</v>
      </c>
      <c r="AT84" s="33">
        <v>548.96</v>
      </c>
      <c r="AU84" s="34">
        <v>565.072</v>
      </c>
      <c r="AV84" s="34">
        <v>20496.7</v>
      </c>
      <c r="AW84" s="34">
        <v>0.158698</v>
      </c>
      <c r="AX84" s="33">
        <v>0.00135217</v>
      </c>
      <c r="AY84" s="33">
        <v>0.0324522</v>
      </c>
      <c r="AZ84" s="33">
        <v>0.220404</v>
      </c>
      <c r="BA84" s="33">
        <v>2.50287</v>
      </c>
      <c r="BB84" s="33">
        <v>70.3577</v>
      </c>
      <c r="BC84" s="33">
        <v>26.8853</v>
      </c>
      <c r="BD84" s="34">
        <v>36.1503</v>
      </c>
      <c r="BE84" s="33">
        <v>0.0</v>
      </c>
      <c r="BF84" s="33">
        <v>18.5194</v>
      </c>
      <c r="BG84" s="33">
        <v>69.8344</v>
      </c>
      <c r="BH84" s="33">
        <v>10.3658</v>
      </c>
      <c r="BI84" s="33">
        <v>0.934352</v>
      </c>
      <c r="BJ84" s="33">
        <v>0.346156</v>
      </c>
      <c r="BK84" s="33">
        <v>33.0797</v>
      </c>
      <c r="BL84" s="33">
        <v>73955.0</v>
      </c>
    </row>
    <row r="85" ht="15.75" customHeight="1">
      <c r="A85" s="33" t="s">
        <v>94</v>
      </c>
      <c r="B85" s="33" t="s">
        <v>64</v>
      </c>
      <c r="C85" s="34">
        <v>36877.5</v>
      </c>
      <c r="D85" s="33">
        <v>366.37</v>
      </c>
      <c r="E85" s="33">
        <v>66421.6</v>
      </c>
      <c r="F85" s="33">
        <v>30.2586</v>
      </c>
      <c r="G85" s="33">
        <v>62.6966</v>
      </c>
      <c r="H85" s="33">
        <v>1001.67</v>
      </c>
      <c r="I85" s="33">
        <v>388.593</v>
      </c>
      <c r="J85" s="34">
        <v>2.16154E7</v>
      </c>
      <c r="K85" s="34">
        <v>0.208357</v>
      </c>
      <c r="L85" s="33">
        <v>0.535141</v>
      </c>
      <c r="M85" s="33">
        <v>3.09088</v>
      </c>
      <c r="N85" s="33">
        <v>22.2077</v>
      </c>
      <c r="O85" s="33">
        <v>54.8688</v>
      </c>
      <c r="P85" s="33">
        <v>19.292</v>
      </c>
      <c r="Q85" s="33">
        <v>0.00539185</v>
      </c>
      <c r="R85" s="34">
        <v>81.151</v>
      </c>
      <c r="S85" s="33">
        <v>1.72135</v>
      </c>
      <c r="T85" s="33">
        <v>7.80471</v>
      </c>
      <c r="U85" s="33">
        <v>20.9864</v>
      </c>
      <c r="V85" s="33">
        <v>55.1061</v>
      </c>
      <c r="W85" s="33">
        <v>11.6114</v>
      </c>
      <c r="X85" s="33">
        <v>2.77006</v>
      </c>
      <c r="Y85" s="34">
        <v>9.94868</v>
      </c>
      <c r="Z85" s="33">
        <v>0.0</v>
      </c>
      <c r="AA85" s="33">
        <v>99.2842</v>
      </c>
      <c r="AB85" s="33">
        <v>0.713073</v>
      </c>
      <c r="AC85" s="33">
        <v>0.00269593</v>
      </c>
      <c r="AD85" s="33">
        <v>0.0</v>
      </c>
      <c r="AE85" s="33">
        <v>0.0</v>
      </c>
      <c r="AF85" s="34">
        <v>0.403663</v>
      </c>
      <c r="AG85" s="33">
        <v>1.22665</v>
      </c>
      <c r="AH85" s="33">
        <v>7.68609</v>
      </c>
      <c r="AI85" s="33">
        <v>16.6595</v>
      </c>
      <c r="AJ85" s="33">
        <v>27.4917</v>
      </c>
      <c r="AK85" s="33">
        <v>39.0451</v>
      </c>
      <c r="AL85" s="33">
        <v>7.89098</v>
      </c>
      <c r="AM85" s="34">
        <v>0.266703</v>
      </c>
      <c r="AN85" s="33">
        <v>0.339687</v>
      </c>
      <c r="AO85" s="33">
        <v>2.31041</v>
      </c>
      <c r="AP85" s="33">
        <v>31.9508</v>
      </c>
      <c r="AQ85" s="33">
        <v>50.31</v>
      </c>
      <c r="AR85" s="33">
        <v>10.5546</v>
      </c>
      <c r="AS85" s="33">
        <v>4.53455</v>
      </c>
      <c r="AT85" s="33">
        <v>586.142</v>
      </c>
      <c r="AU85" s="34">
        <v>595.072</v>
      </c>
      <c r="AV85" s="34">
        <v>20098.3</v>
      </c>
      <c r="AW85" s="34">
        <v>0.180076</v>
      </c>
      <c r="AX85" s="33">
        <v>0.00134796</v>
      </c>
      <c r="AY85" s="33">
        <v>0.23185</v>
      </c>
      <c r="AZ85" s="33">
        <v>0.301944</v>
      </c>
      <c r="BA85" s="33">
        <v>2.11495</v>
      </c>
      <c r="BB85" s="33">
        <v>66.4128</v>
      </c>
      <c r="BC85" s="33">
        <v>30.9371</v>
      </c>
      <c r="BD85" s="34">
        <v>37.4649</v>
      </c>
      <c r="BE85" s="33">
        <v>0.0</v>
      </c>
      <c r="BF85" s="33">
        <v>18.3363</v>
      </c>
      <c r="BG85" s="33">
        <v>66.092</v>
      </c>
      <c r="BH85" s="33">
        <v>13.4392</v>
      </c>
      <c r="BI85" s="33">
        <v>1.67552</v>
      </c>
      <c r="BJ85" s="33">
        <v>0.45696</v>
      </c>
      <c r="BK85" s="33">
        <v>33.0547</v>
      </c>
      <c r="BL85" s="33">
        <v>74186.0</v>
      </c>
    </row>
    <row r="86" ht="15.75" customHeight="1">
      <c r="A86" s="33" t="s">
        <v>111</v>
      </c>
      <c r="B86" s="33" t="s">
        <v>64</v>
      </c>
      <c r="C86" s="34">
        <v>41325.4</v>
      </c>
      <c r="D86" s="33">
        <v>392.001</v>
      </c>
      <c r="E86" s="33">
        <v>76691.8</v>
      </c>
      <c r="F86" s="33">
        <v>28.528</v>
      </c>
      <c r="G86" s="33">
        <v>81.6743</v>
      </c>
      <c r="H86" s="33">
        <v>1082.85</v>
      </c>
      <c r="I86" s="33">
        <v>361.248</v>
      </c>
      <c r="J86" s="34">
        <v>2.2326E7</v>
      </c>
      <c r="K86" s="34">
        <v>0.206837</v>
      </c>
      <c r="L86" s="33">
        <v>0.50151</v>
      </c>
      <c r="M86" s="33">
        <v>3.48562</v>
      </c>
      <c r="N86" s="33">
        <v>21.3129</v>
      </c>
      <c r="O86" s="33">
        <v>56.5358</v>
      </c>
      <c r="P86" s="33">
        <v>18.1554</v>
      </c>
      <c r="Q86" s="33">
        <v>0.00873275</v>
      </c>
      <c r="R86" s="34">
        <v>82.9696</v>
      </c>
      <c r="S86" s="33">
        <v>1.73532</v>
      </c>
      <c r="T86" s="33">
        <v>6.16907</v>
      </c>
      <c r="U86" s="33">
        <v>21.3117</v>
      </c>
      <c r="V86" s="33">
        <v>52.6111</v>
      </c>
      <c r="W86" s="33">
        <v>13.905</v>
      </c>
      <c r="X86" s="33">
        <v>4.26782</v>
      </c>
      <c r="Y86" s="34">
        <v>9.87074</v>
      </c>
      <c r="Z86" s="33">
        <v>0.0</v>
      </c>
      <c r="AA86" s="33">
        <v>99.3687</v>
      </c>
      <c r="AB86" s="33">
        <v>0.476559</v>
      </c>
      <c r="AC86" s="33">
        <v>0.0898226</v>
      </c>
      <c r="AD86" s="33">
        <v>0.0648719</v>
      </c>
      <c r="AE86" s="33">
        <v>0.0</v>
      </c>
      <c r="AF86" s="34">
        <v>0.429086</v>
      </c>
      <c r="AG86" s="33">
        <v>1.23007</v>
      </c>
      <c r="AH86" s="33">
        <v>4.7843</v>
      </c>
      <c r="AI86" s="33">
        <v>14.5475</v>
      </c>
      <c r="AJ86" s="33">
        <v>30.269</v>
      </c>
      <c r="AK86" s="33">
        <v>33.7533</v>
      </c>
      <c r="AL86" s="33">
        <v>15.4158</v>
      </c>
      <c r="AM86" s="34">
        <v>0.248041</v>
      </c>
      <c r="AN86" s="33">
        <v>0.610045</v>
      </c>
      <c r="AO86" s="33">
        <v>3.62035</v>
      </c>
      <c r="AP86" s="33">
        <v>34.5081</v>
      </c>
      <c r="AQ86" s="33">
        <v>47.5236</v>
      </c>
      <c r="AR86" s="33">
        <v>10.7812</v>
      </c>
      <c r="AS86" s="33">
        <v>2.95666</v>
      </c>
      <c r="AT86" s="33">
        <v>540.249</v>
      </c>
      <c r="AU86" s="34">
        <v>555.108</v>
      </c>
      <c r="AV86" s="34">
        <v>21878.6</v>
      </c>
      <c r="AW86" s="34">
        <v>0.156333</v>
      </c>
      <c r="AX86" s="33">
        <v>0.034931</v>
      </c>
      <c r="AY86" s="33">
        <v>0.353053</v>
      </c>
      <c r="AZ86" s="33">
        <v>0.550163</v>
      </c>
      <c r="BA86" s="33">
        <v>3.29225</v>
      </c>
      <c r="BB86" s="33">
        <v>68.4024</v>
      </c>
      <c r="BC86" s="33">
        <v>27.3672</v>
      </c>
      <c r="BD86" s="34">
        <v>36.1799</v>
      </c>
      <c r="BE86" s="33">
        <v>0.0</v>
      </c>
      <c r="BF86" s="33">
        <v>19.6998</v>
      </c>
      <c r="BG86" s="33">
        <v>67.0326</v>
      </c>
      <c r="BH86" s="33">
        <v>11.6657</v>
      </c>
      <c r="BI86" s="33">
        <v>1.2413</v>
      </c>
      <c r="BJ86" s="33">
        <v>0.360538</v>
      </c>
      <c r="BK86" s="33">
        <v>31.9978</v>
      </c>
      <c r="BL86" s="33">
        <v>80158.0</v>
      </c>
    </row>
    <row r="87" ht="15.75" customHeight="1">
      <c r="A87" s="33" t="s">
        <v>111</v>
      </c>
      <c r="B87" s="33" t="s">
        <v>64</v>
      </c>
      <c r="C87" s="34">
        <v>38320.6</v>
      </c>
      <c r="D87" s="33">
        <v>381.624</v>
      </c>
      <c r="E87" s="33">
        <v>87005.2</v>
      </c>
      <c r="F87" s="33">
        <v>23.5213</v>
      </c>
      <c r="G87" s="33">
        <v>72.6673</v>
      </c>
      <c r="H87" s="33">
        <v>1142.79</v>
      </c>
      <c r="I87" s="33">
        <v>428.366</v>
      </c>
      <c r="J87" s="34">
        <v>2.24816E7</v>
      </c>
      <c r="K87" s="34">
        <v>0.208995</v>
      </c>
      <c r="L87" s="33">
        <v>0.368856</v>
      </c>
      <c r="M87" s="33">
        <v>2.8064</v>
      </c>
      <c r="N87" s="33">
        <v>20.8855</v>
      </c>
      <c r="O87" s="33">
        <v>58.6301</v>
      </c>
      <c r="P87" s="33">
        <v>17.2988</v>
      </c>
      <c r="Q87" s="33">
        <v>0.0103177</v>
      </c>
      <c r="R87" s="34">
        <v>82.1267</v>
      </c>
      <c r="S87" s="33">
        <v>1.38386</v>
      </c>
      <c r="T87" s="33">
        <v>6.39953</v>
      </c>
      <c r="U87" s="33">
        <v>21.7638</v>
      </c>
      <c r="V87" s="33">
        <v>54.7493</v>
      </c>
      <c r="W87" s="33">
        <v>12.8248</v>
      </c>
      <c r="X87" s="33">
        <v>2.87863</v>
      </c>
      <c r="Y87" s="34">
        <v>10.1673</v>
      </c>
      <c r="Z87" s="33">
        <v>0.0</v>
      </c>
      <c r="AA87" s="33">
        <v>99.6144</v>
      </c>
      <c r="AB87" s="33">
        <v>0.380464</v>
      </c>
      <c r="AC87" s="33">
        <v>0.00515883</v>
      </c>
      <c r="AD87" s="33">
        <v>0.0</v>
      </c>
      <c r="AE87" s="33">
        <v>0.0</v>
      </c>
      <c r="AF87" s="34">
        <v>0.41394</v>
      </c>
      <c r="AG87" s="33">
        <v>1.02274</v>
      </c>
      <c r="AH87" s="33">
        <v>6.56461</v>
      </c>
      <c r="AI87" s="33">
        <v>16.8333</v>
      </c>
      <c r="AJ87" s="33">
        <v>27.3676</v>
      </c>
      <c r="AK87" s="33">
        <v>38.0657</v>
      </c>
      <c r="AL87" s="33">
        <v>10.1461</v>
      </c>
      <c r="AM87" s="34">
        <v>0.250858</v>
      </c>
      <c r="AN87" s="33">
        <v>0.278577</v>
      </c>
      <c r="AO87" s="33">
        <v>2.39499</v>
      </c>
      <c r="AP87" s="33">
        <v>34.0238</v>
      </c>
      <c r="AQ87" s="33">
        <v>51.1175</v>
      </c>
      <c r="AR87" s="33">
        <v>9.7476</v>
      </c>
      <c r="AS87" s="33">
        <v>2.43755</v>
      </c>
      <c r="AT87" s="33">
        <v>586.67</v>
      </c>
      <c r="AU87" s="34">
        <v>609.108</v>
      </c>
      <c r="AV87" s="34">
        <v>20464.7</v>
      </c>
      <c r="AW87" s="34">
        <v>0.167529</v>
      </c>
      <c r="AX87" s="33">
        <v>0.00257941</v>
      </c>
      <c r="AY87" s="33">
        <v>0.207643</v>
      </c>
      <c r="AZ87" s="33">
        <v>0.225699</v>
      </c>
      <c r="BA87" s="33">
        <v>2.23764</v>
      </c>
      <c r="BB87" s="33">
        <v>67.1628</v>
      </c>
      <c r="BC87" s="33">
        <v>30.1637</v>
      </c>
      <c r="BD87" s="34">
        <v>36.1103</v>
      </c>
      <c r="BE87" s="33">
        <v>0.0</v>
      </c>
      <c r="BF87" s="33">
        <v>17.4665</v>
      </c>
      <c r="BG87" s="33">
        <v>71.9463</v>
      </c>
      <c r="BH87" s="33">
        <v>9.38004</v>
      </c>
      <c r="BI87" s="33">
        <v>0.897636</v>
      </c>
      <c r="BJ87" s="33">
        <v>0.30953</v>
      </c>
      <c r="BK87" s="33">
        <v>32.3089</v>
      </c>
      <c r="BL87" s="33">
        <v>77537.0</v>
      </c>
    </row>
    <row r="88" ht="15.75" customHeight="1">
      <c r="A88" s="33" t="s">
        <v>111</v>
      </c>
      <c r="B88" s="33" t="s">
        <v>64</v>
      </c>
      <c r="C88" s="34">
        <v>34964.6</v>
      </c>
      <c r="D88" s="33">
        <v>377.47</v>
      </c>
      <c r="E88" s="33">
        <v>75332.9</v>
      </c>
      <c r="F88" s="33">
        <v>25.6548</v>
      </c>
      <c r="G88" s="33">
        <v>94.4986</v>
      </c>
      <c r="H88" s="33">
        <v>1041.4</v>
      </c>
      <c r="I88" s="33">
        <v>361.599</v>
      </c>
      <c r="J88" s="34">
        <v>2.01923E7</v>
      </c>
      <c r="K88" s="34">
        <v>0.220341</v>
      </c>
      <c r="L88" s="33">
        <v>0.404875</v>
      </c>
      <c r="M88" s="33">
        <v>2.46834</v>
      </c>
      <c r="N88" s="33">
        <v>18.4134</v>
      </c>
      <c r="O88" s="33">
        <v>56.7886</v>
      </c>
      <c r="P88" s="33">
        <v>21.9121</v>
      </c>
      <c r="Q88" s="33">
        <v>0.0125651</v>
      </c>
      <c r="R88" s="34">
        <v>82.9832</v>
      </c>
      <c r="S88" s="33">
        <v>1.33888</v>
      </c>
      <c r="T88" s="33">
        <v>6.35654</v>
      </c>
      <c r="U88" s="33">
        <v>19.7412</v>
      </c>
      <c r="V88" s="33">
        <v>56.0906</v>
      </c>
      <c r="W88" s="33">
        <v>13.9738</v>
      </c>
      <c r="X88" s="33">
        <v>2.49906</v>
      </c>
      <c r="Y88" s="34">
        <v>9.54929</v>
      </c>
      <c r="Z88" s="33">
        <v>0.0</v>
      </c>
      <c r="AA88" s="33">
        <v>99.7389</v>
      </c>
      <c r="AB88" s="33">
        <v>0.261075</v>
      </c>
      <c r="AC88" s="33">
        <v>0.0</v>
      </c>
      <c r="AD88" s="33">
        <v>0.0</v>
      </c>
      <c r="AE88" s="33">
        <v>0.0</v>
      </c>
      <c r="AF88" s="34">
        <v>0.436758</v>
      </c>
      <c r="AG88" s="33">
        <v>0.724587</v>
      </c>
      <c r="AH88" s="33">
        <v>5.19357</v>
      </c>
      <c r="AI88" s="33">
        <v>14.1106</v>
      </c>
      <c r="AJ88" s="33">
        <v>26.7637</v>
      </c>
      <c r="AK88" s="33">
        <v>38.6502</v>
      </c>
      <c r="AL88" s="33">
        <v>14.5574</v>
      </c>
      <c r="AM88" s="34">
        <v>0.26314</v>
      </c>
      <c r="AN88" s="33">
        <v>0.06841</v>
      </c>
      <c r="AO88" s="33">
        <v>2.29104</v>
      </c>
      <c r="AP88" s="33">
        <v>32.464</v>
      </c>
      <c r="AQ88" s="33">
        <v>51.3912</v>
      </c>
      <c r="AR88" s="33">
        <v>9.96831</v>
      </c>
      <c r="AS88" s="33">
        <v>3.817</v>
      </c>
      <c r="AT88" s="33">
        <v>577.507</v>
      </c>
      <c r="AU88" s="34">
        <v>589.008</v>
      </c>
      <c r="AV88" s="34">
        <v>19326.5</v>
      </c>
      <c r="AW88" s="34">
        <v>0.165577</v>
      </c>
      <c r="AX88" s="33">
        <v>0.0</v>
      </c>
      <c r="AY88" s="33">
        <v>0.0265263</v>
      </c>
      <c r="AZ88" s="33">
        <v>0.184288</v>
      </c>
      <c r="BA88" s="33">
        <v>2.14863</v>
      </c>
      <c r="BB88" s="33">
        <v>70.2486</v>
      </c>
      <c r="BC88" s="33">
        <v>27.3919</v>
      </c>
      <c r="BD88" s="34">
        <v>37.9237</v>
      </c>
      <c r="BE88" s="33">
        <v>0.0</v>
      </c>
      <c r="BF88" s="33">
        <v>15.61</v>
      </c>
      <c r="BG88" s="33">
        <v>69.6609</v>
      </c>
      <c r="BH88" s="33">
        <v>12.9602</v>
      </c>
      <c r="BI88" s="33">
        <v>1.38635</v>
      </c>
      <c r="BJ88" s="33">
        <v>0.382537</v>
      </c>
      <c r="BK88" s="33">
        <v>33.5848</v>
      </c>
      <c r="BL88" s="33">
        <v>71627.0</v>
      </c>
    </row>
    <row r="89" ht="15.75" customHeight="1">
      <c r="A89" s="33" t="s">
        <v>111</v>
      </c>
      <c r="B89" s="33" t="s">
        <v>64</v>
      </c>
      <c r="C89" s="34">
        <v>41016.4</v>
      </c>
      <c r="D89" s="33">
        <v>356.025</v>
      </c>
      <c r="E89" s="33">
        <v>90883.2</v>
      </c>
      <c r="F89" s="33">
        <v>24.0383</v>
      </c>
      <c r="G89" s="33">
        <v>98.2019</v>
      </c>
      <c r="H89" s="33">
        <v>1171.87</v>
      </c>
      <c r="I89" s="33">
        <v>412.734</v>
      </c>
      <c r="J89" s="34">
        <v>2.31764E7</v>
      </c>
      <c r="K89" s="34">
        <v>0.220585</v>
      </c>
      <c r="L89" s="33">
        <v>0.34925</v>
      </c>
      <c r="M89" s="33">
        <v>2.1324</v>
      </c>
      <c r="N89" s="33">
        <v>18.1487</v>
      </c>
      <c r="O89" s="33">
        <v>58.4859</v>
      </c>
      <c r="P89" s="33">
        <v>20.8689</v>
      </c>
      <c r="Q89" s="33">
        <v>0.0147571</v>
      </c>
      <c r="R89" s="34">
        <v>85.4336</v>
      </c>
      <c r="S89" s="33">
        <v>1.05144</v>
      </c>
      <c r="T89" s="33">
        <v>4.8563</v>
      </c>
      <c r="U89" s="33">
        <v>18.3295</v>
      </c>
      <c r="V89" s="33">
        <v>55.6464</v>
      </c>
      <c r="W89" s="33">
        <v>17.1539</v>
      </c>
      <c r="X89" s="33">
        <v>2.96248</v>
      </c>
      <c r="Y89" s="34">
        <v>9.33174</v>
      </c>
      <c r="Z89" s="33">
        <v>0.0</v>
      </c>
      <c r="AA89" s="33">
        <v>99.8635</v>
      </c>
      <c r="AB89" s="33">
        <v>0.136503</v>
      </c>
      <c r="AC89" s="33">
        <v>0.0</v>
      </c>
      <c r="AD89" s="33">
        <v>0.0</v>
      </c>
      <c r="AE89" s="33">
        <v>0.0</v>
      </c>
      <c r="AF89" s="34">
        <v>0.457179</v>
      </c>
      <c r="AG89" s="33">
        <v>0.585363</v>
      </c>
      <c r="AH89" s="33">
        <v>3.77658</v>
      </c>
      <c r="AI89" s="33">
        <v>12.7218</v>
      </c>
      <c r="AJ89" s="33">
        <v>24.7845</v>
      </c>
      <c r="AK89" s="33">
        <v>38.2835</v>
      </c>
      <c r="AL89" s="33">
        <v>19.8482</v>
      </c>
      <c r="AM89" s="34">
        <v>0.238839</v>
      </c>
      <c r="AN89" s="33">
        <v>0.167247</v>
      </c>
      <c r="AO89" s="33">
        <v>2.75957</v>
      </c>
      <c r="AP89" s="33">
        <v>39.0312</v>
      </c>
      <c r="AQ89" s="33">
        <v>47.0824</v>
      </c>
      <c r="AR89" s="33">
        <v>8.47178</v>
      </c>
      <c r="AS89" s="33">
        <v>2.48779</v>
      </c>
      <c r="AT89" s="33">
        <v>565.052</v>
      </c>
      <c r="AU89" s="34">
        <v>594.108</v>
      </c>
      <c r="AV89" s="34">
        <v>21846.8</v>
      </c>
      <c r="AW89" s="34">
        <v>0.145066</v>
      </c>
      <c r="AX89" s="33">
        <v>0.00368927</v>
      </c>
      <c r="AY89" s="33">
        <v>0.0614878</v>
      </c>
      <c r="AZ89" s="33">
        <v>0.188153</v>
      </c>
      <c r="BA89" s="33">
        <v>2.67349</v>
      </c>
      <c r="BB89" s="33">
        <v>74.2747</v>
      </c>
      <c r="BC89" s="33">
        <v>22.7984</v>
      </c>
      <c r="BD89" s="34">
        <v>36.1744</v>
      </c>
      <c r="BE89" s="33">
        <v>0.0</v>
      </c>
      <c r="BF89" s="33">
        <v>17.556</v>
      </c>
      <c r="BG89" s="33">
        <v>71.7415</v>
      </c>
      <c r="BH89" s="33">
        <v>9.30679</v>
      </c>
      <c r="BI89" s="33">
        <v>0.996102</v>
      </c>
      <c r="BJ89" s="33">
        <v>0.39967</v>
      </c>
      <c r="BK89" s="33">
        <v>32.215</v>
      </c>
      <c r="BL89" s="33">
        <v>81317.0</v>
      </c>
    </row>
    <row r="90" ht="15.75" customHeight="1">
      <c r="A90" s="33" t="s">
        <v>112</v>
      </c>
      <c r="B90" s="33" t="s">
        <v>64</v>
      </c>
      <c r="C90" s="34">
        <v>33768.1</v>
      </c>
      <c r="D90" s="33">
        <v>367.759</v>
      </c>
      <c r="E90" s="33">
        <v>56763.4</v>
      </c>
      <c r="F90" s="33">
        <v>37.1687</v>
      </c>
      <c r="G90" s="33">
        <v>83.8883</v>
      </c>
      <c r="H90" s="33">
        <v>924.694</v>
      </c>
      <c r="I90" s="33">
        <v>327.133</v>
      </c>
      <c r="J90" s="34">
        <v>1.88497E7</v>
      </c>
      <c r="K90" s="34">
        <v>0.226899</v>
      </c>
      <c r="L90" s="33">
        <v>0.368902</v>
      </c>
      <c r="M90" s="33">
        <v>2.67981</v>
      </c>
      <c r="N90" s="33">
        <v>15.5703</v>
      </c>
      <c r="O90" s="33">
        <v>58.3536</v>
      </c>
      <c r="P90" s="33">
        <v>23.0208</v>
      </c>
      <c r="Q90" s="33">
        <v>0.00658753</v>
      </c>
      <c r="R90" s="34">
        <v>87.0471</v>
      </c>
      <c r="S90" s="33">
        <v>1.15018</v>
      </c>
      <c r="T90" s="33">
        <v>4.73907</v>
      </c>
      <c r="U90" s="33">
        <v>14.5018</v>
      </c>
      <c r="V90" s="33">
        <v>57.5526</v>
      </c>
      <c r="W90" s="33">
        <v>18.9299</v>
      </c>
      <c r="X90" s="33">
        <v>3.12644</v>
      </c>
      <c r="Y90" s="34">
        <v>9.21541</v>
      </c>
      <c r="Z90" s="33">
        <v>0.0</v>
      </c>
      <c r="AA90" s="33">
        <v>99.6693</v>
      </c>
      <c r="AB90" s="33">
        <v>0.330694</v>
      </c>
      <c r="AC90" s="33">
        <v>0.0</v>
      </c>
      <c r="AD90" s="33">
        <v>0.0</v>
      </c>
      <c r="AE90" s="33">
        <v>0.0</v>
      </c>
      <c r="AF90" s="34">
        <v>0.482335</v>
      </c>
      <c r="AG90" s="33">
        <v>0.48616</v>
      </c>
      <c r="AH90" s="33">
        <v>3.718</v>
      </c>
      <c r="AI90" s="33">
        <v>9.38459</v>
      </c>
      <c r="AJ90" s="33">
        <v>20.6532</v>
      </c>
      <c r="AK90" s="33">
        <v>40.7004</v>
      </c>
      <c r="AL90" s="33">
        <v>25.0576</v>
      </c>
      <c r="AM90" s="34">
        <v>0.235228</v>
      </c>
      <c r="AN90" s="33">
        <v>0.683785</v>
      </c>
      <c r="AO90" s="33">
        <v>2.4611</v>
      </c>
      <c r="AP90" s="33">
        <v>40.2458</v>
      </c>
      <c r="AQ90" s="33">
        <v>46.2155</v>
      </c>
      <c r="AR90" s="33">
        <v>7.49134</v>
      </c>
      <c r="AS90" s="33">
        <v>2.90247</v>
      </c>
      <c r="AT90" s="33">
        <v>558.211</v>
      </c>
      <c r="AU90" s="34">
        <v>575.097</v>
      </c>
      <c r="AV90" s="34">
        <v>21098.2</v>
      </c>
      <c r="AW90" s="34">
        <v>0.131624</v>
      </c>
      <c r="AX90" s="33">
        <v>0.0</v>
      </c>
      <c r="AY90" s="33">
        <v>0.440047</v>
      </c>
      <c r="AZ90" s="33">
        <v>0.534907</v>
      </c>
      <c r="BA90" s="33">
        <v>2.16993</v>
      </c>
      <c r="BB90" s="33">
        <v>78.638</v>
      </c>
      <c r="BC90" s="33">
        <v>18.2172</v>
      </c>
      <c r="BD90" s="34">
        <v>36.9161</v>
      </c>
      <c r="BE90" s="33">
        <v>0.0</v>
      </c>
      <c r="BF90" s="33">
        <v>15.5979</v>
      </c>
      <c r="BG90" s="33">
        <v>72.8989</v>
      </c>
      <c r="BH90" s="33">
        <v>9.84309</v>
      </c>
      <c r="BI90" s="33">
        <v>1.36889</v>
      </c>
      <c r="BJ90" s="33">
        <v>0.291169</v>
      </c>
      <c r="BK90" s="33">
        <v>38.7069</v>
      </c>
      <c r="BL90" s="33">
        <v>75901.0</v>
      </c>
    </row>
    <row r="91" ht="15.75" customHeight="1">
      <c r="A91" s="33" t="s">
        <v>112</v>
      </c>
      <c r="B91" s="33" t="s">
        <v>64</v>
      </c>
      <c r="C91" s="34">
        <v>25322.2</v>
      </c>
      <c r="D91" s="33">
        <v>362.018</v>
      </c>
      <c r="E91" s="33">
        <v>50783.4</v>
      </c>
      <c r="F91" s="33">
        <v>26.6437</v>
      </c>
      <c r="G91" s="33">
        <v>77.1867</v>
      </c>
      <c r="H91" s="33">
        <v>857.235</v>
      </c>
      <c r="I91" s="33">
        <v>307.98</v>
      </c>
      <c r="J91" s="34">
        <v>1.30142E7</v>
      </c>
      <c r="K91" s="34">
        <v>0.19495</v>
      </c>
      <c r="L91" s="33">
        <v>0.582856</v>
      </c>
      <c r="M91" s="33">
        <v>3.32444</v>
      </c>
      <c r="N91" s="33">
        <v>24.4878</v>
      </c>
      <c r="O91" s="33">
        <v>58.3935</v>
      </c>
      <c r="P91" s="33">
        <v>13.1957</v>
      </c>
      <c r="Q91" s="33">
        <v>0.0156998</v>
      </c>
      <c r="R91" s="34">
        <v>82.2175</v>
      </c>
      <c r="S91" s="33">
        <v>1.75838</v>
      </c>
      <c r="T91" s="33">
        <v>7.14146</v>
      </c>
      <c r="U91" s="33">
        <v>21.0692</v>
      </c>
      <c r="V91" s="33">
        <v>51.5268</v>
      </c>
      <c r="W91" s="33">
        <v>14.9973</v>
      </c>
      <c r="X91" s="33">
        <v>3.50695</v>
      </c>
      <c r="Y91" s="34">
        <v>9.33361</v>
      </c>
      <c r="Z91" s="33">
        <v>0.0</v>
      </c>
      <c r="AA91" s="33">
        <v>99.79</v>
      </c>
      <c r="AB91" s="33">
        <v>0.209985</v>
      </c>
      <c r="AC91" s="33">
        <v>0.0</v>
      </c>
      <c r="AD91" s="33">
        <v>0.0</v>
      </c>
      <c r="AE91" s="33">
        <v>0.0</v>
      </c>
      <c r="AF91" s="34">
        <v>0.410198</v>
      </c>
      <c r="AG91" s="33">
        <v>0.971426</v>
      </c>
      <c r="AH91" s="33">
        <v>5.85015</v>
      </c>
      <c r="AI91" s="33">
        <v>16.0786</v>
      </c>
      <c r="AJ91" s="33">
        <v>32.7989</v>
      </c>
      <c r="AK91" s="33">
        <v>34.416</v>
      </c>
      <c r="AL91" s="33">
        <v>9.885</v>
      </c>
      <c r="AM91" s="34">
        <v>0.239049</v>
      </c>
      <c r="AN91" s="33">
        <v>0.398383</v>
      </c>
      <c r="AO91" s="33">
        <v>3.15174</v>
      </c>
      <c r="AP91" s="33">
        <v>40.3525</v>
      </c>
      <c r="AQ91" s="33">
        <v>43.9144</v>
      </c>
      <c r="AR91" s="33">
        <v>8.84881</v>
      </c>
      <c r="AS91" s="33">
        <v>3.33425</v>
      </c>
      <c r="AT91" s="33">
        <v>513.943</v>
      </c>
      <c r="AU91" s="34">
        <v>526.497</v>
      </c>
      <c r="AV91" s="34">
        <v>13530.6</v>
      </c>
      <c r="AW91" s="34">
        <v>0.160775</v>
      </c>
      <c r="AX91" s="33">
        <v>0.0</v>
      </c>
      <c r="AY91" s="33">
        <v>0.249235</v>
      </c>
      <c r="AZ91" s="33">
        <v>0.321846</v>
      </c>
      <c r="BA91" s="33">
        <v>2.97904</v>
      </c>
      <c r="BB91" s="33">
        <v>66.7753</v>
      </c>
      <c r="BC91" s="33">
        <v>29.6746</v>
      </c>
      <c r="BD91" s="34">
        <v>34.6178</v>
      </c>
      <c r="BE91" s="33">
        <v>0.0</v>
      </c>
      <c r="BF91" s="33">
        <v>23.4202</v>
      </c>
      <c r="BG91" s="33">
        <v>65.8882</v>
      </c>
      <c r="BH91" s="33">
        <v>8.94497</v>
      </c>
      <c r="BI91" s="33">
        <v>1.30701</v>
      </c>
      <c r="BJ91" s="33">
        <v>0.439595</v>
      </c>
      <c r="BK91" s="33">
        <v>32.313</v>
      </c>
      <c r="BL91" s="33">
        <v>50956.0</v>
      </c>
    </row>
    <row r="92" ht="15.75" customHeight="1">
      <c r="A92" s="33" t="s">
        <v>112</v>
      </c>
      <c r="B92" s="33" t="s">
        <v>64</v>
      </c>
      <c r="C92" s="34">
        <v>39366.4</v>
      </c>
      <c r="D92" s="33">
        <v>325.459</v>
      </c>
      <c r="E92" s="33">
        <v>72923.2</v>
      </c>
      <c r="F92" s="33">
        <v>30.7364</v>
      </c>
      <c r="G92" s="33">
        <v>65.4567</v>
      </c>
      <c r="H92" s="33">
        <v>1050.5</v>
      </c>
      <c r="I92" s="33">
        <v>388.773</v>
      </c>
      <c r="J92" s="34">
        <v>2.21802E7</v>
      </c>
      <c r="K92" s="34">
        <v>0.222458</v>
      </c>
      <c r="L92" s="33">
        <v>0.445215</v>
      </c>
      <c r="M92" s="33">
        <v>2.49419</v>
      </c>
      <c r="N92" s="33">
        <v>17.5159</v>
      </c>
      <c r="O92" s="33">
        <v>57.482</v>
      </c>
      <c r="P92" s="33">
        <v>22.0431</v>
      </c>
      <c r="Q92" s="33">
        <v>0.019678</v>
      </c>
      <c r="R92" s="34">
        <v>88.2839</v>
      </c>
      <c r="S92" s="33">
        <v>1.30244</v>
      </c>
      <c r="T92" s="33">
        <v>4.4952</v>
      </c>
      <c r="U92" s="33">
        <v>13.7599</v>
      </c>
      <c r="V92" s="33">
        <v>53.4959</v>
      </c>
      <c r="W92" s="33">
        <v>23.4746</v>
      </c>
      <c r="X92" s="33">
        <v>3.47194</v>
      </c>
      <c r="Y92" s="34">
        <v>8.51158</v>
      </c>
      <c r="Z92" s="33">
        <v>0.0</v>
      </c>
      <c r="AA92" s="33">
        <v>99.893</v>
      </c>
      <c r="AB92" s="33">
        <v>0.106999</v>
      </c>
      <c r="AC92" s="33">
        <v>0.0</v>
      </c>
      <c r="AD92" s="33">
        <v>0.0</v>
      </c>
      <c r="AE92" s="33">
        <v>0.0</v>
      </c>
      <c r="AF92" s="34">
        <v>0.491791</v>
      </c>
      <c r="AG92" s="33">
        <v>0.471043</v>
      </c>
      <c r="AH92" s="33">
        <v>3.32804</v>
      </c>
      <c r="AI92" s="33">
        <v>9.80457</v>
      </c>
      <c r="AJ92" s="33">
        <v>19.1676</v>
      </c>
      <c r="AK92" s="33">
        <v>37.2763</v>
      </c>
      <c r="AL92" s="33">
        <v>29.9524</v>
      </c>
      <c r="AM92" s="34">
        <v>0.214216</v>
      </c>
      <c r="AN92" s="33">
        <v>0.153735</v>
      </c>
      <c r="AO92" s="33">
        <v>3.56295</v>
      </c>
      <c r="AP92" s="33">
        <v>46.8374</v>
      </c>
      <c r="AQ92" s="33">
        <v>41.5944</v>
      </c>
      <c r="AR92" s="33">
        <v>5.64021</v>
      </c>
      <c r="AS92" s="33">
        <v>2.21132</v>
      </c>
      <c r="AT92" s="33">
        <v>563.429</v>
      </c>
      <c r="AU92" s="34">
        <v>571.872</v>
      </c>
      <c r="AV92" s="34">
        <v>22414.0</v>
      </c>
      <c r="AW92" s="34">
        <v>0.120978</v>
      </c>
      <c r="AX92" s="33">
        <v>0.00368963</v>
      </c>
      <c r="AY92" s="33">
        <v>0.039356</v>
      </c>
      <c r="AZ92" s="33">
        <v>0.234906</v>
      </c>
      <c r="BA92" s="33">
        <v>3.43873</v>
      </c>
      <c r="BB92" s="33">
        <v>80.7979</v>
      </c>
      <c r="BC92" s="33">
        <v>15.4854</v>
      </c>
      <c r="BD92" s="34">
        <v>35.0648</v>
      </c>
      <c r="BE92" s="33">
        <v>0.0</v>
      </c>
      <c r="BF92" s="33">
        <v>19.2992</v>
      </c>
      <c r="BG92" s="33">
        <v>71.5062</v>
      </c>
      <c r="BH92" s="33">
        <v>7.91179</v>
      </c>
      <c r="BI92" s="33">
        <v>0.932246</v>
      </c>
      <c r="BJ92" s="33">
        <v>0.350515</v>
      </c>
      <c r="BK92" s="33">
        <v>34.7419</v>
      </c>
      <c r="BL92" s="33">
        <v>81309.0</v>
      </c>
    </row>
    <row r="93" ht="15.75" customHeight="1">
      <c r="A93" s="33" t="s">
        <v>112</v>
      </c>
      <c r="B93" s="33" t="s">
        <v>64</v>
      </c>
      <c r="C93" s="34">
        <v>36235.5</v>
      </c>
      <c r="D93" s="33">
        <v>319.372</v>
      </c>
      <c r="E93" s="33">
        <v>67227.8</v>
      </c>
      <c r="F93" s="33">
        <v>31.1601</v>
      </c>
      <c r="G93" s="33">
        <v>56.3807</v>
      </c>
      <c r="H93" s="33">
        <v>1052.93</v>
      </c>
      <c r="I93" s="33">
        <v>401.231</v>
      </c>
      <c r="J93" s="34">
        <v>2.03898E7</v>
      </c>
      <c r="K93" s="34">
        <v>0.222358</v>
      </c>
      <c r="L93" s="33">
        <v>0.378365</v>
      </c>
      <c r="M93" s="33">
        <v>2.66316</v>
      </c>
      <c r="N93" s="33">
        <v>18.0009</v>
      </c>
      <c r="O93" s="33">
        <v>56.2039</v>
      </c>
      <c r="P93" s="33">
        <v>22.7418</v>
      </c>
      <c r="Q93" s="33">
        <v>0.0119484</v>
      </c>
      <c r="R93" s="34">
        <v>87.0704</v>
      </c>
      <c r="S93" s="33">
        <v>1.30503</v>
      </c>
      <c r="T93" s="33">
        <v>4.88556</v>
      </c>
      <c r="U93" s="33">
        <v>14.5757</v>
      </c>
      <c r="V93" s="33">
        <v>55.2679</v>
      </c>
      <c r="W93" s="33">
        <v>20.603</v>
      </c>
      <c r="X93" s="33">
        <v>3.36281</v>
      </c>
      <c r="Y93" s="34">
        <v>8.95669</v>
      </c>
      <c r="Z93" s="33">
        <v>0.0</v>
      </c>
      <c r="AA93" s="33">
        <v>99.5181</v>
      </c>
      <c r="AB93" s="33">
        <v>0.451383</v>
      </c>
      <c r="AC93" s="33">
        <v>0.0278796</v>
      </c>
      <c r="AD93" s="33">
        <v>0.0026552</v>
      </c>
      <c r="AE93" s="33">
        <v>0.0</v>
      </c>
      <c r="AF93" s="34">
        <v>0.472863</v>
      </c>
      <c r="AG93" s="33">
        <v>0.653178</v>
      </c>
      <c r="AH93" s="33">
        <v>4.36249</v>
      </c>
      <c r="AI93" s="33">
        <v>10.0619</v>
      </c>
      <c r="AJ93" s="33">
        <v>21.7487</v>
      </c>
      <c r="AK93" s="33">
        <v>39.4629</v>
      </c>
      <c r="AL93" s="33">
        <v>23.7109</v>
      </c>
      <c r="AM93" s="34">
        <v>0.223617</v>
      </c>
      <c r="AN93" s="33">
        <v>0.150019</v>
      </c>
      <c r="AO93" s="33">
        <v>3.18756</v>
      </c>
      <c r="AP93" s="33">
        <v>42.985</v>
      </c>
      <c r="AQ93" s="33">
        <v>44.8781</v>
      </c>
      <c r="AR93" s="33">
        <v>6.58754</v>
      </c>
      <c r="AS93" s="33">
        <v>2.21178</v>
      </c>
      <c r="AT93" s="33">
        <v>562.701</v>
      </c>
      <c r="AU93" s="34">
        <v>567.112</v>
      </c>
      <c r="AV93" s="34">
        <v>20948.3</v>
      </c>
      <c r="AW93" s="34">
        <v>0.131699</v>
      </c>
      <c r="AX93" s="33">
        <v>0.0013276</v>
      </c>
      <c r="AY93" s="33">
        <v>0.0677075</v>
      </c>
      <c r="AZ93" s="33">
        <v>0.244278</v>
      </c>
      <c r="BA93" s="33">
        <v>3.02427</v>
      </c>
      <c r="BB93" s="33">
        <v>78.8713</v>
      </c>
      <c r="BC93" s="33">
        <v>17.7911</v>
      </c>
      <c r="BD93" s="34">
        <v>35.5314</v>
      </c>
      <c r="BE93" s="33">
        <v>0.0</v>
      </c>
      <c r="BF93" s="33">
        <v>18.6315</v>
      </c>
      <c r="BG93" s="33">
        <v>71.369</v>
      </c>
      <c r="BH93" s="33">
        <v>8.90155</v>
      </c>
      <c r="BI93" s="33">
        <v>0.852318</v>
      </c>
      <c r="BJ93" s="33">
        <v>0.245606</v>
      </c>
      <c r="BK93" s="33">
        <v>35.3527</v>
      </c>
      <c r="BL93" s="33">
        <v>75324.0</v>
      </c>
    </row>
    <row r="94" ht="15.75" customHeight="1">
      <c r="A94" s="33" t="s">
        <v>113</v>
      </c>
      <c r="B94" s="33" t="s">
        <v>64</v>
      </c>
      <c r="C94" s="34">
        <v>32388.9</v>
      </c>
      <c r="D94" s="33">
        <v>320.604</v>
      </c>
      <c r="E94" s="33">
        <v>66253.4</v>
      </c>
      <c r="F94" s="33">
        <v>27.3917</v>
      </c>
      <c r="G94" s="33">
        <v>62.8599</v>
      </c>
      <c r="H94" s="33">
        <v>1018.68</v>
      </c>
      <c r="I94" s="33">
        <v>395.81</v>
      </c>
      <c r="J94" s="34">
        <v>1.81728E7</v>
      </c>
      <c r="K94" s="34">
        <v>0.212828</v>
      </c>
      <c r="L94" s="33">
        <v>0.274688</v>
      </c>
      <c r="M94" s="33">
        <v>3.11363</v>
      </c>
      <c r="N94" s="33">
        <v>20.425</v>
      </c>
      <c r="O94" s="33">
        <v>56.7155</v>
      </c>
      <c r="P94" s="33">
        <v>19.4681</v>
      </c>
      <c r="Q94" s="33">
        <v>0.00301855</v>
      </c>
      <c r="R94" s="34">
        <v>86.3115</v>
      </c>
      <c r="S94" s="33">
        <v>1.28288</v>
      </c>
      <c r="T94" s="33">
        <v>4.97457</v>
      </c>
      <c r="U94" s="33">
        <v>16.0345</v>
      </c>
      <c r="V94" s="33">
        <v>56.3005</v>
      </c>
      <c r="W94" s="33">
        <v>17.1152</v>
      </c>
      <c r="X94" s="33">
        <v>4.29238</v>
      </c>
      <c r="Y94" s="34">
        <v>9.83895</v>
      </c>
      <c r="Z94" s="33">
        <v>0.0</v>
      </c>
      <c r="AA94" s="33">
        <v>99.3842</v>
      </c>
      <c r="AB94" s="33">
        <v>0.473912</v>
      </c>
      <c r="AC94" s="33">
        <v>0.111686</v>
      </c>
      <c r="AD94" s="33">
        <v>0.0301855</v>
      </c>
      <c r="AE94" s="33">
        <v>0.0</v>
      </c>
      <c r="AF94" s="34">
        <v>0.436715</v>
      </c>
      <c r="AG94" s="33">
        <v>1.00367</v>
      </c>
      <c r="AH94" s="33">
        <v>4.61385</v>
      </c>
      <c r="AI94" s="33">
        <v>13.5035</v>
      </c>
      <c r="AJ94" s="33">
        <v>26.3776</v>
      </c>
      <c r="AK94" s="33">
        <v>41.499</v>
      </c>
      <c r="AL94" s="33">
        <v>13.0024</v>
      </c>
      <c r="AM94" s="34">
        <v>0.222049</v>
      </c>
      <c r="AN94" s="33">
        <v>0.523718</v>
      </c>
      <c r="AO94" s="33">
        <v>3.79733</v>
      </c>
      <c r="AP94" s="33">
        <v>41.1262</v>
      </c>
      <c r="AQ94" s="33">
        <v>45.9891</v>
      </c>
      <c r="AR94" s="33">
        <v>6.47026</v>
      </c>
      <c r="AS94" s="33">
        <v>2.09336</v>
      </c>
      <c r="AT94" s="33">
        <v>561.081</v>
      </c>
      <c r="AU94" s="34">
        <v>573.202</v>
      </c>
      <c r="AV94" s="34">
        <v>18147.9</v>
      </c>
      <c r="AW94" s="34">
        <v>0.138369</v>
      </c>
      <c r="AX94" s="33">
        <v>0.033204</v>
      </c>
      <c r="AY94" s="33">
        <v>0.304873</v>
      </c>
      <c r="AZ94" s="33">
        <v>0.593145</v>
      </c>
      <c r="BA94" s="33">
        <v>3.38681</v>
      </c>
      <c r="BB94" s="33">
        <v>74.7212</v>
      </c>
      <c r="BC94" s="33">
        <v>20.9608</v>
      </c>
      <c r="BD94" s="34">
        <v>34.7104</v>
      </c>
      <c r="BE94" s="33">
        <v>0.0</v>
      </c>
      <c r="BF94" s="33">
        <v>21.566</v>
      </c>
      <c r="BG94" s="33">
        <v>68.6011</v>
      </c>
      <c r="BH94" s="33">
        <v>8.76888</v>
      </c>
      <c r="BI94" s="33">
        <v>0.763693</v>
      </c>
      <c r="BJ94" s="33">
        <v>0.300346</v>
      </c>
      <c r="BK94" s="33">
        <v>34.1053</v>
      </c>
      <c r="BL94" s="33">
        <v>66257.0</v>
      </c>
    </row>
    <row r="95" ht="15.75" customHeight="1">
      <c r="A95" s="33" t="s">
        <v>113</v>
      </c>
      <c r="B95" s="33" t="s">
        <v>64</v>
      </c>
      <c r="C95" s="34">
        <v>43922.9</v>
      </c>
      <c r="D95" s="33">
        <v>308.137</v>
      </c>
      <c r="E95" s="33">
        <v>93563.3</v>
      </c>
      <c r="F95" s="33">
        <v>26.2057</v>
      </c>
      <c r="G95" s="33">
        <v>70.9519</v>
      </c>
      <c r="H95" s="33">
        <v>1179.43</v>
      </c>
      <c r="I95" s="33">
        <v>429.06</v>
      </c>
      <c r="J95" s="34">
        <v>2.41111E7</v>
      </c>
      <c r="K95" s="34">
        <v>0.223038</v>
      </c>
      <c r="L95" s="33">
        <v>0.269812</v>
      </c>
      <c r="M95" s="33">
        <v>2.30276</v>
      </c>
      <c r="N95" s="33">
        <v>17.5521</v>
      </c>
      <c r="O95" s="33">
        <v>58.0822</v>
      </c>
      <c r="P95" s="33">
        <v>21.7788</v>
      </c>
      <c r="Q95" s="33">
        <v>0.0143165</v>
      </c>
      <c r="R95" s="34">
        <v>87.5895</v>
      </c>
      <c r="S95" s="33">
        <v>0.972424</v>
      </c>
      <c r="T95" s="33">
        <v>4.51962</v>
      </c>
      <c r="U95" s="33">
        <v>14.909</v>
      </c>
      <c r="V95" s="33">
        <v>55.1991</v>
      </c>
      <c r="W95" s="33">
        <v>20.9903</v>
      </c>
      <c r="X95" s="33">
        <v>3.40954</v>
      </c>
      <c r="Y95" s="34">
        <v>8.93807</v>
      </c>
      <c r="Z95" s="33">
        <v>0.0</v>
      </c>
      <c r="AA95" s="33">
        <v>99.7269</v>
      </c>
      <c r="AB95" s="33">
        <v>0.273116</v>
      </c>
      <c r="AC95" s="33">
        <v>0.0</v>
      </c>
      <c r="AD95" s="33">
        <v>0.0</v>
      </c>
      <c r="AE95" s="33">
        <v>0.0</v>
      </c>
      <c r="AF95" s="34">
        <v>0.481608</v>
      </c>
      <c r="AG95" s="33">
        <v>0.600194</v>
      </c>
      <c r="AH95" s="33">
        <v>3.94586</v>
      </c>
      <c r="AI95" s="33">
        <v>9.65486</v>
      </c>
      <c r="AJ95" s="33">
        <v>21.3669</v>
      </c>
      <c r="AK95" s="33">
        <v>37.5864</v>
      </c>
      <c r="AL95" s="33">
        <v>26.8457</v>
      </c>
      <c r="AM95" s="34">
        <v>0.221346</v>
      </c>
      <c r="AN95" s="33">
        <v>0.279723</v>
      </c>
      <c r="AO95" s="33">
        <v>3.26968</v>
      </c>
      <c r="AP95" s="33">
        <v>43.617</v>
      </c>
      <c r="AQ95" s="33">
        <v>44.2833</v>
      </c>
      <c r="AR95" s="33">
        <v>6.45676</v>
      </c>
      <c r="AS95" s="33">
        <v>2.09352</v>
      </c>
      <c r="AT95" s="33">
        <v>548.941</v>
      </c>
      <c r="AU95" s="34">
        <v>555.802</v>
      </c>
      <c r="AV95" s="34">
        <v>24518.9</v>
      </c>
      <c r="AW95" s="34">
        <v>0.126982</v>
      </c>
      <c r="AX95" s="33">
        <v>0.00330382</v>
      </c>
      <c r="AY95" s="33">
        <v>0.151976</v>
      </c>
      <c r="AZ95" s="33">
        <v>0.303951</v>
      </c>
      <c r="BA95" s="33">
        <v>3.09017</v>
      </c>
      <c r="BB95" s="33">
        <v>79.5053</v>
      </c>
      <c r="BC95" s="33">
        <v>16.9453</v>
      </c>
      <c r="BD95" s="34">
        <v>35.3852</v>
      </c>
      <c r="BE95" s="33">
        <v>0.0</v>
      </c>
      <c r="BF95" s="33">
        <v>18.7338</v>
      </c>
      <c r="BG95" s="33">
        <v>71.4539</v>
      </c>
      <c r="BH95" s="33">
        <v>8.61746</v>
      </c>
      <c r="BI95" s="33">
        <v>0.896436</v>
      </c>
      <c r="BJ95" s="33">
        <v>0.298445</v>
      </c>
      <c r="BK95" s="33">
        <v>33.9703</v>
      </c>
      <c r="BL95" s="33">
        <v>90804.0</v>
      </c>
    </row>
    <row r="96" ht="15.75" customHeight="1">
      <c r="A96" s="33" t="s">
        <v>113</v>
      </c>
      <c r="B96" s="33" t="s">
        <v>64</v>
      </c>
      <c r="C96" s="34">
        <v>35716.5</v>
      </c>
      <c r="D96" s="33">
        <v>384.363</v>
      </c>
      <c r="E96" s="33">
        <v>68716.5</v>
      </c>
      <c r="F96" s="33">
        <v>29.9537</v>
      </c>
      <c r="G96" s="33">
        <v>69.6084</v>
      </c>
      <c r="H96" s="33">
        <v>1096.49</v>
      </c>
      <c r="I96" s="33">
        <v>401.149</v>
      </c>
      <c r="J96" s="34">
        <v>2.05186E7</v>
      </c>
      <c r="K96" s="34">
        <v>0.236417</v>
      </c>
      <c r="L96" s="33">
        <v>0.343834</v>
      </c>
      <c r="M96" s="33">
        <v>2.17546</v>
      </c>
      <c r="N96" s="33">
        <v>15.3239</v>
      </c>
      <c r="O96" s="33">
        <v>53.0809</v>
      </c>
      <c r="P96" s="33">
        <v>29.0591</v>
      </c>
      <c r="Q96" s="33">
        <v>0.0168039</v>
      </c>
      <c r="R96" s="34">
        <v>84.3784</v>
      </c>
      <c r="S96" s="33">
        <v>1.1194</v>
      </c>
      <c r="T96" s="33">
        <v>5.31908</v>
      </c>
      <c r="U96" s="33">
        <v>16.884</v>
      </c>
      <c r="V96" s="33">
        <v>61.797</v>
      </c>
      <c r="W96" s="33">
        <v>12.7477</v>
      </c>
      <c r="X96" s="33">
        <v>2.1328</v>
      </c>
      <c r="Y96" s="34">
        <v>9.88009</v>
      </c>
      <c r="Z96" s="33">
        <v>0.0</v>
      </c>
      <c r="AA96" s="33">
        <v>99.6975</v>
      </c>
      <c r="AB96" s="33">
        <v>0.30247</v>
      </c>
      <c r="AC96" s="33">
        <v>0.0</v>
      </c>
      <c r="AD96" s="33">
        <v>0.0</v>
      </c>
      <c r="AE96" s="33">
        <v>0.0</v>
      </c>
      <c r="AF96" s="34">
        <v>0.454319</v>
      </c>
      <c r="AG96" s="33">
        <v>0.738079</v>
      </c>
      <c r="AH96" s="33">
        <v>4.78523</v>
      </c>
      <c r="AI96" s="33">
        <v>11.755</v>
      </c>
      <c r="AJ96" s="33">
        <v>22.2833</v>
      </c>
      <c r="AK96" s="33">
        <v>44.3339</v>
      </c>
      <c r="AL96" s="33">
        <v>16.1046</v>
      </c>
      <c r="AM96" s="34">
        <v>0.26512</v>
      </c>
      <c r="AN96" s="33">
        <v>0.129261</v>
      </c>
      <c r="AO96" s="33">
        <v>1.79414</v>
      </c>
      <c r="AP96" s="33">
        <v>28.4774</v>
      </c>
      <c r="AQ96" s="33">
        <v>57.2703</v>
      </c>
      <c r="AR96" s="33">
        <v>9.9311</v>
      </c>
      <c r="AS96" s="33">
        <v>2.39779</v>
      </c>
      <c r="AT96" s="33">
        <v>574.485</v>
      </c>
      <c r="AU96" s="34">
        <v>582.202</v>
      </c>
      <c r="AV96" s="34">
        <v>20583.1</v>
      </c>
      <c r="AW96" s="34">
        <v>0.159083</v>
      </c>
      <c r="AX96" s="33">
        <v>0.00258522</v>
      </c>
      <c r="AY96" s="33">
        <v>0.0517043</v>
      </c>
      <c r="AZ96" s="33">
        <v>0.164161</v>
      </c>
      <c r="BA96" s="33">
        <v>1.70495</v>
      </c>
      <c r="BB96" s="33">
        <v>73.8518</v>
      </c>
      <c r="BC96" s="33">
        <v>24.2248</v>
      </c>
      <c r="BD96" s="34">
        <v>39.0935</v>
      </c>
      <c r="BE96" s="33">
        <v>0.0</v>
      </c>
      <c r="BF96" s="33">
        <v>11.711</v>
      </c>
      <c r="BG96" s="33">
        <v>72.5877</v>
      </c>
      <c r="BH96" s="33">
        <v>14.5315</v>
      </c>
      <c r="BI96" s="33">
        <v>0.888021</v>
      </c>
      <c r="BJ96" s="33">
        <v>0.281788</v>
      </c>
      <c r="BK96" s="33">
        <v>35.2241</v>
      </c>
      <c r="BL96" s="33">
        <v>77363.0</v>
      </c>
    </row>
    <row r="97" ht="15.75" customHeight="1">
      <c r="A97" s="33" t="s">
        <v>113</v>
      </c>
      <c r="B97" s="33" t="s">
        <v>64</v>
      </c>
      <c r="C97" s="34">
        <v>37878.2</v>
      </c>
      <c r="D97" s="33">
        <v>351.953</v>
      </c>
      <c r="E97" s="33">
        <v>74137.8</v>
      </c>
      <c r="F97" s="33">
        <v>28.3983</v>
      </c>
      <c r="G97" s="33">
        <v>63.8846</v>
      </c>
      <c r="H97" s="33">
        <v>1062.28</v>
      </c>
      <c r="I97" s="33">
        <v>409.281</v>
      </c>
      <c r="J97" s="34">
        <v>2.19557E7</v>
      </c>
      <c r="K97" s="34">
        <v>0.208086</v>
      </c>
      <c r="L97" s="33">
        <v>0.458186</v>
      </c>
      <c r="M97" s="33">
        <v>2.6259</v>
      </c>
      <c r="N97" s="33">
        <v>22.0455</v>
      </c>
      <c r="O97" s="33">
        <v>57.4375</v>
      </c>
      <c r="P97" s="33">
        <v>17.4226</v>
      </c>
      <c r="Q97" s="33">
        <v>0.0102675</v>
      </c>
      <c r="R97" s="34">
        <v>84.1444</v>
      </c>
      <c r="S97" s="33">
        <v>1.39509</v>
      </c>
      <c r="T97" s="33">
        <v>5.74465</v>
      </c>
      <c r="U97" s="33">
        <v>18.9935</v>
      </c>
      <c r="V97" s="33">
        <v>54.3739</v>
      </c>
      <c r="W97" s="33">
        <v>16.5524</v>
      </c>
      <c r="X97" s="33">
        <v>2.94035</v>
      </c>
      <c r="Y97" s="34">
        <v>9.48851</v>
      </c>
      <c r="Z97" s="33">
        <v>0.0</v>
      </c>
      <c r="AA97" s="33">
        <v>99.6766</v>
      </c>
      <c r="AB97" s="33">
        <v>0.323425</v>
      </c>
      <c r="AC97" s="33">
        <v>0.0</v>
      </c>
      <c r="AD97" s="33">
        <v>0.0</v>
      </c>
      <c r="AE97" s="33">
        <v>0.0</v>
      </c>
      <c r="AF97" s="34">
        <v>0.445938</v>
      </c>
      <c r="AG97" s="33">
        <v>0.759793</v>
      </c>
      <c r="AH97" s="33">
        <v>4.98357</v>
      </c>
      <c r="AI97" s="33">
        <v>13.4979</v>
      </c>
      <c r="AJ97" s="33">
        <v>26.5671</v>
      </c>
      <c r="AK97" s="33">
        <v>34.4884</v>
      </c>
      <c r="AL97" s="33">
        <v>19.7033</v>
      </c>
      <c r="AM97" s="34">
        <v>0.230232</v>
      </c>
      <c r="AN97" s="33">
        <v>0.197649</v>
      </c>
      <c r="AO97" s="33">
        <v>2.59895</v>
      </c>
      <c r="AP97" s="33">
        <v>41.1289</v>
      </c>
      <c r="AQ97" s="33">
        <v>47.1495</v>
      </c>
      <c r="AR97" s="33">
        <v>6.73546</v>
      </c>
      <c r="AS97" s="33">
        <v>2.18954</v>
      </c>
      <c r="AT97" s="33">
        <v>579.64</v>
      </c>
      <c r="AU97" s="34">
        <v>595.702</v>
      </c>
      <c r="AV97" s="34">
        <v>21053.9</v>
      </c>
      <c r="AW97" s="34">
        <v>0.14465</v>
      </c>
      <c r="AX97" s="33">
        <v>0.00128343</v>
      </c>
      <c r="AY97" s="33">
        <v>0.0795729</v>
      </c>
      <c r="AZ97" s="33">
        <v>0.225884</v>
      </c>
      <c r="BA97" s="33">
        <v>2.48986</v>
      </c>
      <c r="BB97" s="33">
        <v>74.2145</v>
      </c>
      <c r="BC97" s="33">
        <v>22.9889</v>
      </c>
      <c r="BD97" s="34">
        <v>34.6839</v>
      </c>
      <c r="BE97" s="33">
        <v>0.0</v>
      </c>
      <c r="BF97" s="33">
        <v>21.0919</v>
      </c>
      <c r="BG97" s="33">
        <v>69.9227</v>
      </c>
      <c r="BH97" s="33">
        <v>7.84435</v>
      </c>
      <c r="BI97" s="33">
        <v>0.885569</v>
      </c>
      <c r="BJ97" s="33">
        <v>0.255403</v>
      </c>
      <c r="BK97" s="33">
        <v>33.8006</v>
      </c>
      <c r="BL97" s="33">
        <v>77916.0</v>
      </c>
    </row>
    <row r="98" ht="15.75" customHeight="1">
      <c r="A98" s="33" t="s">
        <v>94</v>
      </c>
      <c r="B98" s="33" t="s">
        <v>66</v>
      </c>
      <c r="C98" s="34">
        <v>49454.1</v>
      </c>
      <c r="D98" s="33">
        <v>364.292</v>
      </c>
      <c r="E98" s="33">
        <v>95450.4</v>
      </c>
      <c r="F98" s="33">
        <v>29.3787</v>
      </c>
      <c r="G98" s="33">
        <v>72.3658</v>
      </c>
      <c r="H98" s="33">
        <v>1218.31</v>
      </c>
      <c r="I98" s="33">
        <v>444.766</v>
      </c>
      <c r="J98" s="34">
        <v>3.08834E7</v>
      </c>
      <c r="K98" s="34">
        <v>0.234824</v>
      </c>
      <c r="L98" s="33">
        <v>0.166672</v>
      </c>
      <c r="M98" s="33">
        <v>1.94385</v>
      </c>
      <c r="N98" s="33">
        <v>15.7737</v>
      </c>
      <c r="O98" s="33">
        <v>55.7322</v>
      </c>
      <c r="P98" s="33">
        <v>26.3477</v>
      </c>
      <c r="Q98" s="33">
        <v>0.0358538</v>
      </c>
      <c r="R98" s="34">
        <v>87.1809</v>
      </c>
      <c r="S98" s="33">
        <v>0.76165</v>
      </c>
      <c r="T98" s="33">
        <v>4.20458</v>
      </c>
      <c r="U98" s="33">
        <v>14.6865</v>
      </c>
      <c r="V98" s="33">
        <v>59.5754</v>
      </c>
      <c r="W98" s="33">
        <v>18.0887</v>
      </c>
      <c r="X98" s="33">
        <v>2.68322</v>
      </c>
      <c r="Y98" s="34">
        <v>9.5257</v>
      </c>
      <c r="Z98" s="33">
        <v>0.0</v>
      </c>
      <c r="AA98" s="33">
        <v>99.4884</v>
      </c>
      <c r="AB98" s="33">
        <v>0.511643</v>
      </c>
      <c r="AC98" s="33">
        <v>0.0</v>
      </c>
      <c r="AD98" s="33">
        <v>0.0</v>
      </c>
      <c r="AE98" s="33">
        <v>0.0</v>
      </c>
      <c r="AF98" s="34">
        <v>0.471283</v>
      </c>
      <c r="AG98" s="33">
        <v>0.955454</v>
      </c>
      <c r="AH98" s="33">
        <v>4.2007</v>
      </c>
      <c r="AI98" s="33">
        <v>10.0991</v>
      </c>
      <c r="AJ98" s="33">
        <v>19.6459</v>
      </c>
      <c r="AK98" s="33">
        <v>43.7406</v>
      </c>
      <c r="AL98" s="33">
        <v>21.3582</v>
      </c>
      <c r="AM98" s="34">
        <v>0.23272</v>
      </c>
      <c r="AN98" s="33">
        <v>0.281985</v>
      </c>
      <c r="AO98" s="33">
        <v>2.35956</v>
      </c>
      <c r="AP98" s="33">
        <v>37.5854</v>
      </c>
      <c r="AQ98" s="33">
        <v>51.7195</v>
      </c>
      <c r="AR98" s="33">
        <v>6.68527</v>
      </c>
      <c r="AS98" s="33">
        <v>1.36826</v>
      </c>
      <c r="AT98" s="33">
        <v>624.487</v>
      </c>
      <c r="AU98" s="34">
        <v>649.377</v>
      </c>
      <c r="AV98" s="34">
        <v>28042.1</v>
      </c>
      <c r="AW98" s="34">
        <v>0.137337</v>
      </c>
      <c r="AX98" s="33">
        <v>0.00581412</v>
      </c>
      <c r="AY98" s="33">
        <v>0.137601</v>
      </c>
      <c r="AZ98" s="33">
        <v>0.305241</v>
      </c>
      <c r="BA98" s="33">
        <v>2.19289</v>
      </c>
      <c r="BB98" s="33">
        <v>79.1893</v>
      </c>
      <c r="BC98" s="33">
        <v>18.1691</v>
      </c>
      <c r="BD98" s="34">
        <v>36.7624</v>
      </c>
      <c r="BE98" s="33">
        <v>0.0</v>
      </c>
      <c r="BF98" s="33">
        <v>14.7553</v>
      </c>
      <c r="BG98" s="33">
        <v>74.4043</v>
      </c>
      <c r="BH98" s="33">
        <v>10.2309</v>
      </c>
      <c r="BI98" s="33">
        <v>0.454471</v>
      </c>
      <c r="BJ98" s="33">
        <v>0.155043</v>
      </c>
      <c r="BK98" s="33">
        <v>34.5854</v>
      </c>
      <c r="BL98" s="33">
        <v>103197.0</v>
      </c>
    </row>
    <row r="99" ht="15.75" customHeight="1">
      <c r="A99" s="33" t="s">
        <v>94</v>
      </c>
      <c r="B99" s="33" t="s">
        <v>66</v>
      </c>
      <c r="C99" s="34">
        <v>49839.1</v>
      </c>
      <c r="D99" s="33">
        <v>348.082</v>
      </c>
      <c r="E99" s="33">
        <v>95714.6</v>
      </c>
      <c r="F99" s="33">
        <v>29.0811</v>
      </c>
      <c r="G99" s="33">
        <v>76.4473</v>
      </c>
      <c r="H99" s="33">
        <v>1183.91</v>
      </c>
      <c r="I99" s="33">
        <v>418.284</v>
      </c>
      <c r="J99" s="34">
        <v>2.87828E7</v>
      </c>
      <c r="K99" s="34">
        <v>0.228239</v>
      </c>
      <c r="L99" s="33">
        <v>0.178535</v>
      </c>
      <c r="M99" s="33">
        <v>2.16959</v>
      </c>
      <c r="N99" s="33">
        <v>17.4984</v>
      </c>
      <c r="O99" s="33">
        <v>55.7</v>
      </c>
      <c r="P99" s="33">
        <v>24.4292</v>
      </c>
      <c r="Q99" s="33">
        <v>0.0242575</v>
      </c>
      <c r="R99" s="34">
        <v>85.6963</v>
      </c>
      <c r="S99" s="33">
        <v>0.864537</v>
      </c>
      <c r="T99" s="33">
        <v>4.32074</v>
      </c>
      <c r="U99" s="33">
        <v>16.6435</v>
      </c>
      <c r="V99" s="33">
        <v>59.8529</v>
      </c>
      <c r="W99" s="33">
        <v>15.4646</v>
      </c>
      <c r="X99" s="33">
        <v>2.85365</v>
      </c>
      <c r="Y99" s="34">
        <v>9.8372</v>
      </c>
      <c r="Z99" s="33">
        <v>0.0</v>
      </c>
      <c r="AA99" s="33">
        <v>99.6303</v>
      </c>
      <c r="AB99" s="33">
        <v>0.369684</v>
      </c>
      <c r="AC99" s="33">
        <v>0.0</v>
      </c>
      <c r="AD99" s="33">
        <v>0.0</v>
      </c>
      <c r="AE99" s="33">
        <v>0.0</v>
      </c>
      <c r="AF99" s="34">
        <v>0.445975</v>
      </c>
      <c r="AG99" s="33">
        <v>0.817962</v>
      </c>
      <c r="AH99" s="33">
        <v>5.01451</v>
      </c>
      <c r="AI99" s="33">
        <v>11.9638</v>
      </c>
      <c r="AJ99" s="33">
        <v>26.5192</v>
      </c>
      <c r="AK99" s="33">
        <v>39.6901</v>
      </c>
      <c r="AL99" s="33">
        <v>15.9944</v>
      </c>
      <c r="AM99" s="34">
        <v>0.238373</v>
      </c>
      <c r="AN99" s="33">
        <v>0.26101</v>
      </c>
      <c r="AO99" s="33">
        <v>2.4665</v>
      </c>
      <c r="AP99" s="33">
        <v>35.8787</v>
      </c>
      <c r="AQ99" s="33">
        <v>52.3263</v>
      </c>
      <c r="AR99" s="33">
        <v>7.4713</v>
      </c>
      <c r="AS99" s="33">
        <v>1.59614</v>
      </c>
      <c r="AT99" s="33">
        <v>577.514</v>
      </c>
      <c r="AU99" s="34">
        <v>591.477</v>
      </c>
      <c r="AV99" s="34">
        <v>27834.9</v>
      </c>
      <c r="AW99" s="34">
        <v>0.146527</v>
      </c>
      <c r="AX99" s="33">
        <v>0.0</v>
      </c>
      <c r="AY99" s="33">
        <v>0.109644</v>
      </c>
      <c r="AZ99" s="33">
        <v>0.285268</v>
      </c>
      <c r="BA99" s="33">
        <v>2.3326</v>
      </c>
      <c r="BB99" s="33">
        <v>75.3321</v>
      </c>
      <c r="BC99" s="33">
        <v>21.9404</v>
      </c>
      <c r="BD99" s="34">
        <v>36.4859</v>
      </c>
      <c r="BE99" s="33">
        <v>0.0</v>
      </c>
      <c r="BF99" s="33">
        <v>16.6998</v>
      </c>
      <c r="BG99" s="33">
        <v>71.3024</v>
      </c>
      <c r="BH99" s="33">
        <v>11.2254</v>
      </c>
      <c r="BI99" s="33">
        <v>0.609348</v>
      </c>
      <c r="BJ99" s="33">
        <v>0.16301</v>
      </c>
      <c r="BK99" s="33">
        <v>33.9923</v>
      </c>
      <c r="BL99" s="33">
        <v>103061.0</v>
      </c>
    </row>
    <row r="100" ht="15.75" customHeight="1">
      <c r="A100" s="33" t="s">
        <v>94</v>
      </c>
      <c r="B100" s="33" t="s">
        <v>66</v>
      </c>
      <c r="C100" s="34">
        <v>52799.9</v>
      </c>
      <c r="D100" s="33">
        <v>377.471</v>
      </c>
      <c r="E100" s="33">
        <v>106068.0</v>
      </c>
      <c r="F100" s="33">
        <v>27.7279</v>
      </c>
      <c r="G100" s="33">
        <v>79.554</v>
      </c>
      <c r="H100" s="33">
        <v>1276.97</v>
      </c>
      <c r="I100" s="33">
        <v>450.108</v>
      </c>
      <c r="J100" s="34">
        <v>3.26299E7</v>
      </c>
      <c r="K100" s="34">
        <v>0.232283</v>
      </c>
      <c r="L100" s="33">
        <v>0.19552</v>
      </c>
      <c r="M100" s="33">
        <v>1.99578</v>
      </c>
      <c r="N100" s="33">
        <v>16.3683</v>
      </c>
      <c r="O100" s="33">
        <v>55.4999</v>
      </c>
      <c r="P100" s="33">
        <v>25.9202</v>
      </c>
      <c r="Q100" s="33">
        <v>0.0202898</v>
      </c>
      <c r="R100" s="34">
        <v>86.2624</v>
      </c>
      <c r="S100" s="33">
        <v>0.930563</v>
      </c>
      <c r="T100" s="33">
        <v>4.21474</v>
      </c>
      <c r="U100" s="33">
        <v>15.375</v>
      </c>
      <c r="V100" s="33">
        <v>60.9468</v>
      </c>
      <c r="W100" s="33">
        <v>15.9183</v>
      </c>
      <c r="X100" s="33">
        <v>2.61461</v>
      </c>
      <c r="Y100" s="34">
        <v>9.97675</v>
      </c>
      <c r="Z100" s="33">
        <v>0.0</v>
      </c>
      <c r="AA100" s="33">
        <v>99.2188</v>
      </c>
      <c r="AB100" s="33">
        <v>0.727665</v>
      </c>
      <c r="AC100" s="33">
        <v>0.0405795</v>
      </c>
      <c r="AD100" s="33">
        <v>0.0129117</v>
      </c>
      <c r="AE100" s="33">
        <v>0.0</v>
      </c>
      <c r="AF100" s="34">
        <v>0.456588</v>
      </c>
      <c r="AG100" s="33">
        <v>0.801446</v>
      </c>
      <c r="AH100" s="33">
        <v>4.3457</v>
      </c>
      <c r="AI100" s="33">
        <v>11.0201</v>
      </c>
      <c r="AJ100" s="33">
        <v>23.609</v>
      </c>
      <c r="AK100" s="33">
        <v>44.2363</v>
      </c>
      <c r="AL100" s="33">
        <v>15.9874</v>
      </c>
      <c r="AM100" s="34">
        <v>0.238695</v>
      </c>
      <c r="AN100" s="33">
        <v>0.137417</v>
      </c>
      <c r="AO100" s="33">
        <v>2.42371</v>
      </c>
      <c r="AP100" s="33">
        <v>35.6796</v>
      </c>
      <c r="AQ100" s="33">
        <v>53.1435</v>
      </c>
      <c r="AR100" s="33">
        <v>7.13186</v>
      </c>
      <c r="AS100" s="33">
        <v>1.48392</v>
      </c>
      <c r="AT100" s="33">
        <v>617.992</v>
      </c>
      <c r="AU100" s="34">
        <v>652.078</v>
      </c>
      <c r="AV100" s="34">
        <v>29410.4</v>
      </c>
      <c r="AW100" s="34">
        <v>0.143743</v>
      </c>
      <c r="AX100" s="33">
        <v>0.00645584</v>
      </c>
      <c r="AY100" s="33">
        <v>0.0507244</v>
      </c>
      <c r="AZ100" s="33">
        <v>0.219498</v>
      </c>
      <c r="BA100" s="33">
        <v>2.28444</v>
      </c>
      <c r="BB100" s="33">
        <v>76.6714</v>
      </c>
      <c r="BC100" s="33">
        <v>20.7675</v>
      </c>
      <c r="BD100" s="34">
        <v>36.851</v>
      </c>
      <c r="BE100" s="33">
        <v>0.0</v>
      </c>
      <c r="BF100" s="33">
        <v>15.6785</v>
      </c>
      <c r="BG100" s="33">
        <v>72.8394</v>
      </c>
      <c r="BH100" s="33">
        <v>10.7905</v>
      </c>
      <c r="BI100" s="33">
        <v>0.524767</v>
      </c>
      <c r="BJ100" s="33">
        <v>0.16693</v>
      </c>
      <c r="BK100" s="33">
        <v>33.8913</v>
      </c>
      <c r="BL100" s="33">
        <v>108429.0</v>
      </c>
    </row>
    <row r="101" ht="15.75" customHeight="1">
      <c r="A101" s="33" t="s">
        <v>94</v>
      </c>
      <c r="B101" s="33" t="s">
        <v>66</v>
      </c>
      <c r="C101" s="34">
        <v>58804.9</v>
      </c>
      <c r="D101" s="33">
        <v>330.919</v>
      </c>
      <c r="E101" s="33">
        <v>98689.6</v>
      </c>
      <c r="F101" s="33">
        <v>33.5881</v>
      </c>
      <c r="G101" s="33">
        <v>78.5727</v>
      </c>
      <c r="H101" s="33">
        <v>1225.64</v>
      </c>
      <c r="I101" s="33">
        <v>435.518</v>
      </c>
      <c r="J101" s="34">
        <v>3.40471E7</v>
      </c>
      <c r="K101" s="34">
        <v>0.232684</v>
      </c>
      <c r="L101" s="33">
        <v>0.22865</v>
      </c>
      <c r="M101" s="33">
        <v>1.77472</v>
      </c>
      <c r="N101" s="33">
        <v>15.677</v>
      </c>
      <c r="O101" s="33">
        <v>57.3903</v>
      </c>
      <c r="P101" s="33">
        <v>24.8617</v>
      </c>
      <c r="Q101" s="33">
        <v>0.0676869</v>
      </c>
      <c r="R101" s="34">
        <v>86.7436</v>
      </c>
      <c r="S101" s="33">
        <v>0.767669</v>
      </c>
      <c r="T101" s="33">
        <v>3.98445</v>
      </c>
      <c r="U101" s="33">
        <v>15.3237</v>
      </c>
      <c r="V101" s="33">
        <v>60.7416</v>
      </c>
      <c r="W101" s="33">
        <v>16.4991</v>
      </c>
      <c r="X101" s="33">
        <v>2.68354</v>
      </c>
      <c r="Y101" s="34">
        <v>9.52805</v>
      </c>
      <c r="Z101" s="33">
        <v>0.0</v>
      </c>
      <c r="AA101" s="33">
        <v>99.7119</v>
      </c>
      <c r="AB101" s="33">
        <v>0.288082</v>
      </c>
      <c r="AC101" s="33">
        <v>0.0</v>
      </c>
      <c r="AD101" s="33">
        <v>0.0</v>
      </c>
      <c r="AE101" s="33">
        <v>0.0</v>
      </c>
      <c r="AF101" s="34">
        <v>0.461514</v>
      </c>
      <c r="AG101" s="33">
        <v>0.546448</v>
      </c>
      <c r="AH101" s="33">
        <v>3.14414</v>
      </c>
      <c r="AI101" s="33">
        <v>11.1824</v>
      </c>
      <c r="AJ101" s="33">
        <v>25.2183</v>
      </c>
      <c r="AK101" s="33">
        <v>43.1628</v>
      </c>
      <c r="AL101" s="33">
        <v>16.7459</v>
      </c>
      <c r="AM101" s="34">
        <v>0.239218</v>
      </c>
      <c r="AN101" s="33">
        <v>0.288908</v>
      </c>
      <c r="AO101" s="33">
        <v>2.49616</v>
      </c>
      <c r="AP101" s="33">
        <v>36.2835</v>
      </c>
      <c r="AQ101" s="33">
        <v>51.5783</v>
      </c>
      <c r="AR101" s="33">
        <v>7.01137</v>
      </c>
      <c r="AS101" s="33">
        <v>2.3418</v>
      </c>
      <c r="AT101" s="33">
        <v>578.985</v>
      </c>
      <c r="AU101" s="34">
        <v>602.877</v>
      </c>
      <c r="AV101" s="34">
        <v>33148.0</v>
      </c>
      <c r="AW101" s="34">
        <v>0.140945</v>
      </c>
      <c r="AX101" s="33">
        <v>0.00412725</v>
      </c>
      <c r="AY101" s="33">
        <v>0.125468</v>
      </c>
      <c r="AZ101" s="33">
        <v>0.283129</v>
      </c>
      <c r="BA101" s="33">
        <v>2.37234</v>
      </c>
      <c r="BB101" s="33">
        <v>77.2993</v>
      </c>
      <c r="BC101" s="33">
        <v>19.9156</v>
      </c>
      <c r="BD101" s="34">
        <v>37.034</v>
      </c>
      <c r="BE101" s="33">
        <v>0.0</v>
      </c>
      <c r="BF101" s="33">
        <v>15.5705</v>
      </c>
      <c r="BG101" s="33">
        <v>72.756</v>
      </c>
      <c r="BH101" s="33">
        <v>10.4618</v>
      </c>
      <c r="BI101" s="33">
        <v>0.917901</v>
      </c>
      <c r="BJ101" s="33">
        <v>0.29386</v>
      </c>
      <c r="BK101" s="33">
        <v>34.3565</v>
      </c>
      <c r="BL101" s="33">
        <v>121146.0</v>
      </c>
    </row>
    <row r="102" ht="15.75" customHeight="1">
      <c r="A102" s="33" t="s">
        <v>111</v>
      </c>
      <c r="B102" s="33" t="s">
        <v>66</v>
      </c>
      <c r="C102" s="34">
        <v>52214.0</v>
      </c>
      <c r="D102" s="33">
        <v>390.906</v>
      </c>
      <c r="E102" s="33">
        <v>88881.1</v>
      </c>
      <c r="F102" s="33">
        <v>33.1679</v>
      </c>
      <c r="G102" s="33">
        <v>74.1995</v>
      </c>
      <c r="H102" s="33">
        <v>1141.69</v>
      </c>
      <c r="I102" s="33">
        <v>401.14</v>
      </c>
      <c r="J102" s="34">
        <v>3.02405E7</v>
      </c>
      <c r="K102" s="34">
        <v>0.219788</v>
      </c>
      <c r="L102" s="33">
        <v>0.214943</v>
      </c>
      <c r="M102" s="33">
        <v>2.30651</v>
      </c>
      <c r="N102" s="33">
        <v>19.321</v>
      </c>
      <c r="O102" s="33">
        <v>57.1932</v>
      </c>
      <c r="P102" s="33">
        <v>20.945</v>
      </c>
      <c r="Q102" s="33">
        <v>0.0192898</v>
      </c>
      <c r="R102" s="34">
        <v>86.5571</v>
      </c>
      <c r="S102" s="33">
        <v>1.07012</v>
      </c>
      <c r="T102" s="33">
        <v>4.60199</v>
      </c>
      <c r="U102" s="33">
        <v>16.637</v>
      </c>
      <c r="V102" s="33">
        <v>55.5876</v>
      </c>
      <c r="W102" s="33">
        <v>18.6008</v>
      </c>
      <c r="X102" s="33">
        <v>3.50247</v>
      </c>
      <c r="Y102" s="34">
        <v>9.98977</v>
      </c>
      <c r="Z102" s="33">
        <v>0.0</v>
      </c>
      <c r="AA102" s="33">
        <v>99.0814</v>
      </c>
      <c r="AB102" s="33">
        <v>0.734848</v>
      </c>
      <c r="AC102" s="33">
        <v>0.100123</v>
      </c>
      <c r="AD102" s="33">
        <v>0.083589</v>
      </c>
      <c r="AE102" s="33">
        <v>0.0</v>
      </c>
      <c r="AF102" s="34">
        <v>0.454121</v>
      </c>
      <c r="AG102" s="33">
        <v>1.26761</v>
      </c>
      <c r="AH102" s="33">
        <v>4.53861</v>
      </c>
      <c r="AI102" s="33">
        <v>11.302</v>
      </c>
      <c r="AJ102" s="33">
        <v>23.438</v>
      </c>
      <c r="AK102" s="33">
        <v>40.8162</v>
      </c>
      <c r="AL102" s="33">
        <v>18.6376</v>
      </c>
      <c r="AM102" s="34">
        <v>0.222633</v>
      </c>
      <c r="AN102" s="33">
        <v>0.361913</v>
      </c>
      <c r="AO102" s="33">
        <v>3.35918</v>
      </c>
      <c r="AP102" s="33">
        <v>40.9219</v>
      </c>
      <c r="AQ102" s="33">
        <v>47.1157</v>
      </c>
      <c r="AR102" s="33">
        <v>6.59343</v>
      </c>
      <c r="AS102" s="33">
        <v>1.6479</v>
      </c>
      <c r="AT102" s="33">
        <v>579.166</v>
      </c>
      <c r="AU102" s="34">
        <v>598.921</v>
      </c>
      <c r="AV102" s="34">
        <v>29480.0</v>
      </c>
      <c r="AW102" s="34">
        <v>0.137492</v>
      </c>
      <c r="AX102" s="33">
        <v>0.0486837</v>
      </c>
      <c r="AY102" s="33">
        <v>0.163504</v>
      </c>
      <c r="AZ102" s="33">
        <v>0.381203</v>
      </c>
      <c r="BA102" s="33">
        <v>3.12402</v>
      </c>
      <c r="BB102" s="33">
        <v>76.3186</v>
      </c>
      <c r="BC102" s="33">
        <v>19.964</v>
      </c>
      <c r="BD102" s="34">
        <v>35.0841</v>
      </c>
      <c r="BE102" s="33">
        <v>0.0</v>
      </c>
      <c r="BF102" s="33">
        <v>19.5672</v>
      </c>
      <c r="BG102" s="33">
        <v>70.7833</v>
      </c>
      <c r="BH102" s="33">
        <v>8.7649</v>
      </c>
      <c r="BI102" s="33">
        <v>0.698106</v>
      </c>
      <c r="BJ102" s="33">
        <v>0.186468</v>
      </c>
      <c r="BK102" s="33">
        <v>34.4167</v>
      </c>
      <c r="BL102" s="33">
        <v>108866.0</v>
      </c>
    </row>
    <row r="103" ht="15.75" customHeight="1">
      <c r="A103" s="33" t="s">
        <v>111</v>
      </c>
      <c r="B103" s="33" t="s">
        <v>66</v>
      </c>
      <c r="C103" s="34">
        <v>50449.7</v>
      </c>
      <c r="D103" s="33">
        <v>338.03</v>
      </c>
      <c r="E103" s="33">
        <v>87859.6</v>
      </c>
      <c r="F103" s="33">
        <v>33.8555</v>
      </c>
      <c r="G103" s="33">
        <v>80.5555</v>
      </c>
      <c r="H103" s="33">
        <v>1145.45</v>
      </c>
      <c r="I103" s="33">
        <v>384.546</v>
      </c>
      <c r="J103" s="34">
        <v>2.86053E7</v>
      </c>
      <c r="K103" s="34">
        <v>0.229935</v>
      </c>
      <c r="L103" s="33">
        <v>0.245823</v>
      </c>
      <c r="M103" s="33">
        <v>2.31776</v>
      </c>
      <c r="N103" s="33">
        <v>17.0634</v>
      </c>
      <c r="O103" s="33">
        <v>55.0957</v>
      </c>
      <c r="P103" s="33">
        <v>25.2347</v>
      </c>
      <c r="Q103" s="33">
        <v>0.0425107</v>
      </c>
      <c r="R103" s="34">
        <v>89.0509</v>
      </c>
      <c r="S103" s="33">
        <v>0.975898</v>
      </c>
      <c r="T103" s="33">
        <v>3.9997</v>
      </c>
      <c r="U103" s="33">
        <v>13.9315</v>
      </c>
      <c r="V103" s="33">
        <v>52.7955</v>
      </c>
      <c r="W103" s="33">
        <v>24.6571</v>
      </c>
      <c r="X103" s="33">
        <v>3.64021</v>
      </c>
      <c r="Y103" s="34">
        <v>8.86823</v>
      </c>
      <c r="Z103" s="33">
        <v>0.0</v>
      </c>
      <c r="AA103" s="33">
        <v>99.6599</v>
      </c>
      <c r="AB103" s="33">
        <v>0.340086</v>
      </c>
      <c r="AC103" s="33">
        <v>0.0</v>
      </c>
      <c r="AD103" s="33">
        <v>0.0</v>
      </c>
      <c r="AE103" s="33">
        <v>0.0</v>
      </c>
      <c r="AF103" s="34">
        <v>0.49179</v>
      </c>
      <c r="AG103" s="33">
        <v>0.544322</v>
      </c>
      <c r="AH103" s="33">
        <v>3.95904</v>
      </c>
      <c r="AI103" s="33">
        <v>9.57415</v>
      </c>
      <c r="AJ103" s="33">
        <v>18.6807</v>
      </c>
      <c r="AK103" s="33">
        <v>36.3494</v>
      </c>
      <c r="AL103" s="33">
        <v>30.8924</v>
      </c>
      <c r="AM103" s="34">
        <v>0.212446</v>
      </c>
      <c r="AN103" s="33">
        <v>0.258761</v>
      </c>
      <c r="AO103" s="33">
        <v>3.56905</v>
      </c>
      <c r="AP103" s="33">
        <v>45.7859</v>
      </c>
      <c r="AQ103" s="33">
        <v>42.7621</v>
      </c>
      <c r="AR103" s="33">
        <v>5.95335</v>
      </c>
      <c r="AS103" s="33">
        <v>1.67086</v>
      </c>
      <c r="AT103" s="33">
        <v>567.007</v>
      </c>
      <c r="AU103" s="34">
        <v>579.12</v>
      </c>
      <c r="AV103" s="34">
        <v>29745.3</v>
      </c>
      <c r="AW103" s="34">
        <v>0.120253</v>
      </c>
      <c r="AX103" s="33">
        <v>0.00369658</v>
      </c>
      <c r="AY103" s="33">
        <v>0.141394</v>
      </c>
      <c r="AZ103" s="33">
        <v>0.218098</v>
      </c>
      <c r="BA103" s="33">
        <v>3.46462</v>
      </c>
      <c r="BB103" s="33">
        <v>80.7122</v>
      </c>
      <c r="BC103" s="33">
        <v>15.46</v>
      </c>
      <c r="BD103" s="34">
        <v>35.3668</v>
      </c>
      <c r="BE103" s="33">
        <v>0.0</v>
      </c>
      <c r="BF103" s="33">
        <v>18.4478</v>
      </c>
      <c r="BG103" s="33">
        <v>71.8108</v>
      </c>
      <c r="BH103" s="33">
        <v>8.86718</v>
      </c>
      <c r="BI103" s="33">
        <v>0.638585</v>
      </c>
      <c r="BJ103" s="33">
        <v>0.235657</v>
      </c>
      <c r="BK103" s="33">
        <v>36.1745</v>
      </c>
      <c r="BL103" s="33">
        <v>108208.0</v>
      </c>
    </row>
    <row r="104" ht="15.75" customHeight="1">
      <c r="A104" s="33" t="s">
        <v>111</v>
      </c>
      <c r="B104" s="33" t="s">
        <v>66</v>
      </c>
      <c r="C104" s="34">
        <v>53888.6</v>
      </c>
      <c r="D104" s="33">
        <v>406.885</v>
      </c>
      <c r="E104" s="33">
        <v>98173.2</v>
      </c>
      <c r="F104" s="33">
        <v>31.0865</v>
      </c>
      <c r="G104" s="33">
        <v>79.6672</v>
      </c>
      <c r="H104" s="33">
        <v>1261.52</v>
      </c>
      <c r="I104" s="33">
        <v>436.748</v>
      </c>
      <c r="J104" s="34">
        <v>3.34246E7</v>
      </c>
      <c r="K104" s="34">
        <v>0.228091</v>
      </c>
      <c r="L104" s="33">
        <v>0.211015</v>
      </c>
      <c r="M104" s="33">
        <v>2.30746</v>
      </c>
      <c r="N104" s="33">
        <v>17.939</v>
      </c>
      <c r="O104" s="33">
        <v>54.1203</v>
      </c>
      <c r="P104" s="33">
        <v>25.3967</v>
      </c>
      <c r="Q104" s="33">
        <v>0.0255776</v>
      </c>
      <c r="R104" s="34">
        <v>86.473</v>
      </c>
      <c r="S104" s="33">
        <v>1.03772</v>
      </c>
      <c r="T104" s="33">
        <v>4.40208</v>
      </c>
      <c r="U104" s="33">
        <v>16.0298</v>
      </c>
      <c r="V104" s="33">
        <v>57.6463</v>
      </c>
      <c r="W104" s="33">
        <v>17.6768</v>
      </c>
      <c r="X104" s="33">
        <v>3.20724</v>
      </c>
      <c r="Y104" s="34">
        <v>9.54054</v>
      </c>
      <c r="Z104" s="33">
        <v>0.0</v>
      </c>
      <c r="AA104" s="33">
        <v>99.4556</v>
      </c>
      <c r="AB104" s="33">
        <v>0.543523</v>
      </c>
      <c r="AC104" s="33">
        <v>9.13484E-4</v>
      </c>
      <c r="AD104" s="33">
        <v>0.0</v>
      </c>
      <c r="AE104" s="33">
        <v>0.0</v>
      </c>
      <c r="AF104" s="34">
        <v>0.456673</v>
      </c>
      <c r="AG104" s="33">
        <v>0.873291</v>
      </c>
      <c r="AH104" s="33">
        <v>4.79579</v>
      </c>
      <c r="AI104" s="33">
        <v>11.477</v>
      </c>
      <c r="AJ104" s="33">
        <v>23.4217</v>
      </c>
      <c r="AK104" s="33">
        <v>40.175</v>
      </c>
      <c r="AL104" s="33">
        <v>19.2572</v>
      </c>
      <c r="AM104" s="34">
        <v>0.230863</v>
      </c>
      <c r="AN104" s="33">
        <v>0.187264</v>
      </c>
      <c r="AO104" s="33">
        <v>2.88296</v>
      </c>
      <c r="AP104" s="33">
        <v>37.8776</v>
      </c>
      <c r="AQ104" s="33">
        <v>50.8701</v>
      </c>
      <c r="AR104" s="33">
        <v>6.82281</v>
      </c>
      <c r="AS104" s="33">
        <v>1.35926</v>
      </c>
      <c r="AT104" s="33">
        <v>620.253</v>
      </c>
      <c r="AU104" s="34">
        <v>666.721</v>
      </c>
      <c r="AV104" s="34">
        <v>30518.6</v>
      </c>
      <c r="AW104" s="34">
        <v>0.139468</v>
      </c>
      <c r="AX104" s="33">
        <v>0.0137023</v>
      </c>
      <c r="AY104" s="33">
        <v>0.113272</v>
      </c>
      <c r="AZ104" s="33">
        <v>0.249381</v>
      </c>
      <c r="BA104" s="33">
        <v>2.69386</v>
      </c>
      <c r="BB104" s="33">
        <v>76.8258</v>
      </c>
      <c r="BC104" s="33">
        <v>20.104</v>
      </c>
      <c r="BD104" s="34">
        <v>36.1201</v>
      </c>
      <c r="BE104" s="33">
        <v>0.0</v>
      </c>
      <c r="BF104" s="33">
        <v>17.1552</v>
      </c>
      <c r="BG104" s="33">
        <v>72.1397</v>
      </c>
      <c r="BH104" s="33">
        <v>10.0264</v>
      </c>
      <c r="BI104" s="33">
        <v>0.511551</v>
      </c>
      <c r="BJ104" s="33">
        <v>0.167168</v>
      </c>
      <c r="BK104" s="33">
        <v>34.5378</v>
      </c>
      <c r="BL104" s="33">
        <v>109471.0</v>
      </c>
    </row>
    <row r="105" ht="15.75" customHeight="1">
      <c r="A105" s="33" t="s">
        <v>111</v>
      </c>
      <c r="B105" s="33" t="s">
        <v>66</v>
      </c>
      <c r="C105" s="34">
        <v>43062.5</v>
      </c>
      <c r="D105" s="33">
        <v>381.727</v>
      </c>
      <c r="E105" s="33">
        <v>76759.0</v>
      </c>
      <c r="F105" s="33">
        <v>32.9462</v>
      </c>
      <c r="G105" s="33">
        <v>74.5737</v>
      </c>
      <c r="H105" s="33">
        <v>1065.87</v>
      </c>
      <c r="I105" s="33">
        <v>388.812</v>
      </c>
      <c r="J105" s="34">
        <v>2.35975E7</v>
      </c>
      <c r="K105" s="34">
        <v>0.223332</v>
      </c>
      <c r="L105" s="33">
        <v>0.392814</v>
      </c>
      <c r="M105" s="33">
        <v>2.71341</v>
      </c>
      <c r="N105" s="33">
        <v>18.5423</v>
      </c>
      <c r="O105" s="33">
        <v>54.6513</v>
      </c>
      <c r="P105" s="33">
        <v>23.5987</v>
      </c>
      <c r="Q105" s="33">
        <v>0.101406</v>
      </c>
      <c r="R105" s="34">
        <v>87.5134</v>
      </c>
      <c r="S105" s="33">
        <v>1.08878</v>
      </c>
      <c r="T105" s="33">
        <v>4.54191</v>
      </c>
      <c r="U105" s="33">
        <v>15.6005</v>
      </c>
      <c r="V105" s="33">
        <v>53.4569</v>
      </c>
      <c r="W105" s="33">
        <v>21.2557</v>
      </c>
      <c r="X105" s="33">
        <v>4.05623</v>
      </c>
      <c r="Y105" s="34">
        <v>9.18799</v>
      </c>
      <c r="Z105" s="33">
        <v>0.0</v>
      </c>
      <c r="AA105" s="33">
        <v>99.6317</v>
      </c>
      <c r="AB105" s="33">
        <v>0.365061</v>
      </c>
      <c r="AC105" s="33">
        <v>0.00106743</v>
      </c>
      <c r="AD105" s="33">
        <v>0.00213486</v>
      </c>
      <c r="AE105" s="33">
        <v>0.0</v>
      </c>
      <c r="AF105" s="34">
        <v>0.472401</v>
      </c>
      <c r="AG105" s="33">
        <v>0.577479</v>
      </c>
      <c r="AH105" s="33">
        <v>4.88242</v>
      </c>
      <c r="AI105" s="33">
        <v>10.6006</v>
      </c>
      <c r="AJ105" s="33">
        <v>20.2961</v>
      </c>
      <c r="AK105" s="33">
        <v>39.8685</v>
      </c>
      <c r="AL105" s="33">
        <v>23.7749</v>
      </c>
      <c r="AM105" s="34">
        <v>0.223613</v>
      </c>
      <c r="AN105" s="33">
        <v>0.567873</v>
      </c>
      <c r="AO105" s="33">
        <v>3.58763</v>
      </c>
      <c r="AP105" s="33">
        <v>42.4965</v>
      </c>
      <c r="AQ105" s="33">
        <v>44.1585</v>
      </c>
      <c r="AR105" s="33">
        <v>6.45581</v>
      </c>
      <c r="AS105" s="33">
        <v>2.73369</v>
      </c>
      <c r="AT105" s="33">
        <v>547.983</v>
      </c>
      <c r="AU105" s="34">
        <v>583.021</v>
      </c>
      <c r="AV105" s="34">
        <v>25289.2</v>
      </c>
      <c r="AW105" s="34">
        <v>0.129142</v>
      </c>
      <c r="AX105" s="33">
        <v>0.00640458</v>
      </c>
      <c r="AY105" s="33">
        <v>0.256183</v>
      </c>
      <c r="AZ105" s="33">
        <v>0.608435</v>
      </c>
      <c r="BA105" s="33">
        <v>3.28448</v>
      </c>
      <c r="BB105" s="33">
        <v>78.0216</v>
      </c>
      <c r="BC105" s="33">
        <v>17.8229</v>
      </c>
      <c r="BD105" s="34">
        <v>35.8034</v>
      </c>
      <c r="BE105" s="33">
        <v>0.0</v>
      </c>
      <c r="BF105" s="33">
        <v>19.5457</v>
      </c>
      <c r="BG105" s="33">
        <v>69.1876</v>
      </c>
      <c r="BH105" s="33">
        <v>9.63889</v>
      </c>
      <c r="BI105" s="33">
        <v>1.08878</v>
      </c>
      <c r="BJ105" s="33">
        <v>0.539052</v>
      </c>
      <c r="BK105" s="33">
        <v>36.0041</v>
      </c>
      <c r="BL105" s="33">
        <v>93683.0</v>
      </c>
    </row>
    <row r="106" ht="15.75" customHeight="1">
      <c r="A106" s="33" t="s">
        <v>112</v>
      </c>
      <c r="B106" s="33" t="s">
        <v>66</v>
      </c>
      <c r="C106" s="34">
        <v>49617.3</v>
      </c>
      <c r="D106" s="33">
        <v>395.97</v>
      </c>
      <c r="E106" s="33">
        <v>93400.5</v>
      </c>
      <c r="F106" s="33">
        <v>27.6531</v>
      </c>
      <c r="G106" s="33">
        <v>95.3096</v>
      </c>
      <c r="H106" s="33">
        <v>1158.75</v>
      </c>
      <c r="I106" s="33">
        <v>398.267</v>
      </c>
      <c r="J106" s="34">
        <v>2.99201E7</v>
      </c>
      <c r="K106" s="34">
        <v>0.213126</v>
      </c>
      <c r="L106" s="33">
        <v>0.216926</v>
      </c>
      <c r="M106" s="33">
        <v>2.95613</v>
      </c>
      <c r="N106" s="33">
        <v>21.2107</v>
      </c>
      <c r="O106" s="33">
        <v>56.0223</v>
      </c>
      <c r="P106" s="33">
        <v>19.5848</v>
      </c>
      <c r="Q106" s="33">
        <v>0.00920914</v>
      </c>
      <c r="R106" s="34">
        <v>86.0042</v>
      </c>
      <c r="S106" s="33">
        <v>1.10203</v>
      </c>
      <c r="T106" s="33">
        <v>4.72122</v>
      </c>
      <c r="U106" s="33">
        <v>17.0911</v>
      </c>
      <c r="V106" s="33">
        <v>56.9319</v>
      </c>
      <c r="W106" s="33">
        <v>15.456</v>
      </c>
      <c r="X106" s="33">
        <v>4.69768</v>
      </c>
      <c r="Y106" s="34">
        <v>10.3156</v>
      </c>
      <c r="Z106" s="33">
        <v>0.0</v>
      </c>
      <c r="AA106" s="33">
        <v>99.1098</v>
      </c>
      <c r="AB106" s="33">
        <v>0.737754</v>
      </c>
      <c r="AC106" s="33">
        <v>0.0900449</v>
      </c>
      <c r="AD106" s="33">
        <v>0.0624175</v>
      </c>
      <c r="AE106" s="33">
        <v>0.0</v>
      </c>
      <c r="AF106" s="34">
        <v>0.426268</v>
      </c>
      <c r="AG106" s="33">
        <v>1.1491</v>
      </c>
      <c r="AH106" s="33">
        <v>4.83378</v>
      </c>
      <c r="AI106" s="33">
        <v>14.0214</v>
      </c>
      <c r="AJ106" s="33">
        <v>29.1142</v>
      </c>
      <c r="AK106" s="33">
        <v>39.8827</v>
      </c>
      <c r="AL106" s="33">
        <v>10.9988</v>
      </c>
      <c r="AM106" s="34">
        <v>0.223426</v>
      </c>
      <c r="AN106" s="33">
        <v>0.604734</v>
      </c>
      <c r="AO106" s="33">
        <v>4.1349</v>
      </c>
      <c r="AP106" s="33">
        <v>38.2159</v>
      </c>
      <c r="AQ106" s="33">
        <v>48.6181</v>
      </c>
      <c r="AR106" s="33">
        <v>7.06136</v>
      </c>
      <c r="AS106" s="33">
        <v>1.365</v>
      </c>
      <c r="AT106" s="33">
        <v>603.017</v>
      </c>
      <c r="AU106" s="34">
        <v>631.208</v>
      </c>
      <c r="AV106" s="34">
        <v>25828.2</v>
      </c>
      <c r="AW106" s="34">
        <v>0.141915</v>
      </c>
      <c r="AX106" s="33">
        <v>0.0133021</v>
      </c>
      <c r="AY106" s="33">
        <v>0.328459</v>
      </c>
      <c r="AZ106" s="33">
        <v>0.614966</v>
      </c>
      <c r="BA106" s="33">
        <v>3.78291</v>
      </c>
      <c r="BB106" s="33">
        <v>72.6458</v>
      </c>
      <c r="BC106" s="33">
        <v>22.6146</v>
      </c>
      <c r="BD106" s="34">
        <v>34.6726</v>
      </c>
      <c r="BE106" s="33">
        <v>0.0</v>
      </c>
      <c r="BF106" s="33">
        <v>21.5494</v>
      </c>
      <c r="BG106" s="33">
        <v>68.297</v>
      </c>
      <c r="BH106" s="33">
        <v>9.44244</v>
      </c>
      <c r="BI106" s="33">
        <v>0.509572</v>
      </c>
      <c r="BJ106" s="33">
        <v>0.201578</v>
      </c>
      <c r="BK106" s="33">
        <v>31.4035</v>
      </c>
      <c r="BL106" s="33">
        <v>97729.0</v>
      </c>
    </row>
    <row r="107" ht="15.75" customHeight="1">
      <c r="A107" s="33" t="s">
        <v>112</v>
      </c>
      <c r="B107" s="33" t="s">
        <v>66</v>
      </c>
      <c r="C107" s="34">
        <v>52551.8</v>
      </c>
      <c r="D107" s="33">
        <v>397.262</v>
      </c>
      <c r="E107" s="33">
        <v>135241.0</v>
      </c>
      <c r="F107" s="33">
        <v>22.1881</v>
      </c>
      <c r="G107" s="33">
        <v>65.1531</v>
      </c>
      <c r="H107" s="33">
        <v>1445.47</v>
      </c>
      <c r="I107" s="33">
        <v>553.605</v>
      </c>
      <c r="J107" s="34">
        <v>2.87085E7</v>
      </c>
      <c r="K107" s="34">
        <v>0.232851</v>
      </c>
      <c r="L107" s="33">
        <v>0.0474013</v>
      </c>
      <c r="M107" s="33">
        <v>2.21857</v>
      </c>
      <c r="N107" s="33">
        <v>18.5218</v>
      </c>
      <c r="O107" s="33">
        <v>51.2027</v>
      </c>
      <c r="P107" s="33">
        <v>27.9798</v>
      </c>
      <c r="Q107" s="33">
        <v>0.029742</v>
      </c>
      <c r="R107" s="34">
        <v>87.6014</v>
      </c>
      <c r="S107" s="33">
        <v>0.773292</v>
      </c>
      <c r="T107" s="33">
        <v>4.38694</v>
      </c>
      <c r="U107" s="33">
        <v>16.4956</v>
      </c>
      <c r="V107" s="33">
        <v>54.6147</v>
      </c>
      <c r="W107" s="33">
        <v>19.3156</v>
      </c>
      <c r="X107" s="33">
        <v>4.4139</v>
      </c>
      <c r="Y107" s="34">
        <v>10.4053</v>
      </c>
      <c r="Z107" s="33">
        <v>0.0</v>
      </c>
      <c r="AA107" s="33">
        <v>98.9637</v>
      </c>
      <c r="AB107" s="33">
        <v>0.851364</v>
      </c>
      <c r="AC107" s="33">
        <v>0.111532</v>
      </c>
      <c r="AD107" s="33">
        <v>0.0734255</v>
      </c>
      <c r="AE107" s="33">
        <v>0.0</v>
      </c>
      <c r="AF107" s="34">
        <v>0.45548</v>
      </c>
      <c r="AG107" s="33">
        <v>0.980556</v>
      </c>
      <c r="AH107" s="33">
        <v>4.97899</v>
      </c>
      <c r="AI107" s="33">
        <v>12.6125</v>
      </c>
      <c r="AJ107" s="33">
        <v>21.18</v>
      </c>
      <c r="AK107" s="33">
        <v>40.6973</v>
      </c>
      <c r="AL107" s="33">
        <v>19.5507</v>
      </c>
      <c r="AM107" s="34">
        <v>0.228386</v>
      </c>
      <c r="AN107" s="33">
        <v>0.431259</v>
      </c>
      <c r="AO107" s="33">
        <v>4.20663</v>
      </c>
      <c r="AP107" s="33">
        <v>36.4916</v>
      </c>
      <c r="AQ107" s="33">
        <v>49.421</v>
      </c>
      <c r="AR107" s="33">
        <v>8.18369</v>
      </c>
      <c r="AS107" s="33">
        <v>1.26589</v>
      </c>
      <c r="AT107" s="33">
        <v>546.289</v>
      </c>
      <c r="AU107" s="34">
        <v>568.208</v>
      </c>
      <c r="AV107" s="34">
        <v>30007.5</v>
      </c>
      <c r="AW107" s="34">
        <v>0.136457</v>
      </c>
      <c r="AX107" s="33">
        <v>0.0566957</v>
      </c>
      <c r="AY107" s="33">
        <v>0.199829</v>
      </c>
      <c r="AZ107" s="33">
        <v>0.509332</v>
      </c>
      <c r="BA107" s="33">
        <v>3.87204</v>
      </c>
      <c r="BB107" s="33">
        <v>75.4814</v>
      </c>
      <c r="BC107" s="33">
        <v>19.8807</v>
      </c>
      <c r="BD107" s="34">
        <v>36.4344</v>
      </c>
      <c r="BE107" s="33">
        <v>0.0</v>
      </c>
      <c r="BF107" s="33">
        <v>18.3564</v>
      </c>
      <c r="BG107" s="33">
        <v>67.8461</v>
      </c>
      <c r="BH107" s="33">
        <v>13.3467</v>
      </c>
      <c r="BI107" s="33">
        <v>0.359692</v>
      </c>
      <c r="BJ107" s="33">
        <v>0.0910848</v>
      </c>
      <c r="BK107" s="33">
        <v>34.8639</v>
      </c>
      <c r="BL107" s="33">
        <v>107592.0</v>
      </c>
    </row>
    <row r="108" ht="15.75" customHeight="1">
      <c r="A108" s="33" t="s">
        <v>112</v>
      </c>
      <c r="B108" s="33" t="s">
        <v>66</v>
      </c>
      <c r="C108" s="34">
        <v>58883.0</v>
      </c>
      <c r="D108" s="33">
        <v>416.359</v>
      </c>
      <c r="E108" s="33">
        <v>105616.0</v>
      </c>
      <c r="F108" s="33">
        <v>31.1771</v>
      </c>
      <c r="G108" s="33">
        <v>73.1443</v>
      </c>
      <c r="H108" s="33">
        <v>1242.35</v>
      </c>
      <c r="I108" s="33">
        <v>458.099</v>
      </c>
      <c r="J108" s="34">
        <v>3.6922E7</v>
      </c>
      <c r="K108" s="34">
        <v>0.223814</v>
      </c>
      <c r="L108" s="33">
        <v>0.190934</v>
      </c>
      <c r="M108" s="33">
        <v>2.12414</v>
      </c>
      <c r="N108" s="33">
        <v>18.8086</v>
      </c>
      <c r="O108" s="33">
        <v>56.2374</v>
      </c>
      <c r="P108" s="33">
        <v>22.5944</v>
      </c>
      <c r="Q108" s="33">
        <v>0.0444415</v>
      </c>
      <c r="R108" s="34">
        <v>85.891</v>
      </c>
      <c r="S108" s="33">
        <v>0.967014</v>
      </c>
      <c r="T108" s="33">
        <v>4.44827</v>
      </c>
      <c r="U108" s="33">
        <v>17.04</v>
      </c>
      <c r="V108" s="33">
        <v>58.1468</v>
      </c>
      <c r="W108" s="33">
        <v>16.245</v>
      </c>
      <c r="X108" s="33">
        <v>3.15288</v>
      </c>
      <c r="Y108" s="34">
        <v>9.83864</v>
      </c>
      <c r="Z108" s="33">
        <v>0.0</v>
      </c>
      <c r="AA108" s="33">
        <v>99.3136</v>
      </c>
      <c r="AB108" s="33">
        <v>0.685552</v>
      </c>
      <c r="AC108" s="33">
        <v>8.22991E-4</v>
      </c>
      <c r="AD108" s="33">
        <v>0.0</v>
      </c>
      <c r="AE108" s="33">
        <v>0.0</v>
      </c>
      <c r="AF108" s="34">
        <v>0.44327</v>
      </c>
      <c r="AG108" s="33">
        <v>0.784311</v>
      </c>
      <c r="AH108" s="33">
        <v>4.52974</v>
      </c>
      <c r="AI108" s="33">
        <v>12.484</v>
      </c>
      <c r="AJ108" s="33">
        <v>25.5358</v>
      </c>
      <c r="AK108" s="33">
        <v>44.4629</v>
      </c>
      <c r="AL108" s="33">
        <v>12.2033</v>
      </c>
      <c r="AM108" s="34">
        <v>0.232788</v>
      </c>
      <c r="AN108" s="33">
        <v>0.162952</v>
      </c>
      <c r="AO108" s="33">
        <v>3.02861</v>
      </c>
      <c r="AP108" s="33">
        <v>37.4831</v>
      </c>
      <c r="AQ108" s="33">
        <v>50.586</v>
      </c>
      <c r="AR108" s="33">
        <v>7.10077</v>
      </c>
      <c r="AS108" s="33">
        <v>1.63858</v>
      </c>
      <c r="AT108" s="33">
        <v>627.039</v>
      </c>
      <c r="AU108" s="34">
        <v>663.608</v>
      </c>
      <c r="AV108" s="34">
        <v>32927.9</v>
      </c>
      <c r="AW108" s="34">
        <v>0.144591</v>
      </c>
      <c r="AX108" s="33">
        <v>0.00329196</v>
      </c>
      <c r="AY108" s="33">
        <v>0.0485565</v>
      </c>
      <c r="AZ108" s="33">
        <v>0.249366</v>
      </c>
      <c r="BA108" s="33">
        <v>2.89034</v>
      </c>
      <c r="BB108" s="33">
        <v>75.228</v>
      </c>
      <c r="BC108" s="33">
        <v>21.5805</v>
      </c>
      <c r="BD108" s="34">
        <v>35.7839</v>
      </c>
      <c r="BE108" s="33">
        <v>0.0</v>
      </c>
      <c r="BF108" s="33">
        <v>18.6811</v>
      </c>
      <c r="BG108" s="33">
        <v>70.4077</v>
      </c>
      <c r="BH108" s="33">
        <v>10.1401</v>
      </c>
      <c r="BI108" s="33">
        <v>0.622181</v>
      </c>
      <c r="BJ108" s="33">
        <v>0.148961</v>
      </c>
      <c r="BK108" s="33">
        <v>34.0457</v>
      </c>
      <c r="BL108" s="33">
        <v>121508.0</v>
      </c>
    </row>
    <row r="109" ht="15.75" customHeight="1">
      <c r="A109" s="33" t="s">
        <v>112</v>
      </c>
      <c r="B109" s="33" t="s">
        <v>66</v>
      </c>
      <c r="C109" s="34">
        <v>53354.6</v>
      </c>
      <c r="D109" s="33">
        <v>461.398</v>
      </c>
      <c r="E109" s="33">
        <v>106066.0</v>
      </c>
      <c r="F109" s="33">
        <v>26.067</v>
      </c>
      <c r="G109" s="33">
        <v>83.5958</v>
      </c>
      <c r="H109" s="33">
        <v>1234.87</v>
      </c>
      <c r="I109" s="33">
        <v>448.691</v>
      </c>
      <c r="J109" s="34">
        <v>3.25388E7</v>
      </c>
      <c r="K109" s="34">
        <v>0.223729</v>
      </c>
      <c r="L109" s="33">
        <v>0.195132</v>
      </c>
      <c r="M109" s="33">
        <v>2.5173</v>
      </c>
      <c r="N109" s="33">
        <v>20.1812</v>
      </c>
      <c r="O109" s="33">
        <v>52.5547</v>
      </c>
      <c r="P109" s="33">
        <v>24.5061</v>
      </c>
      <c r="Q109" s="33">
        <v>0.045628</v>
      </c>
      <c r="R109" s="34">
        <v>86.1056</v>
      </c>
      <c r="S109" s="33">
        <v>1.09216</v>
      </c>
      <c r="T109" s="33">
        <v>4.89481</v>
      </c>
      <c r="U109" s="33">
        <v>17.2182</v>
      </c>
      <c r="V109" s="33">
        <v>54.2915</v>
      </c>
      <c r="W109" s="33">
        <v>18.7987</v>
      </c>
      <c r="X109" s="33">
        <v>3.7046</v>
      </c>
      <c r="Y109" s="34">
        <v>9.19418</v>
      </c>
      <c r="Z109" s="33">
        <v>0.0</v>
      </c>
      <c r="AA109" s="33">
        <v>99.5495</v>
      </c>
      <c r="AB109" s="33">
        <v>0.450455</v>
      </c>
      <c r="AC109" s="33">
        <v>0.0</v>
      </c>
      <c r="AD109" s="33">
        <v>0.0</v>
      </c>
      <c r="AE109" s="33">
        <v>0.0</v>
      </c>
      <c r="AF109" s="34">
        <v>0.446726</v>
      </c>
      <c r="AG109" s="33">
        <v>0.894114</v>
      </c>
      <c r="AH109" s="33">
        <v>4.69386</v>
      </c>
      <c r="AI109" s="33">
        <v>11.9856</v>
      </c>
      <c r="AJ109" s="33">
        <v>28.3932</v>
      </c>
      <c r="AK109" s="33">
        <v>35.6782</v>
      </c>
      <c r="AL109" s="33">
        <v>18.3551</v>
      </c>
      <c r="AM109" s="34">
        <v>0.229648</v>
      </c>
      <c r="AN109" s="33">
        <v>0.155329</v>
      </c>
      <c r="AO109" s="33">
        <v>3.64247</v>
      </c>
      <c r="AP109" s="33">
        <v>38.7906</v>
      </c>
      <c r="AQ109" s="33">
        <v>47.6472</v>
      </c>
      <c r="AR109" s="33">
        <v>8.21595</v>
      </c>
      <c r="AS109" s="33">
        <v>1.54844</v>
      </c>
      <c r="AT109" s="33">
        <v>609.859</v>
      </c>
      <c r="AU109" s="34">
        <v>626.408</v>
      </c>
      <c r="AV109" s="34">
        <v>27648.3</v>
      </c>
      <c r="AW109" s="34">
        <v>0.141955</v>
      </c>
      <c r="AX109" s="33">
        <v>9.70808E-4</v>
      </c>
      <c r="AY109" s="33">
        <v>0.0631025</v>
      </c>
      <c r="AZ109" s="33">
        <v>0.18057</v>
      </c>
      <c r="BA109" s="33">
        <v>3.55316</v>
      </c>
      <c r="BB109" s="33">
        <v>74.0901</v>
      </c>
      <c r="BC109" s="33">
        <v>22.1121</v>
      </c>
      <c r="BD109" s="34">
        <v>35.6956</v>
      </c>
      <c r="BE109" s="33">
        <v>0.0</v>
      </c>
      <c r="BF109" s="33">
        <v>20.717</v>
      </c>
      <c r="BG109" s="33">
        <v>66.3965</v>
      </c>
      <c r="BH109" s="33">
        <v>12.172</v>
      </c>
      <c r="BI109" s="33">
        <v>0.521324</v>
      </c>
      <c r="BJ109" s="33">
        <v>0.193191</v>
      </c>
      <c r="BK109" s="33">
        <v>31.2473</v>
      </c>
      <c r="BL109" s="33">
        <v>103007.0</v>
      </c>
    </row>
    <row r="110" ht="15.75" customHeight="1">
      <c r="A110" s="33" t="s">
        <v>113</v>
      </c>
      <c r="B110" s="33" t="s">
        <v>66</v>
      </c>
      <c r="C110" s="34">
        <v>55308.0</v>
      </c>
      <c r="D110" s="33">
        <v>372.949</v>
      </c>
      <c r="E110" s="33">
        <v>91972.1</v>
      </c>
      <c r="F110" s="33">
        <v>31.6888</v>
      </c>
      <c r="G110" s="33">
        <v>78.9802</v>
      </c>
      <c r="H110" s="33">
        <v>1185.0</v>
      </c>
      <c r="I110" s="33">
        <v>417.116</v>
      </c>
      <c r="J110" s="34">
        <v>3.32978E7</v>
      </c>
      <c r="K110" s="34">
        <v>0.22635</v>
      </c>
      <c r="L110" s="33">
        <v>0.209455</v>
      </c>
      <c r="M110" s="33">
        <v>2.15387</v>
      </c>
      <c r="N110" s="33">
        <v>17.9761</v>
      </c>
      <c r="O110" s="33">
        <v>56.2304</v>
      </c>
      <c r="P110" s="33">
        <v>23.3922</v>
      </c>
      <c r="Q110" s="33">
        <v>0.0379985</v>
      </c>
      <c r="R110" s="34">
        <v>86.6015</v>
      </c>
      <c r="S110" s="33">
        <v>0.857283</v>
      </c>
      <c r="T110" s="33">
        <v>4.41987</v>
      </c>
      <c r="U110" s="33">
        <v>16.0724</v>
      </c>
      <c r="V110" s="33">
        <v>57.9366</v>
      </c>
      <c r="W110" s="33">
        <v>17.5247</v>
      </c>
      <c r="X110" s="33">
        <v>3.18909</v>
      </c>
      <c r="Y110" s="34">
        <v>9.64094</v>
      </c>
      <c r="Z110" s="33">
        <v>0.0</v>
      </c>
      <c r="AA110" s="33">
        <v>99.43</v>
      </c>
      <c r="AB110" s="33">
        <v>0.569051</v>
      </c>
      <c r="AC110" s="33">
        <v>9.26793E-4</v>
      </c>
      <c r="AD110" s="33">
        <v>0.0</v>
      </c>
      <c r="AE110" s="33">
        <v>0.0</v>
      </c>
      <c r="AF110" s="34">
        <v>0.457967</v>
      </c>
      <c r="AG110" s="33">
        <v>0.599635</v>
      </c>
      <c r="AH110" s="33">
        <v>4.27159</v>
      </c>
      <c r="AI110" s="33">
        <v>11.1512</v>
      </c>
      <c r="AJ110" s="33">
        <v>24.8186</v>
      </c>
      <c r="AK110" s="33">
        <v>40.7539</v>
      </c>
      <c r="AL110" s="33">
        <v>18.4052</v>
      </c>
      <c r="AM110" s="34">
        <v>0.231475</v>
      </c>
      <c r="AN110" s="33">
        <v>0.380912</v>
      </c>
      <c r="AO110" s="33">
        <v>2.92403</v>
      </c>
      <c r="AP110" s="33">
        <v>38.5407</v>
      </c>
      <c r="AQ110" s="33">
        <v>49.0385</v>
      </c>
      <c r="AR110" s="33">
        <v>7.15391</v>
      </c>
      <c r="AS110" s="33">
        <v>1.96202</v>
      </c>
      <c r="AT110" s="33">
        <v>602.044</v>
      </c>
      <c r="AU110" s="34">
        <v>615.01</v>
      </c>
      <c r="AV110" s="34">
        <v>29144.8</v>
      </c>
      <c r="AW110" s="34">
        <v>0.138395</v>
      </c>
      <c r="AX110" s="33">
        <v>0.00463396</v>
      </c>
      <c r="AY110" s="33">
        <v>0.171457</v>
      </c>
      <c r="AZ110" s="33">
        <v>0.336426</v>
      </c>
      <c r="BA110" s="33">
        <v>2.79243</v>
      </c>
      <c r="BB110" s="33">
        <v>76.5577</v>
      </c>
      <c r="BC110" s="33">
        <v>20.1374</v>
      </c>
      <c r="BD110" s="34">
        <v>36.1089</v>
      </c>
      <c r="BE110" s="33">
        <v>0.0</v>
      </c>
      <c r="BF110" s="33">
        <v>17.838</v>
      </c>
      <c r="BG110" s="33">
        <v>70.845</v>
      </c>
      <c r="BH110" s="33">
        <v>10.3578</v>
      </c>
      <c r="BI110" s="33">
        <v>0.712704</v>
      </c>
      <c r="BJ110" s="33">
        <v>0.246527</v>
      </c>
      <c r="BK110" s="33">
        <v>31.8382</v>
      </c>
      <c r="BL110" s="33">
        <v>107899.0</v>
      </c>
    </row>
    <row r="111" ht="15.75" customHeight="1">
      <c r="A111" s="33" t="s">
        <v>113</v>
      </c>
      <c r="B111" s="33" t="s">
        <v>66</v>
      </c>
      <c r="C111" s="34">
        <v>66751.3</v>
      </c>
      <c r="D111" s="33">
        <v>427.154</v>
      </c>
      <c r="E111" s="33">
        <v>108029.0</v>
      </c>
      <c r="F111" s="33">
        <v>33.6441</v>
      </c>
      <c r="G111" s="33">
        <v>58.4114</v>
      </c>
      <c r="H111" s="33">
        <v>1313.69</v>
      </c>
      <c r="I111" s="33">
        <v>508.333</v>
      </c>
      <c r="J111" s="34">
        <v>4.28E7</v>
      </c>
      <c r="K111" s="34">
        <v>0.232839</v>
      </c>
      <c r="L111" s="33">
        <v>0.15848</v>
      </c>
      <c r="M111" s="33">
        <v>2.31984</v>
      </c>
      <c r="N111" s="33">
        <v>16.8207</v>
      </c>
      <c r="O111" s="33">
        <v>53.4175</v>
      </c>
      <c r="P111" s="33">
        <v>27.2593</v>
      </c>
      <c r="Q111" s="33">
        <v>0.0241493</v>
      </c>
      <c r="R111" s="34">
        <v>87.5321</v>
      </c>
      <c r="S111" s="33">
        <v>0.870884</v>
      </c>
      <c r="T111" s="33">
        <v>4.11142</v>
      </c>
      <c r="U111" s="33">
        <v>14.4941</v>
      </c>
      <c r="V111" s="33">
        <v>58.7077</v>
      </c>
      <c r="W111" s="33">
        <v>18.2176</v>
      </c>
      <c r="X111" s="33">
        <v>3.59825</v>
      </c>
      <c r="Y111" s="34">
        <v>9.69888</v>
      </c>
      <c r="Z111" s="33">
        <v>0.0</v>
      </c>
      <c r="AA111" s="33">
        <v>99.4204</v>
      </c>
      <c r="AB111" s="33">
        <v>0.565245</v>
      </c>
      <c r="AC111" s="33">
        <v>0.0105653</v>
      </c>
      <c r="AD111" s="33">
        <v>0.00377333</v>
      </c>
      <c r="AE111" s="33">
        <v>0.0</v>
      </c>
      <c r="AF111" s="34">
        <v>0.458478</v>
      </c>
      <c r="AG111" s="33">
        <v>0.953143</v>
      </c>
      <c r="AH111" s="33">
        <v>4.90231</v>
      </c>
      <c r="AI111" s="33">
        <v>10.4189</v>
      </c>
      <c r="AJ111" s="33">
        <v>23.7991</v>
      </c>
      <c r="AK111" s="33">
        <v>40.229</v>
      </c>
      <c r="AL111" s="33">
        <v>19.6975</v>
      </c>
      <c r="AM111" s="34">
        <v>0.229782</v>
      </c>
      <c r="AN111" s="33">
        <v>0.32677</v>
      </c>
      <c r="AO111" s="33">
        <v>3.27902</v>
      </c>
      <c r="AP111" s="33">
        <v>37.531</v>
      </c>
      <c r="AQ111" s="33">
        <v>50.5128</v>
      </c>
      <c r="AR111" s="33">
        <v>6.89538</v>
      </c>
      <c r="AS111" s="33">
        <v>1.455</v>
      </c>
      <c r="AT111" s="33">
        <v>641.187</v>
      </c>
      <c r="AU111" s="34">
        <v>669.61</v>
      </c>
      <c r="AV111" s="34">
        <v>36345.4</v>
      </c>
      <c r="AW111" s="34">
        <v>0.13667</v>
      </c>
      <c r="AX111" s="33">
        <v>0.00754666</v>
      </c>
      <c r="AY111" s="33">
        <v>0.181874</v>
      </c>
      <c r="AZ111" s="33">
        <v>0.351674</v>
      </c>
      <c r="BA111" s="33">
        <v>3.0647</v>
      </c>
      <c r="BB111" s="33">
        <v>77.5359</v>
      </c>
      <c r="BC111" s="33">
        <v>18.8583</v>
      </c>
      <c r="BD111" s="34">
        <v>36.4865</v>
      </c>
      <c r="BE111" s="33">
        <v>0.0</v>
      </c>
      <c r="BF111" s="33">
        <v>17.0871</v>
      </c>
      <c r="BG111" s="33">
        <v>70.6111</v>
      </c>
      <c r="BH111" s="33">
        <v>11.5924</v>
      </c>
      <c r="BI111" s="33">
        <v>0.531285</v>
      </c>
      <c r="BJ111" s="33">
        <v>0.178101</v>
      </c>
      <c r="BK111" s="33">
        <v>33.0346</v>
      </c>
      <c r="BL111" s="33">
        <v>132509.0</v>
      </c>
    </row>
    <row r="112" ht="15.75" customHeight="1">
      <c r="A112" s="33" t="s">
        <v>113</v>
      </c>
      <c r="B112" s="33" t="s">
        <v>66</v>
      </c>
      <c r="C112" s="34">
        <v>55251.0</v>
      </c>
      <c r="D112" s="33">
        <v>416.5</v>
      </c>
      <c r="E112" s="33">
        <v>135228.0</v>
      </c>
      <c r="F112" s="33">
        <v>22.9671</v>
      </c>
      <c r="G112" s="33">
        <v>85.0557</v>
      </c>
      <c r="H112" s="33">
        <v>1392.98</v>
      </c>
      <c r="I112" s="33">
        <v>483.086</v>
      </c>
      <c r="J112" s="34">
        <v>3.50603E7</v>
      </c>
      <c r="K112" s="34">
        <v>0.232669</v>
      </c>
      <c r="L112" s="33">
        <v>0.0835972</v>
      </c>
      <c r="M112" s="33">
        <v>2.11305</v>
      </c>
      <c r="N112" s="33">
        <v>17.2913</v>
      </c>
      <c r="O112" s="33">
        <v>53.9958</v>
      </c>
      <c r="P112" s="33">
        <v>26.5056</v>
      </c>
      <c r="Q112" s="33">
        <v>0.010672</v>
      </c>
      <c r="R112" s="34">
        <v>88.5145</v>
      </c>
      <c r="S112" s="33">
        <v>0.886664</v>
      </c>
      <c r="T112" s="33">
        <v>3.87126</v>
      </c>
      <c r="U112" s="33">
        <v>14.5975</v>
      </c>
      <c r="V112" s="33">
        <v>55.8554</v>
      </c>
      <c r="W112" s="33">
        <v>20.805</v>
      </c>
      <c r="X112" s="33">
        <v>3.98421</v>
      </c>
      <c r="Y112" s="34">
        <v>9.93907</v>
      </c>
      <c r="Z112" s="33">
        <v>0.0</v>
      </c>
      <c r="AA112" s="33">
        <v>99.0342</v>
      </c>
      <c r="AB112" s="33">
        <v>0.717691</v>
      </c>
      <c r="AC112" s="33">
        <v>0.131621</v>
      </c>
      <c r="AD112" s="33">
        <v>0.116502</v>
      </c>
      <c r="AE112" s="33">
        <v>0.0</v>
      </c>
      <c r="AF112" s="34">
        <v>0.467126</v>
      </c>
      <c r="AG112" s="33">
        <v>1.36335</v>
      </c>
      <c r="AH112" s="33">
        <v>4.6014</v>
      </c>
      <c r="AI112" s="33">
        <v>10.4212</v>
      </c>
      <c r="AJ112" s="33">
        <v>20.0295</v>
      </c>
      <c r="AK112" s="33">
        <v>41.1236</v>
      </c>
      <c r="AL112" s="33">
        <v>22.461</v>
      </c>
      <c r="AM112" s="34">
        <v>0.218358</v>
      </c>
      <c r="AN112" s="33">
        <v>0.394863</v>
      </c>
      <c r="AO112" s="33">
        <v>3.8766</v>
      </c>
      <c r="AP112" s="33">
        <v>40.1026</v>
      </c>
      <c r="AQ112" s="33">
        <v>48.3094</v>
      </c>
      <c r="AR112" s="33">
        <v>6.47611</v>
      </c>
      <c r="AS112" s="33">
        <v>0.840418</v>
      </c>
      <c r="AT112" s="33">
        <v>634.564</v>
      </c>
      <c r="AU112" s="34">
        <v>665.11</v>
      </c>
      <c r="AV112" s="34">
        <v>31057.9</v>
      </c>
      <c r="AW112" s="34">
        <v>0.128495</v>
      </c>
      <c r="AX112" s="33">
        <v>0.0951585</v>
      </c>
      <c r="AY112" s="33">
        <v>0.198321</v>
      </c>
      <c r="AZ112" s="33">
        <v>0.521148</v>
      </c>
      <c r="BA112" s="33">
        <v>3.45505</v>
      </c>
      <c r="BB112" s="33">
        <v>77.9135</v>
      </c>
      <c r="BC112" s="33">
        <v>17.8169</v>
      </c>
      <c r="BD112" s="34">
        <v>35.8271</v>
      </c>
      <c r="BE112" s="33">
        <v>0.0</v>
      </c>
      <c r="BF112" s="33">
        <v>17.7039</v>
      </c>
      <c r="BG112" s="33">
        <v>71.1954</v>
      </c>
      <c r="BH112" s="33">
        <v>10.6382</v>
      </c>
      <c r="BI112" s="33">
        <v>0.329053</v>
      </c>
      <c r="BJ112" s="33">
        <v>0.1334</v>
      </c>
      <c r="BK112" s="33">
        <v>34.246</v>
      </c>
      <c r="BL112" s="33">
        <v>112444.0</v>
      </c>
    </row>
    <row r="113" ht="15.75" customHeight="1">
      <c r="A113" s="33" t="s">
        <v>113</v>
      </c>
      <c r="B113" s="33" t="s">
        <v>66</v>
      </c>
      <c r="C113" s="34">
        <v>47951.9</v>
      </c>
      <c r="D113" s="33">
        <v>372.415</v>
      </c>
      <c r="E113" s="33">
        <v>109144.0</v>
      </c>
      <c r="F113" s="33">
        <v>25.3682</v>
      </c>
      <c r="G113" s="33">
        <v>65.1484</v>
      </c>
      <c r="H113" s="33">
        <v>1294.58</v>
      </c>
      <c r="I113" s="33">
        <v>477.709</v>
      </c>
      <c r="J113" s="34">
        <v>2.74004E7</v>
      </c>
      <c r="K113" s="34">
        <v>0.235134</v>
      </c>
      <c r="L113" s="33">
        <v>0.241452</v>
      </c>
      <c r="M113" s="33">
        <v>2.22474</v>
      </c>
      <c r="N113" s="33">
        <v>16.4823</v>
      </c>
      <c r="O113" s="33">
        <v>53.3252</v>
      </c>
      <c r="P113" s="33">
        <v>27.6677</v>
      </c>
      <c r="Q113" s="33">
        <v>0.0586242</v>
      </c>
      <c r="R113" s="34">
        <v>87.7219</v>
      </c>
      <c r="S113" s="33">
        <v>0.937988</v>
      </c>
      <c r="T113" s="33">
        <v>4.05103</v>
      </c>
      <c r="U113" s="33">
        <v>14.2914</v>
      </c>
      <c r="V113" s="33">
        <v>58.4116</v>
      </c>
      <c r="W113" s="33">
        <v>19.0737</v>
      </c>
      <c r="X113" s="33">
        <v>3.23427</v>
      </c>
      <c r="Y113" s="34">
        <v>9.40507</v>
      </c>
      <c r="Z113" s="33">
        <v>0.0</v>
      </c>
      <c r="AA113" s="33">
        <v>99.5727</v>
      </c>
      <c r="AB113" s="33">
        <v>0.427261</v>
      </c>
      <c r="AC113" s="33">
        <v>0.0</v>
      </c>
      <c r="AD113" s="33">
        <v>0.0</v>
      </c>
      <c r="AE113" s="33">
        <v>0.0</v>
      </c>
      <c r="AF113" s="34">
        <v>0.472346</v>
      </c>
      <c r="AG113" s="33">
        <v>0.692561</v>
      </c>
      <c r="AH113" s="33">
        <v>4.23088</v>
      </c>
      <c r="AI113" s="33">
        <v>10.1947</v>
      </c>
      <c r="AJ113" s="33">
        <v>19.5487</v>
      </c>
      <c r="AK113" s="33">
        <v>44.9817</v>
      </c>
      <c r="AL113" s="33">
        <v>20.3515</v>
      </c>
      <c r="AM113" s="34">
        <v>0.232058</v>
      </c>
      <c r="AN113" s="33">
        <v>0.394471</v>
      </c>
      <c r="AO113" s="33">
        <v>2.97493</v>
      </c>
      <c r="AP113" s="33">
        <v>38.2528</v>
      </c>
      <c r="AQ113" s="33">
        <v>49.4848</v>
      </c>
      <c r="AR113" s="33">
        <v>6.82326</v>
      </c>
      <c r="AS113" s="33">
        <v>2.06973</v>
      </c>
      <c r="AT113" s="33">
        <v>571.414</v>
      </c>
      <c r="AU113" s="34">
        <v>614.41</v>
      </c>
      <c r="AV113" s="34">
        <v>27687.8</v>
      </c>
      <c r="AW113" s="34">
        <v>0.133425</v>
      </c>
      <c r="AX113" s="33">
        <v>0.00894268</v>
      </c>
      <c r="AY113" s="33">
        <v>0.194752</v>
      </c>
      <c r="AZ113" s="33">
        <v>0.379567</v>
      </c>
      <c r="BA113" s="33">
        <v>2.78614</v>
      </c>
      <c r="BB113" s="33">
        <v>79.6336</v>
      </c>
      <c r="BC113" s="33">
        <v>16.997</v>
      </c>
      <c r="BD113" s="34">
        <v>36.9364</v>
      </c>
      <c r="BE113" s="33">
        <v>0.0</v>
      </c>
      <c r="BF113" s="33">
        <v>17.006</v>
      </c>
      <c r="BG113" s="33">
        <v>70.0043</v>
      </c>
      <c r="BH113" s="33">
        <v>11.8659</v>
      </c>
      <c r="BI113" s="33">
        <v>0.851542</v>
      </c>
      <c r="BJ113" s="33">
        <v>0.272255</v>
      </c>
      <c r="BK113" s="33">
        <v>35.311</v>
      </c>
      <c r="BL113" s="33">
        <v>100641.0</v>
      </c>
    </row>
    <row r="114" ht="15.75" customHeight="1">
      <c r="A114" s="33" t="s">
        <v>94</v>
      </c>
      <c r="B114" s="33" t="s">
        <v>67</v>
      </c>
      <c r="C114" s="34">
        <v>40736.2</v>
      </c>
      <c r="D114" s="33">
        <v>335.483</v>
      </c>
      <c r="E114" s="33">
        <v>86456.7</v>
      </c>
      <c r="F114" s="33">
        <v>26.1063</v>
      </c>
      <c r="G114" s="33">
        <v>74.941</v>
      </c>
      <c r="H114" s="33">
        <v>1142.81</v>
      </c>
      <c r="I114" s="33">
        <v>402.153</v>
      </c>
      <c r="J114" s="34">
        <v>2.22014E7</v>
      </c>
      <c r="K114" s="34">
        <v>0.205387</v>
      </c>
      <c r="L114" s="33">
        <v>0.283414</v>
      </c>
      <c r="M114" s="33">
        <v>3.54982</v>
      </c>
      <c r="N114" s="33">
        <v>22.5171</v>
      </c>
      <c r="O114" s="33">
        <v>56.3399</v>
      </c>
      <c r="P114" s="33">
        <v>17.2883</v>
      </c>
      <c r="Q114" s="33">
        <v>0.0214347</v>
      </c>
      <c r="R114" s="34">
        <v>87.0763</v>
      </c>
      <c r="S114" s="33">
        <v>1.37182</v>
      </c>
      <c r="T114" s="33">
        <v>5.3813</v>
      </c>
      <c r="U114" s="33">
        <v>15.9546</v>
      </c>
      <c r="V114" s="33">
        <v>51.3039</v>
      </c>
      <c r="W114" s="33">
        <v>20.8833</v>
      </c>
      <c r="X114" s="33">
        <v>5.10503</v>
      </c>
      <c r="Y114" s="34">
        <v>8.74678</v>
      </c>
      <c r="Z114" s="33">
        <v>0.0</v>
      </c>
      <c r="AA114" s="33">
        <v>99.8166</v>
      </c>
      <c r="AB114" s="33">
        <v>0.183386</v>
      </c>
      <c r="AC114" s="33">
        <v>0.0</v>
      </c>
      <c r="AD114" s="33">
        <v>0.0</v>
      </c>
      <c r="AE114" s="33">
        <v>0.0</v>
      </c>
      <c r="AF114" s="34">
        <v>0.456229</v>
      </c>
      <c r="AG114" s="33">
        <v>0.790702</v>
      </c>
      <c r="AH114" s="33">
        <v>5.05263</v>
      </c>
      <c r="AI114" s="33">
        <v>12.2559</v>
      </c>
      <c r="AJ114" s="33">
        <v>23.7115</v>
      </c>
      <c r="AK114" s="33">
        <v>36.7426</v>
      </c>
      <c r="AL114" s="33">
        <v>21.4466</v>
      </c>
      <c r="AM114" s="34">
        <v>0.20347</v>
      </c>
      <c r="AN114" s="33">
        <v>0.74426</v>
      </c>
      <c r="AO114" s="33">
        <v>4.35601</v>
      </c>
      <c r="AP114" s="33">
        <v>47.4945</v>
      </c>
      <c r="AQ114" s="33">
        <v>39.553</v>
      </c>
      <c r="AR114" s="33">
        <v>6.08864</v>
      </c>
      <c r="AS114" s="33">
        <v>1.7636</v>
      </c>
      <c r="AT114" s="33">
        <v>545.004</v>
      </c>
      <c r="AU114" s="34">
        <v>564.6</v>
      </c>
      <c r="AV114" s="34">
        <v>22570.6</v>
      </c>
      <c r="AW114" s="34">
        <v>0.123497</v>
      </c>
      <c r="AX114" s="33">
        <v>0.0178622</v>
      </c>
      <c r="AY114" s="33">
        <v>0.392969</v>
      </c>
      <c r="AZ114" s="33">
        <v>0.626369</v>
      </c>
      <c r="BA114" s="33">
        <v>4.06307</v>
      </c>
      <c r="BB114" s="33">
        <v>77.2399</v>
      </c>
      <c r="BC114" s="33">
        <v>17.6598</v>
      </c>
      <c r="BD114" s="34">
        <v>33.1187</v>
      </c>
      <c r="BE114" s="33">
        <v>0.0</v>
      </c>
      <c r="BF114" s="33">
        <v>25.2882</v>
      </c>
      <c r="BG114" s="33">
        <v>66.5678</v>
      </c>
      <c r="BH114" s="33">
        <v>7.46166</v>
      </c>
      <c r="BI114" s="33">
        <v>0.519196</v>
      </c>
      <c r="BJ114" s="33">
        <v>0.163142</v>
      </c>
      <c r="BK114" s="33">
        <v>33.6811</v>
      </c>
      <c r="BL114" s="33">
        <v>83976.0</v>
      </c>
    </row>
    <row r="115" ht="15.75" customHeight="1">
      <c r="A115" s="33" t="s">
        <v>94</v>
      </c>
      <c r="B115" s="33" t="s">
        <v>67</v>
      </c>
      <c r="C115" s="34">
        <v>45015.1</v>
      </c>
      <c r="D115" s="33">
        <v>388.71</v>
      </c>
      <c r="E115" s="33">
        <v>81365.3</v>
      </c>
      <c r="F115" s="33">
        <v>30.2001</v>
      </c>
      <c r="G115" s="33">
        <v>73.4277</v>
      </c>
      <c r="H115" s="33">
        <v>1084.24</v>
      </c>
      <c r="I115" s="33">
        <v>394.892</v>
      </c>
      <c r="J115" s="34">
        <v>2.71323E7</v>
      </c>
      <c r="K115" s="34">
        <v>0.21397</v>
      </c>
      <c r="L115" s="33">
        <v>0.174253</v>
      </c>
      <c r="M115" s="33">
        <v>2.74062</v>
      </c>
      <c r="N115" s="33">
        <v>20.9765</v>
      </c>
      <c r="O115" s="33">
        <v>56.7269</v>
      </c>
      <c r="P115" s="33">
        <v>19.3663</v>
      </c>
      <c r="Q115" s="33">
        <v>0.0154401</v>
      </c>
      <c r="R115" s="34">
        <v>86.1044</v>
      </c>
      <c r="S115" s="33">
        <v>1.17565</v>
      </c>
      <c r="T115" s="33">
        <v>5.1206</v>
      </c>
      <c r="U115" s="33">
        <v>16.9334</v>
      </c>
      <c r="V115" s="33">
        <v>53.5672</v>
      </c>
      <c r="W115" s="33">
        <v>19.7313</v>
      </c>
      <c r="X115" s="33">
        <v>3.47182</v>
      </c>
      <c r="Y115" s="34">
        <v>8.97073</v>
      </c>
      <c r="Z115" s="33">
        <v>0.0</v>
      </c>
      <c r="AA115" s="33">
        <v>99.7783</v>
      </c>
      <c r="AB115" s="33">
        <v>0.221676</v>
      </c>
      <c r="AC115" s="33">
        <v>0.0</v>
      </c>
      <c r="AD115" s="33">
        <v>0.0</v>
      </c>
      <c r="AE115" s="33">
        <v>0.0</v>
      </c>
      <c r="AF115" s="34">
        <v>0.457728</v>
      </c>
      <c r="AG115" s="33">
        <v>0.811708</v>
      </c>
      <c r="AH115" s="33">
        <v>5.42278</v>
      </c>
      <c r="AI115" s="33">
        <v>11.4852</v>
      </c>
      <c r="AJ115" s="33">
        <v>23.244</v>
      </c>
      <c r="AK115" s="33">
        <v>36.7221</v>
      </c>
      <c r="AL115" s="33">
        <v>22.3143</v>
      </c>
      <c r="AM115" s="34">
        <v>0.215103</v>
      </c>
      <c r="AN115" s="33">
        <v>0.18859</v>
      </c>
      <c r="AO115" s="33">
        <v>3.20272</v>
      </c>
      <c r="AP115" s="33">
        <v>44.7189</v>
      </c>
      <c r="AQ115" s="33">
        <v>44.4024</v>
      </c>
      <c r="AR115" s="33">
        <v>6.25545</v>
      </c>
      <c r="AS115" s="33">
        <v>1.2319</v>
      </c>
      <c r="AT115" s="33">
        <v>602.738</v>
      </c>
      <c r="AU115" s="34">
        <v>622.2</v>
      </c>
      <c r="AV115" s="34">
        <v>24572.4</v>
      </c>
      <c r="AW115" s="34">
        <v>0.133398</v>
      </c>
      <c r="AX115" s="33">
        <v>0.00551432</v>
      </c>
      <c r="AY115" s="33">
        <v>0.113595</v>
      </c>
      <c r="AZ115" s="33">
        <v>0.222779</v>
      </c>
      <c r="BA115" s="33">
        <v>3.04942</v>
      </c>
      <c r="BB115" s="33">
        <v>77.3714</v>
      </c>
      <c r="BC115" s="33">
        <v>19.2373</v>
      </c>
      <c r="BD115" s="34">
        <v>34.0344</v>
      </c>
      <c r="BE115" s="33">
        <v>0.0</v>
      </c>
      <c r="BF115" s="33">
        <v>21.2676</v>
      </c>
      <c r="BG115" s="33">
        <v>70.7995</v>
      </c>
      <c r="BH115" s="33">
        <v>7.4333</v>
      </c>
      <c r="BI115" s="33">
        <v>0.390414</v>
      </c>
      <c r="BJ115" s="33">
        <v>0.109184</v>
      </c>
      <c r="BK115" s="33">
        <v>33.12</v>
      </c>
      <c r="BL115" s="33">
        <v>90673.0</v>
      </c>
    </row>
    <row r="116" ht="15.75" customHeight="1">
      <c r="A116" s="33" t="s">
        <v>94</v>
      </c>
      <c r="B116" s="33" t="s">
        <v>67</v>
      </c>
      <c r="C116" s="34">
        <v>37338.6</v>
      </c>
      <c r="D116" s="33">
        <v>302.027</v>
      </c>
      <c r="E116" s="33">
        <v>97708.3</v>
      </c>
      <c r="F116" s="33">
        <v>20.0804</v>
      </c>
      <c r="G116" s="33">
        <v>70.5112</v>
      </c>
      <c r="H116" s="33">
        <v>1217.49</v>
      </c>
      <c r="I116" s="33">
        <v>449.099</v>
      </c>
      <c r="J116" s="34">
        <v>1.8826E7</v>
      </c>
      <c r="K116" s="34">
        <v>0.207971</v>
      </c>
      <c r="L116" s="33">
        <v>0.180012</v>
      </c>
      <c r="M116" s="33">
        <v>2.91132</v>
      </c>
      <c r="N116" s="33">
        <v>24.4924</v>
      </c>
      <c r="O116" s="33">
        <v>52.7069</v>
      </c>
      <c r="P116" s="33">
        <v>19.7052</v>
      </c>
      <c r="Q116" s="33">
        <v>0.00406042</v>
      </c>
      <c r="R116" s="34">
        <v>86.2227</v>
      </c>
      <c r="S116" s="33">
        <v>1.12744</v>
      </c>
      <c r="T116" s="33">
        <v>5.66564</v>
      </c>
      <c r="U116" s="33">
        <v>17.7562</v>
      </c>
      <c r="V116" s="33">
        <v>50.1949</v>
      </c>
      <c r="W116" s="33">
        <v>20.7812</v>
      </c>
      <c r="X116" s="33">
        <v>4.47458</v>
      </c>
      <c r="Y116" s="34">
        <v>9.45251</v>
      </c>
      <c r="Z116" s="33">
        <v>0.0</v>
      </c>
      <c r="AA116" s="33">
        <v>99.663</v>
      </c>
      <c r="AB116" s="33">
        <v>0.337015</v>
      </c>
      <c r="AC116" s="33">
        <v>0.0</v>
      </c>
      <c r="AD116" s="33">
        <v>0.0</v>
      </c>
      <c r="AE116" s="33">
        <v>0.0</v>
      </c>
      <c r="AF116" s="34">
        <v>0.439056</v>
      </c>
      <c r="AG116" s="33">
        <v>1.09225</v>
      </c>
      <c r="AH116" s="33">
        <v>6.61036</v>
      </c>
      <c r="AI116" s="33">
        <v>13.4806</v>
      </c>
      <c r="AJ116" s="33">
        <v>24.3368</v>
      </c>
      <c r="AK116" s="33">
        <v>34.9629</v>
      </c>
      <c r="AL116" s="33">
        <v>19.5171</v>
      </c>
      <c r="AM116" s="34">
        <v>0.206294</v>
      </c>
      <c r="AN116" s="33">
        <v>0.188133</v>
      </c>
      <c r="AO116" s="33">
        <v>4.36901</v>
      </c>
      <c r="AP116" s="33">
        <v>44.8636</v>
      </c>
      <c r="AQ116" s="33">
        <v>44.1692</v>
      </c>
      <c r="AR116" s="33">
        <v>5.28396</v>
      </c>
      <c r="AS116" s="33">
        <v>1.12609</v>
      </c>
      <c r="AT116" s="33">
        <v>504.196</v>
      </c>
      <c r="AU116" s="34">
        <v>527.4</v>
      </c>
      <c r="AV116" s="34">
        <v>19620.2</v>
      </c>
      <c r="AW116" s="34">
        <v>0.135382</v>
      </c>
      <c r="AX116" s="33">
        <v>0.0</v>
      </c>
      <c r="AY116" s="33">
        <v>0.0757945</v>
      </c>
      <c r="AZ116" s="33">
        <v>0.282876</v>
      </c>
      <c r="BA116" s="33">
        <v>4.19847</v>
      </c>
      <c r="BB116" s="33">
        <v>74.82</v>
      </c>
      <c r="BC116" s="33">
        <v>20.6229</v>
      </c>
      <c r="BD116" s="34">
        <v>33.0166</v>
      </c>
      <c r="BE116" s="33">
        <v>0.0</v>
      </c>
      <c r="BF116" s="33">
        <v>25.7958</v>
      </c>
      <c r="BG116" s="33">
        <v>66.3919</v>
      </c>
      <c r="BH116" s="33">
        <v>7.4617</v>
      </c>
      <c r="BI116" s="33">
        <v>0.262574</v>
      </c>
      <c r="BJ116" s="33">
        <v>0.0879757</v>
      </c>
      <c r="BK116" s="33">
        <v>31.7275</v>
      </c>
      <c r="BL116" s="33">
        <v>73884.0</v>
      </c>
    </row>
    <row r="117" ht="15.75" customHeight="1">
      <c r="A117" s="33" t="s">
        <v>94</v>
      </c>
      <c r="B117" s="33" t="s">
        <v>67</v>
      </c>
      <c r="C117" s="34">
        <v>33131.2</v>
      </c>
      <c r="D117" s="33">
        <v>387.068</v>
      </c>
      <c r="E117" s="33">
        <v>62312.0</v>
      </c>
      <c r="F117" s="33">
        <v>30.2465</v>
      </c>
      <c r="G117" s="33">
        <v>73.8278</v>
      </c>
      <c r="H117" s="33">
        <v>1006.57</v>
      </c>
      <c r="I117" s="33">
        <v>356.174</v>
      </c>
      <c r="J117" s="34">
        <v>1.96554E7</v>
      </c>
      <c r="K117" s="34">
        <v>0.221114</v>
      </c>
      <c r="L117" s="33">
        <v>0.359958</v>
      </c>
      <c r="M117" s="33">
        <v>2.21381</v>
      </c>
      <c r="N117" s="33">
        <v>17.793</v>
      </c>
      <c r="O117" s="33">
        <v>59.3959</v>
      </c>
      <c r="P117" s="33">
        <v>20.1776</v>
      </c>
      <c r="Q117" s="33">
        <v>0.0597559</v>
      </c>
      <c r="R117" s="34">
        <v>85.5936</v>
      </c>
      <c r="S117" s="33">
        <v>1.17093</v>
      </c>
      <c r="T117" s="33">
        <v>4.95831</v>
      </c>
      <c r="U117" s="33">
        <v>16.5026</v>
      </c>
      <c r="V117" s="33">
        <v>56.9715</v>
      </c>
      <c r="W117" s="33">
        <v>17.877</v>
      </c>
      <c r="X117" s="33">
        <v>2.51971</v>
      </c>
      <c r="Y117" s="34">
        <v>9.1667</v>
      </c>
      <c r="Z117" s="33">
        <v>0.0</v>
      </c>
      <c r="AA117" s="33">
        <v>99.8236</v>
      </c>
      <c r="AB117" s="33">
        <v>0.176422</v>
      </c>
      <c r="AC117" s="33">
        <v>0.0</v>
      </c>
      <c r="AD117" s="33">
        <v>0.0</v>
      </c>
      <c r="AE117" s="33">
        <v>0.0</v>
      </c>
      <c r="AF117" s="34">
        <v>0.456985</v>
      </c>
      <c r="AG117" s="33">
        <v>0.913411</v>
      </c>
      <c r="AH117" s="33">
        <v>4.46604</v>
      </c>
      <c r="AI117" s="33">
        <v>11.7819</v>
      </c>
      <c r="AJ117" s="33">
        <v>21.7213</v>
      </c>
      <c r="AK117" s="33">
        <v>43.6303</v>
      </c>
      <c r="AL117" s="33">
        <v>17.4871</v>
      </c>
      <c r="AM117" s="34">
        <v>0.233484</v>
      </c>
      <c r="AN117" s="33">
        <v>0.140853</v>
      </c>
      <c r="AO117" s="33">
        <v>2.24369</v>
      </c>
      <c r="AP117" s="33">
        <v>41.075</v>
      </c>
      <c r="AQ117" s="33">
        <v>47.0777</v>
      </c>
      <c r="AR117" s="33">
        <v>7.19489</v>
      </c>
      <c r="AS117" s="33">
        <v>2.26788</v>
      </c>
      <c r="AT117" s="33">
        <v>593.26</v>
      </c>
      <c r="AU117" s="34">
        <v>614.4</v>
      </c>
      <c r="AV117" s="34">
        <v>18847.2</v>
      </c>
      <c r="AW117" s="34">
        <v>0.144032</v>
      </c>
      <c r="AX117" s="33">
        <v>0.00995931</v>
      </c>
      <c r="AY117" s="33">
        <v>0.0369917</v>
      </c>
      <c r="AZ117" s="33">
        <v>0.130894</v>
      </c>
      <c r="BA117" s="33">
        <v>2.2067</v>
      </c>
      <c r="BB117" s="33">
        <v>77.3781</v>
      </c>
      <c r="BC117" s="33">
        <v>20.2373</v>
      </c>
      <c r="BD117" s="34">
        <v>35.8685</v>
      </c>
      <c r="BE117" s="33">
        <v>0.0</v>
      </c>
      <c r="BF117" s="33">
        <v>17.1442</v>
      </c>
      <c r="BG117" s="33">
        <v>72.8836</v>
      </c>
      <c r="BH117" s="33">
        <v>8.86521</v>
      </c>
      <c r="BI117" s="33">
        <v>0.670119</v>
      </c>
      <c r="BJ117" s="33">
        <v>0.436787</v>
      </c>
      <c r="BK117" s="33">
        <v>34.7011</v>
      </c>
      <c r="BL117" s="33">
        <v>70286.0</v>
      </c>
    </row>
    <row r="118" ht="15.75" customHeight="1">
      <c r="A118" s="33" t="s">
        <v>111</v>
      </c>
      <c r="B118" s="33" t="s">
        <v>67</v>
      </c>
      <c r="C118" s="34">
        <v>41186.6</v>
      </c>
      <c r="D118" s="33">
        <v>318.616</v>
      </c>
      <c r="E118" s="33">
        <v>81636.2</v>
      </c>
      <c r="F118" s="33">
        <v>27.4699</v>
      </c>
      <c r="G118" s="33">
        <v>65.3914</v>
      </c>
      <c r="H118" s="33">
        <v>1086.7</v>
      </c>
      <c r="I118" s="33">
        <v>411.726</v>
      </c>
      <c r="J118" s="34">
        <v>2.15081E7</v>
      </c>
      <c r="K118" s="34">
        <v>0.200978</v>
      </c>
      <c r="L118" s="33">
        <v>0.207345</v>
      </c>
      <c r="M118" s="33">
        <v>3.11603</v>
      </c>
      <c r="N118" s="33">
        <v>25.6862</v>
      </c>
      <c r="O118" s="33">
        <v>54.561</v>
      </c>
      <c r="P118" s="33">
        <v>16.3955</v>
      </c>
      <c r="Q118" s="33">
        <v>0.0339718</v>
      </c>
      <c r="R118" s="34">
        <v>81.6025</v>
      </c>
      <c r="S118" s="33">
        <v>1.11287</v>
      </c>
      <c r="T118" s="33">
        <v>6.98413</v>
      </c>
      <c r="U118" s="33">
        <v>23.3702</v>
      </c>
      <c r="V118" s="33">
        <v>53.7797</v>
      </c>
      <c r="W118" s="33">
        <v>10.3169</v>
      </c>
      <c r="X118" s="33">
        <v>4.43624</v>
      </c>
      <c r="Y118" s="34">
        <v>10.8495</v>
      </c>
      <c r="Z118" s="33">
        <v>0.0</v>
      </c>
      <c r="AA118" s="33">
        <v>99.2948</v>
      </c>
      <c r="AB118" s="33">
        <v>0.667721</v>
      </c>
      <c r="AC118" s="33">
        <v>0.0175716</v>
      </c>
      <c r="AD118" s="33">
        <v>0.0199145</v>
      </c>
      <c r="AE118" s="33">
        <v>0.0</v>
      </c>
      <c r="AF118" s="34">
        <v>0.385281</v>
      </c>
      <c r="AG118" s="33">
        <v>1.14098</v>
      </c>
      <c r="AH118" s="33">
        <v>7.69519</v>
      </c>
      <c r="AI118" s="33">
        <v>20.0527</v>
      </c>
      <c r="AJ118" s="33">
        <v>29.9643</v>
      </c>
      <c r="AK118" s="33">
        <v>36.7036</v>
      </c>
      <c r="AL118" s="33">
        <v>4.44327</v>
      </c>
      <c r="AM118" s="34">
        <v>0.249232</v>
      </c>
      <c r="AN118" s="33">
        <v>0.69115</v>
      </c>
      <c r="AO118" s="33">
        <v>3.68067</v>
      </c>
      <c r="AP118" s="33">
        <v>32.9034</v>
      </c>
      <c r="AQ118" s="33">
        <v>49.1138</v>
      </c>
      <c r="AR118" s="33">
        <v>10.8991</v>
      </c>
      <c r="AS118" s="33">
        <v>2.71188</v>
      </c>
      <c r="AT118" s="33">
        <v>522.211</v>
      </c>
      <c r="AU118" s="34">
        <v>538.825</v>
      </c>
      <c r="AV118" s="34">
        <v>22425.4</v>
      </c>
      <c r="AW118" s="34">
        <v>0.170323</v>
      </c>
      <c r="AX118" s="33">
        <v>0.0140573</v>
      </c>
      <c r="AY118" s="33">
        <v>0.345575</v>
      </c>
      <c r="AZ118" s="33">
        <v>0.769636</v>
      </c>
      <c r="BA118" s="33">
        <v>3.24255</v>
      </c>
      <c r="BB118" s="33">
        <v>63.5963</v>
      </c>
      <c r="BC118" s="33">
        <v>32.0319</v>
      </c>
      <c r="BD118" s="34">
        <v>35.3944</v>
      </c>
      <c r="BE118" s="33">
        <v>0.0</v>
      </c>
      <c r="BF118" s="33">
        <v>22.8009</v>
      </c>
      <c r="BG118" s="33">
        <v>63.8458</v>
      </c>
      <c r="BH118" s="33">
        <v>12.1912</v>
      </c>
      <c r="BI118" s="33">
        <v>0.918409</v>
      </c>
      <c r="BJ118" s="33">
        <v>0.24366</v>
      </c>
      <c r="BK118" s="33">
        <v>33.0226</v>
      </c>
      <c r="BL118" s="33">
        <v>85365.0</v>
      </c>
    </row>
    <row r="119" ht="15.75" customHeight="1">
      <c r="A119" s="33" t="s">
        <v>111</v>
      </c>
      <c r="B119" s="33" t="s">
        <v>67</v>
      </c>
      <c r="C119" s="34">
        <v>41715.6</v>
      </c>
      <c r="D119" s="33">
        <v>359.978</v>
      </c>
      <c r="E119" s="33">
        <v>86442.1</v>
      </c>
      <c r="F119" s="33">
        <v>25.7944</v>
      </c>
      <c r="G119" s="33">
        <v>81.1454</v>
      </c>
      <c r="H119" s="33">
        <v>1171.04</v>
      </c>
      <c r="I119" s="33">
        <v>419.698</v>
      </c>
      <c r="J119" s="34">
        <v>2.19183E7</v>
      </c>
      <c r="K119" s="34">
        <v>0.208283</v>
      </c>
      <c r="L119" s="33">
        <v>0.208766</v>
      </c>
      <c r="M119" s="33">
        <v>2.79985</v>
      </c>
      <c r="N119" s="33">
        <v>22.9523</v>
      </c>
      <c r="O119" s="33">
        <v>56.1031</v>
      </c>
      <c r="P119" s="33">
        <v>17.9205</v>
      </c>
      <c r="Q119" s="33">
        <v>0.0155083</v>
      </c>
      <c r="R119" s="34">
        <v>84.0834</v>
      </c>
      <c r="S119" s="33">
        <v>1.17386</v>
      </c>
      <c r="T119" s="33">
        <v>5.7178</v>
      </c>
      <c r="U119" s="33">
        <v>19.1182</v>
      </c>
      <c r="V119" s="33">
        <v>55.6414</v>
      </c>
      <c r="W119" s="33">
        <v>14.7818</v>
      </c>
      <c r="X119" s="33">
        <v>3.56691</v>
      </c>
      <c r="Y119" s="34">
        <v>10.2297</v>
      </c>
      <c r="Z119" s="33">
        <v>0.0</v>
      </c>
      <c r="AA119" s="33">
        <v>99.289</v>
      </c>
      <c r="AB119" s="33">
        <v>0.709804</v>
      </c>
      <c r="AC119" s="33">
        <v>0.00119295</v>
      </c>
      <c r="AD119" s="33">
        <v>0.0</v>
      </c>
      <c r="AE119" s="33">
        <v>0.0</v>
      </c>
      <c r="AF119" s="34">
        <v>0.420205</v>
      </c>
      <c r="AG119" s="33">
        <v>0.796889</v>
      </c>
      <c r="AH119" s="33">
        <v>6.27013</v>
      </c>
      <c r="AI119" s="33">
        <v>14.8975</v>
      </c>
      <c r="AJ119" s="33">
        <v>28.6379</v>
      </c>
      <c r="AK119" s="33">
        <v>39.242</v>
      </c>
      <c r="AL119" s="33">
        <v>10.1556</v>
      </c>
      <c r="AM119" s="34">
        <v>0.228281</v>
      </c>
      <c r="AN119" s="33">
        <v>0.1861</v>
      </c>
      <c r="AO119" s="33">
        <v>3.30446</v>
      </c>
      <c r="AP119" s="33">
        <v>38.9617</v>
      </c>
      <c r="AQ119" s="33">
        <v>48.7617</v>
      </c>
      <c r="AR119" s="33">
        <v>7.28175</v>
      </c>
      <c r="AS119" s="33">
        <v>1.50431</v>
      </c>
      <c r="AT119" s="33">
        <v>525.423</v>
      </c>
      <c r="AU119" s="34">
        <v>543.025</v>
      </c>
      <c r="AV119" s="34">
        <v>22297.2</v>
      </c>
      <c r="AW119" s="34">
        <v>0.14968</v>
      </c>
      <c r="AX119" s="33">
        <v>0.00477179</v>
      </c>
      <c r="AY119" s="33">
        <v>0.0787345</v>
      </c>
      <c r="AZ119" s="33">
        <v>0.261255</v>
      </c>
      <c r="BA119" s="33">
        <v>3.1458</v>
      </c>
      <c r="BB119" s="33">
        <v>72.1232</v>
      </c>
      <c r="BC119" s="33">
        <v>24.3862</v>
      </c>
      <c r="BD119" s="34">
        <v>34.3323</v>
      </c>
      <c r="BE119" s="33">
        <v>0.0</v>
      </c>
      <c r="BF119" s="33">
        <v>22.2198</v>
      </c>
      <c r="BG119" s="33">
        <v>68.3034</v>
      </c>
      <c r="BH119" s="33">
        <v>8.82304</v>
      </c>
      <c r="BI119" s="33">
        <v>0.491494</v>
      </c>
      <c r="BJ119" s="33">
        <v>0.162241</v>
      </c>
      <c r="BK119" s="33">
        <v>32.3428</v>
      </c>
      <c r="BL119" s="33">
        <v>83826.0</v>
      </c>
    </row>
    <row r="120" ht="15.75" customHeight="1">
      <c r="A120" s="33" t="s">
        <v>111</v>
      </c>
      <c r="B120" s="33" t="s">
        <v>67</v>
      </c>
      <c r="C120" s="34">
        <v>42895.3</v>
      </c>
      <c r="D120" s="33">
        <v>361.335</v>
      </c>
      <c r="E120" s="33">
        <v>92841.5</v>
      </c>
      <c r="F120" s="33">
        <v>25.1926</v>
      </c>
      <c r="G120" s="33">
        <v>67.1785</v>
      </c>
      <c r="H120" s="33">
        <v>1231.07</v>
      </c>
      <c r="I120" s="33">
        <v>438.672</v>
      </c>
      <c r="J120" s="34">
        <v>2.39141E7</v>
      </c>
      <c r="K120" s="34">
        <v>0.205713</v>
      </c>
      <c r="L120" s="33">
        <v>0.108139</v>
      </c>
      <c r="M120" s="33">
        <v>2.75128</v>
      </c>
      <c r="N120" s="33">
        <v>24.0455</v>
      </c>
      <c r="O120" s="33">
        <v>56.1992</v>
      </c>
      <c r="P120" s="33">
        <v>16.8924</v>
      </c>
      <c r="Q120" s="33">
        <v>0.00341491</v>
      </c>
      <c r="R120" s="34">
        <v>84.9758</v>
      </c>
      <c r="S120" s="33">
        <v>1.01878</v>
      </c>
      <c r="T120" s="33">
        <v>5.51964</v>
      </c>
      <c r="U120" s="33">
        <v>18.7126</v>
      </c>
      <c r="V120" s="33">
        <v>53.827</v>
      </c>
      <c r="W120" s="33">
        <v>17.0188</v>
      </c>
      <c r="X120" s="33">
        <v>3.90324</v>
      </c>
      <c r="Y120" s="34">
        <v>9.96293</v>
      </c>
      <c r="Z120" s="33">
        <v>0.0</v>
      </c>
      <c r="AA120" s="33">
        <v>99.3603</v>
      </c>
      <c r="AB120" s="33">
        <v>0.639727</v>
      </c>
      <c r="AC120" s="33">
        <v>0.0</v>
      </c>
      <c r="AD120" s="33">
        <v>0.0</v>
      </c>
      <c r="AE120" s="33">
        <v>0.0</v>
      </c>
      <c r="AF120" s="34">
        <v>0.430171</v>
      </c>
      <c r="AG120" s="33">
        <v>0.772908</v>
      </c>
      <c r="AH120" s="33">
        <v>6.55322</v>
      </c>
      <c r="AI120" s="33">
        <v>14.0194</v>
      </c>
      <c r="AJ120" s="33">
        <v>26.0968</v>
      </c>
      <c r="AK120" s="33">
        <v>38.7877</v>
      </c>
      <c r="AL120" s="33">
        <v>13.7701</v>
      </c>
      <c r="AM120" s="34">
        <v>0.214416</v>
      </c>
      <c r="AN120" s="33">
        <v>0.125213</v>
      </c>
      <c r="AO120" s="33">
        <v>3.61753</v>
      </c>
      <c r="AP120" s="33">
        <v>44.0729</v>
      </c>
      <c r="AQ120" s="33">
        <v>44.724</v>
      </c>
      <c r="AR120" s="33">
        <v>6.48264</v>
      </c>
      <c r="AS120" s="33">
        <v>0.977803</v>
      </c>
      <c r="AT120" s="33">
        <v>557.499</v>
      </c>
      <c r="AU120" s="34">
        <v>565.825</v>
      </c>
      <c r="AV120" s="34">
        <v>23389.2</v>
      </c>
      <c r="AW120" s="34">
        <v>0.141383</v>
      </c>
      <c r="AX120" s="33">
        <v>0.0</v>
      </c>
      <c r="AY120" s="33">
        <v>0.0443939</v>
      </c>
      <c r="AZ120" s="33">
        <v>0.228799</v>
      </c>
      <c r="BA120" s="33">
        <v>3.46955</v>
      </c>
      <c r="BB120" s="33">
        <v>74.3939</v>
      </c>
      <c r="BC120" s="33">
        <v>21.8634</v>
      </c>
      <c r="BD120" s="34">
        <v>33.0793</v>
      </c>
      <c r="BE120" s="33">
        <v>0.0</v>
      </c>
      <c r="BF120" s="33">
        <v>24.8936</v>
      </c>
      <c r="BG120" s="33">
        <v>66.7649</v>
      </c>
      <c r="BH120" s="33">
        <v>8.04212</v>
      </c>
      <c r="BI120" s="33">
        <v>0.258395</v>
      </c>
      <c r="BJ120" s="33">
        <v>0.0409789</v>
      </c>
      <c r="BK120" s="33">
        <v>33.0774</v>
      </c>
      <c r="BL120" s="33">
        <v>87850.0</v>
      </c>
    </row>
    <row r="121" ht="15.75" customHeight="1">
      <c r="A121" s="33" t="s">
        <v>111</v>
      </c>
      <c r="B121" s="33" t="s">
        <v>67</v>
      </c>
      <c r="C121" s="34">
        <v>32728.3</v>
      </c>
      <c r="D121" s="33">
        <v>371.157</v>
      </c>
      <c r="E121" s="33">
        <v>68522.5</v>
      </c>
      <c r="F121" s="33">
        <v>24.3375</v>
      </c>
      <c r="G121" s="33">
        <v>61.7202</v>
      </c>
      <c r="H121" s="33">
        <v>1085.65</v>
      </c>
      <c r="I121" s="33">
        <v>428.276</v>
      </c>
      <c r="J121" s="34">
        <v>1.7165E7</v>
      </c>
      <c r="K121" s="34">
        <v>0.199731</v>
      </c>
      <c r="L121" s="33">
        <v>0.165961</v>
      </c>
      <c r="M121" s="33">
        <v>3.16432</v>
      </c>
      <c r="N121" s="33">
        <v>26.0052</v>
      </c>
      <c r="O121" s="33">
        <v>54.7149</v>
      </c>
      <c r="P121" s="33">
        <v>15.948</v>
      </c>
      <c r="Q121" s="33">
        <v>0.00158058</v>
      </c>
      <c r="R121" s="34">
        <v>80.5206</v>
      </c>
      <c r="S121" s="33">
        <v>1.16805</v>
      </c>
      <c r="T121" s="33">
        <v>7.42397</v>
      </c>
      <c r="U121" s="33">
        <v>23.971</v>
      </c>
      <c r="V121" s="33">
        <v>54.4541</v>
      </c>
      <c r="W121" s="33">
        <v>9.08358</v>
      </c>
      <c r="X121" s="33">
        <v>3.89929</v>
      </c>
      <c r="Y121" s="34">
        <v>11.18</v>
      </c>
      <c r="Z121" s="33">
        <v>0.0</v>
      </c>
      <c r="AA121" s="33">
        <v>99.2872</v>
      </c>
      <c r="AB121" s="33">
        <v>0.697035</v>
      </c>
      <c r="AC121" s="33">
        <v>0.011064</v>
      </c>
      <c r="AD121" s="33">
        <v>0.00474173</v>
      </c>
      <c r="AE121" s="33">
        <v>0.0</v>
      </c>
      <c r="AF121" s="34">
        <v>0.384337</v>
      </c>
      <c r="AG121" s="33">
        <v>1.04476</v>
      </c>
      <c r="AH121" s="33">
        <v>8.47032</v>
      </c>
      <c r="AI121" s="33">
        <v>20.2093</v>
      </c>
      <c r="AJ121" s="33">
        <v>30.238</v>
      </c>
      <c r="AK121" s="33">
        <v>33.9556</v>
      </c>
      <c r="AL121" s="33">
        <v>6.08206</v>
      </c>
      <c r="AM121" s="34">
        <v>0.251005</v>
      </c>
      <c r="AN121" s="33">
        <v>0.32718</v>
      </c>
      <c r="AO121" s="33">
        <v>3.26705</v>
      </c>
      <c r="AP121" s="33">
        <v>31.0078</v>
      </c>
      <c r="AQ121" s="33">
        <v>52.9415</v>
      </c>
      <c r="AR121" s="33">
        <v>10.4824</v>
      </c>
      <c r="AS121" s="33">
        <v>1.97414</v>
      </c>
      <c r="AT121" s="33">
        <v>524.469</v>
      </c>
      <c r="AU121" s="34">
        <v>535.225</v>
      </c>
      <c r="AV121" s="34">
        <v>16676.6</v>
      </c>
      <c r="AW121" s="34">
        <v>0.17543</v>
      </c>
      <c r="AX121" s="33">
        <v>0.00158058</v>
      </c>
      <c r="AY121" s="33">
        <v>0.197572</v>
      </c>
      <c r="AZ121" s="33">
        <v>0.452045</v>
      </c>
      <c r="BA121" s="33">
        <v>2.94304</v>
      </c>
      <c r="BB121" s="33">
        <v>63.2279</v>
      </c>
      <c r="BC121" s="33">
        <v>33.1779</v>
      </c>
      <c r="BD121" s="34">
        <v>35.1036</v>
      </c>
      <c r="BE121" s="33">
        <v>0.0</v>
      </c>
      <c r="BF121" s="33">
        <v>21.6729</v>
      </c>
      <c r="BG121" s="33">
        <v>66.4269</v>
      </c>
      <c r="BH121" s="33">
        <v>11.2664</v>
      </c>
      <c r="BI121" s="33">
        <v>0.580072</v>
      </c>
      <c r="BJ121" s="33">
        <v>0.0537396</v>
      </c>
      <c r="BK121" s="33">
        <v>30.655</v>
      </c>
      <c r="BL121" s="33">
        <v>63268.0</v>
      </c>
    </row>
    <row r="122" ht="15.75" customHeight="1">
      <c r="A122" s="33" t="s">
        <v>112</v>
      </c>
      <c r="B122" s="33" t="s">
        <v>67</v>
      </c>
      <c r="C122" s="34">
        <v>42310.9</v>
      </c>
      <c r="D122" s="33">
        <v>329.268</v>
      </c>
      <c r="E122" s="33">
        <v>79915.5</v>
      </c>
      <c r="F122" s="33">
        <v>30.8243</v>
      </c>
      <c r="G122" s="33">
        <v>71.5177</v>
      </c>
      <c r="H122" s="33">
        <v>1157.79</v>
      </c>
      <c r="I122" s="33">
        <v>399.78</v>
      </c>
      <c r="J122" s="34">
        <v>2.35202E7</v>
      </c>
      <c r="K122" s="34">
        <v>0.216355</v>
      </c>
      <c r="L122" s="33">
        <v>0.240403</v>
      </c>
      <c r="M122" s="33">
        <v>2.7242</v>
      </c>
      <c r="N122" s="33">
        <v>19.6854</v>
      </c>
      <c r="O122" s="33">
        <v>57.2437</v>
      </c>
      <c r="P122" s="33">
        <v>20.0853</v>
      </c>
      <c r="Q122" s="33">
        <v>0.0210491</v>
      </c>
      <c r="R122" s="34">
        <v>85.7188</v>
      </c>
      <c r="S122" s="33">
        <v>1.09455</v>
      </c>
      <c r="T122" s="33">
        <v>5.47388</v>
      </c>
      <c r="U122" s="33">
        <v>17.0099</v>
      </c>
      <c r="V122" s="33">
        <v>55.6162</v>
      </c>
      <c r="W122" s="33">
        <v>17.3943</v>
      </c>
      <c r="X122" s="33">
        <v>3.41107</v>
      </c>
      <c r="Y122" s="34">
        <v>9.65419</v>
      </c>
      <c r="Z122" s="33">
        <v>0.0</v>
      </c>
      <c r="AA122" s="33">
        <v>99.7751</v>
      </c>
      <c r="AB122" s="33">
        <v>0.222678</v>
      </c>
      <c r="AC122" s="33">
        <v>0.0022157</v>
      </c>
      <c r="AD122" s="33">
        <v>0.0</v>
      </c>
      <c r="AE122" s="33">
        <v>0.0</v>
      </c>
      <c r="AF122" s="34">
        <v>0.454867</v>
      </c>
      <c r="AG122" s="33">
        <v>0.77771</v>
      </c>
      <c r="AH122" s="33">
        <v>4.63303</v>
      </c>
      <c r="AI122" s="33">
        <v>12.2883</v>
      </c>
      <c r="AJ122" s="33">
        <v>22.578</v>
      </c>
      <c r="AK122" s="33">
        <v>42.352</v>
      </c>
      <c r="AL122" s="33">
        <v>17.3711</v>
      </c>
      <c r="AM122" s="34">
        <v>0.228005</v>
      </c>
      <c r="AN122" s="33">
        <v>0.551709</v>
      </c>
      <c r="AO122" s="33">
        <v>2.87265</v>
      </c>
      <c r="AP122" s="33">
        <v>41.1898</v>
      </c>
      <c r="AQ122" s="33">
        <v>45.6722</v>
      </c>
      <c r="AR122" s="33">
        <v>7.4946</v>
      </c>
      <c r="AS122" s="33">
        <v>2.21902</v>
      </c>
      <c r="AT122" s="33">
        <v>555.89</v>
      </c>
      <c r="AU122" s="34">
        <v>569.139</v>
      </c>
      <c r="AV122" s="34">
        <v>24633.4</v>
      </c>
      <c r="AW122" s="34">
        <v>0.139804</v>
      </c>
      <c r="AX122" s="33">
        <v>0.00332355</v>
      </c>
      <c r="AY122" s="33">
        <v>0.26256</v>
      </c>
      <c r="AZ122" s="33">
        <v>0.543954</v>
      </c>
      <c r="BA122" s="33">
        <v>2.61452</v>
      </c>
      <c r="BB122" s="33">
        <v>75.4767</v>
      </c>
      <c r="BC122" s="33">
        <v>21.099</v>
      </c>
      <c r="BD122" s="34">
        <v>35.3197</v>
      </c>
      <c r="BE122" s="33">
        <v>0.0</v>
      </c>
      <c r="BF122" s="33">
        <v>19.0196</v>
      </c>
      <c r="BG122" s="33">
        <v>70.9743</v>
      </c>
      <c r="BH122" s="33">
        <v>9.10984</v>
      </c>
      <c r="BI122" s="33">
        <v>0.734504</v>
      </c>
      <c r="BJ122" s="33">
        <v>0.161746</v>
      </c>
      <c r="BK122" s="33">
        <v>35.6452</v>
      </c>
      <c r="BL122" s="33">
        <v>90265.0</v>
      </c>
    </row>
    <row r="123" ht="15.75" customHeight="1">
      <c r="A123" s="33" t="s">
        <v>112</v>
      </c>
      <c r="B123" s="33" t="s">
        <v>67</v>
      </c>
      <c r="C123" s="34">
        <v>50607.0</v>
      </c>
      <c r="D123" s="33">
        <v>318.756</v>
      </c>
      <c r="E123" s="33">
        <v>98003.1</v>
      </c>
      <c r="F123" s="33">
        <v>29.0957</v>
      </c>
      <c r="G123" s="33">
        <v>76.644</v>
      </c>
      <c r="H123" s="33">
        <v>1276.81</v>
      </c>
      <c r="I123" s="33">
        <v>449.957</v>
      </c>
      <c r="J123" s="34">
        <v>2.97113E7</v>
      </c>
      <c r="K123" s="34">
        <v>0.22582</v>
      </c>
      <c r="L123" s="33">
        <v>0.215776</v>
      </c>
      <c r="M123" s="33">
        <v>2.31676</v>
      </c>
      <c r="N123" s="33">
        <v>18.464</v>
      </c>
      <c r="O123" s="33">
        <v>54.9737</v>
      </c>
      <c r="P123" s="33">
        <v>23.9919</v>
      </c>
      <c r="Q123" s="33">
        <v>0.0378555</v>
      </c>
      <c r="R123" s="34">
        <v>87.7467</v>
      </c>
      <c r="S123" s="33">
        <v>0.834713</v>
      </c>
      <c r="T123" s="33">
        <v>4.3619</v>
      </c>
      <c r="U123" s="33">
        <v>15.2113</v>
      </c>
      <c r="V123" s="33">
        <v>55.4043</v>
      </c>
      <c r="W123" s="33">
        <v>20.3663</v>
      </c>
      <c r="X123" s="33">
        <v>3.82151</v>
      </c>
      <c r="Y123" s="34">
        <v>8.96364</v>
      </c>
      <c r="Z123" s="33">
        <v>0.0</v>
      </c>
      <c r="AA123" s="33">
        <v>99.4975</v>
      </c>
      <c r="AB123" s="33">
        <v>0.502532</v>
      </c>
      <c r="AC123" s="33">
        <v>0.0</v>
      </c>
      <c r="AD123" s="33">
        <v>0.0</v>
      </c>
      <c r="AE123" s="33">
        <v>0.0</v>
      </c>
      <c r="AF123" s="34">
        <v>0.47701</v>
      </c>
      <c r="AG123" s="33">
        <v>0.731557</v>
      </c>
      <c r="AH123" s="33">
        <v>4.39597</v>
      </c>
      <c r="AI123" s="33">
        <v>9.72034</v>
      </c>
      <c r="AJ123" s="33">
        <v>20.3435</v>
      </c>
      <c r="AK123" s="33">
        <v>39.5296</v>
      </c>
      <c r="AL123" s="33">
        <v>25.2789</v>
      </c>
      <c r="AM123" s="34">
        <v>0.220681</v>
      </c>
      <c r="AN123" s="33">
        <v>0.318932</v>
      </c>
      <c r="AO123" s="33">
        <v>3.56504</v>
      </c>
      <c r="AP123" s="33">
        <v>42.4956</v>
      </c>
      <c r="AQ123" s="33">
        <v>45.2789</v>
      </c>
      <c r="AR123" s="33">
        <v>6.47897</v>
      </c>
      <c r="AS123" s="33">
        <v>1.86249</v>
      </c>
      <c r="AT123" s="33">
        <v>587.098</v>
      </c>
      <c r="AU123" s="34">
        <v>601.539</v>
      </c>
      <c r="AV123" s="34">
        <v>28514.7</v>
      </c>
      <c r="AW123" s="34">
        <v>0.127085</v>
      </c>
      <c r="AX123" s="33">
        <v>9.46387E-4</v>
      </c>
      <c r="AY123" s="33">
        <v>0.152368</v>
      </c>
      <c r="AZ123" s="33">
        <v>0.315147</v>
      </c>
      <c r="BA123" s="33">
        <v>3.41551</v>
      </c>
      <c r="BB123" s="33">
        <v>80.0076</v>
      </c>
      <c r="BC123" s="33">
        <v>16.1085</v>
      </c>
      <c r="BD123" s="34">
        <v>35.4674</v>
      </c>
      <c r="BE123" s="33">
        <v>0.0</v>
      </c>
      <c r="BF123" s="33">
        <v>19.4407</v>
      </c>
      <c r="BG123" s="33">
        <v>70.114</v>
      </c>
      <c r="BH123" s="33">
        <v>9.50741</v>
      </c>
      <c r="BI123" s="33">
        <v>0.628401</v>
      </c>
      <c r="BJ123" s="33">
        <v>0.309469</v>
      </c>
      <c r="BK123" s="33">
        <v>34.3372</v>
      </c>
      <c r="BL123" s="33">
        <v>105665.0</v>
      </c>
    </row>
    <row r="124" ht="15.75" customHeight="1">
      <c r="A124" s="33" t="s">
        <v>112</v>
      </c>
      <c r="B124" s="33" t="s">
        <v>67</v>
      </c>
      <c r="C124" s="34">
        <v>37258.7</v>
      </c>
      <c r="D124" s="33">
        <v>354.888</v>
      </c>
      <c r="E124" s="33">
        <v>69451.0</v>
      </c>
      <c r="F124" s="33">
        <v>29.1583</v>
      </c>
      <c r="G124" s="33">
        <v>65.792</v>
      </c>
      <c r="H124" s="33">
        <v>1023.21</v>
      </c>
      <c r="I124" s="33">
        <v>366.974</v>
      </c>
      <c r="J124" s="34">
        <v>1.99909E7</v>
      </c>
      <c r="K124" s="34">
        <v>0.212784</v>
      </c>
      <c r="L124" s="33">
        <v>0.335148</v>
      </c>
      <c r="M124" s="33">
        <v>2.29407</v>
      </c>
      <c r="N124" s="33">
        <v>20.7934</v>
      </c>
      <c r="O124" s="33">
        <v>58.2014</v>
      </c>
      <c r="P124" s="33">
        <v>18.3279</v>
      </c>
      <c r="Q124" s="33">
        <v>0.0480638</v>
      </c>
      <c r="R124" s="34">
        <v>84.1887</v>
      </c>
      <c r="S124" s="33">
        <v>1.11066</v>
      </c>
      <c r="T124" s="33">
        <v>5.54812</v>
      </c>
      <c r="U124" s="33">
        <v>18.7813</v>
      </c>
      <c r="V124" s="33">
        <v>56.5191</v>
      </c>
      <c r="W124" s="33">
        <v>15.0271</v>
      </c>
      <c r="X124" s="33">
        <v>3.01373</v>
      </c>
      <c r="Y124" s="34">
        <v>9.93587</v>
      </c>
      <c r="Z124" s="33">
        <v>0.0</v>
      </c>
      <c r="AA124" s="33">
        <v>99.431</v>
      </c>
      <c r="AB124" s="33">
        <v>0.568972</v>
      </c>
      <c r="AC124" s="33">
        <v>0.0</v>
      </c>
      <c r="AD124" s="33">
        <v>0.0</v>
      </c>
      <c r="AE124" s="33">
        <v>0.0</v>
      </c>
      <c r="AF124" s="34">
        <v>0.435971</v>
      </c>
      <c r="AG124" s="33">
        <v>0.732648</v>
      </c>
      <c r="AH124" s="33">
        <v>5.42991</v>
      </c>
      <c r="AI124" s="33">
        <v>12.9486</v>
      </c>
      <c r="AJ124" s="33">
        <v>26.5156</v>
      </c>
      <c r="AK124" s="33">
        <v>42.265</v>
      </c>
      <c r="AL124" s="33">
        <v>12.1082</v>
      </c>
      <c r="AM124" s="34">
        <v>0.237077</v>
      </c>
      <c r="AN124" s="33">
        <v>0.15978</v>
      </c>
      <c r="AO124" s="33">
        <v>2.7916</v>
      </c>
      <c r="AP124" s="33">
        <v>38.3017</v>
      </c>
      <c r="AQ124" s="33">
        <v>48.6354</v>
      </c>
      <c r="AR124" s="33">
        <v>7.87597</v>
      </c>
      <c r="AS124" s="33">
        <v>2.23562</v>
      </c>
      <c r="AT124" s="33">
        <v>536.544</v>
      </c>
      <c r="AU124" s="34">
        <v>554.139</v>
      </c>
      <c r="AV124" s="34">
        <v>20250.8</v>
      </c>
      <c r="AW124" s="34">
        <v>0.15125</v>
      </c>
      <c r="AX124" s="33">
        <v>0.00519609</v>
      </c>
      <c r="AY124" s="33">
        <v>0.0532599</v>
      </c>
      <c r="AZ124" s="33">
        <v>0.206544</v>
      </c>
      <c r="BA124" s="33">
        <v>2.68638</v>
      </c>
      <c r="BB124" s="33">
        <v>73.548</v>
      </c>
      <c r="BC124" s="33">
        <v>23.5006</v>
      </c>
      <c r="BD124" s="34">
        <v>35.3607</v>
      </c>
      <c r="BE124" s="33">
        <v>0.0</v>
      </c>
      <c r="BF124" s="33">
        <v>19.8088</v>
      </c>
      <c r="BG124" s="33">
        <v>69.8159</v>
      </c>
      <c r="BH124" s="33">
        <v>9.24124</v>
      </c>
      <c r="BI124" s="33">
        <v>0.737844</v>
      </c>
      <c r="BJ124" s="33">
        <v>0.396202</v>
      </c>
      <c r="BK124" s="33">
        <v>32.9537</v>
      </c>
      <c r="BL124" s="33">
        <v>76981.0</v>
      </c>
    </row>
    <row r="125" ht="15.75" customHeight="1">
      <c r="A125" s="33" t="s">
        <v>112</v>
      </c>
      <c r="B125" s="33" t="s">
        <v>67</v>
      </c>
      <c r="C125" s="34">
        <v>39224.0</v>
      </c>
      <c r="D125" s="33">
        <v>367.576</v>
      </c>
      <c r="E125" s="33">
        <v>74232.0</v>
      </c>
      <c r="F125" s="33">
        <v>28.9216</v>
      </c>
      <c r="G125" s="33">
        <v>72.0844</v>
      </c>
      <c r="H125" s="33">
        <v>1072.31</v>
      </c>
      <c r="I125" s="33">
        <v>400.571</v>
      </c>
      <c r="J125" s="34">
        <v>2.24879E7</v>
      </c>
      <c r="K125" s="34">
        <v>0.21966</v>
      </c>
      <c r="L125" s="33">
        <v>0.290396</v>
      </c>
      <c r="M125" s="33">
        <v>2.55548</v>
      </c>
      <c r="N125" s="33">
        <v>18.6385</v>
      </c>
      <c r="O125" s="33">
        <v>57.355</v>
      </c>
      <c r="P125" s="33">
        <v>21.1334</v>
      </c>
      <c r="Q125" s="33">
        <v>0.027186</v>
      </c>
      <c r="R125" s="34">
        <v>83.6923</v>
      </c>
      <c r="S125" s="33">
        <v>1.20731</v>
      </c>
      <c r="T125" s="33">
        <v>6.15639</v>
      </c>
      <c r="U125" s="33">
        <v>18.6669</v>
      </c>
      <c r="V125" s="33">
        <v>56.9992</v>
      </c>
      <c r="W125" s="33">
        <v>14.1824</v>
      </c>
      <c r="X125" s="33">
        <v>2.7878</v>
      </c>
      <c r="Y125" s="34">
        <v>9.71238</v>
      </c>
      <c r="Z125" s="33">
        <v>0.0</v>
      </c>
      <c r="AA125" s="33">
        <v>99.6033</v>
      </c>
      <c r="AB125" s="33">
        <v>0.396668</v>
      </c>
      <c r="AC125" s="33">
        <v>0.0</v>
      </c>
      <c r="AD125" s="33">
        <v>0.0</v>
      </c>
      <c r="AE125" s="33">
        <v>0.0</v>
      </c>
      <c r="AF125" s="34">
        <v>0.428758</v>
      </c>
      <c r="AG125" s="33">
        <v>0.970046</v>
      </c>
      <c r="AH125" s="33">
        <v>6.11932</v>
      </c>
      <c r="AI125" s="33">
        <v>14.3999</v>
      </c>
      <c r="AJ125" s="33">
        <v>25.4992</v>
      </c>
      <c r="AK125" s="33">
        <v>40.7098</v>
      </c>
      <c r="AL125" s="33">
        <v>12.3017</v>
      </c>
      <c r="AM125" s="34">
        <v>0.253343</v>
      </c>
      <c r="AN125" s="33">
        <v>0.248381</v>
      </c>
      <c r="AO125" s="33">
        <v>2.42697</v>
      </c>
      <c r="AP125" s="33">
        <v>34.3977</v>
      </c>
      <c r="AQ125" s="33">
        <v>49.3685</v>
      </c>
      <c r="AR125" s="33">
        <v>10.7088</v>
      </c>
      <c r="AS125" s="33">
        <v>2.84959</v>
      </c>
      <c r="AT125" s="33">
        <v>573.32</v>
      </c>
      <c r="AU125" s="34">
        <v>588.157</v>
      </c>
      <c r="AV125" s="34">
        <v>21469.1</v>
      </c>
      <c r="AW125" s="34">
        <v>0.165183</v>
      </c>
      <c r="AX125" s="33">
        <v>0.00617864</v>
      </c>
      <c r="AY125" s="33">
        <v>0.139637</v>
      </c>
      <c r="AZ125" s="33">
        <v>0.243438</v>
      </c>
      <c r="BA125" s="33">
        <v>2.2861</v>
      </c>
      <c r="BB125" s="33">
        <v>70.6774</v>
      </c>
      <c r="BC125" s="33">
        <v>26.6472</v>
      </c>
      <c r="BD125" s="34">
        <v>37.1542</v>
      </c>
      <c r="BE125" s="33">
        <v>0.0</v>
      </c>
      <c r="BF125" s="33">
        <v>16.3215</v>
      </c>
      <c r="BG125" s="33">
        <v>70.2585</v>
      </c>
      <c r="BH125" s="33">
        <v>12.2807</v>
      </c>
      <c r="BI125" s="33">
        <v>0.884781</v>
      </c>
      <c r="BJ125" s="33">
        <v>0.25456</v>
      </c>
      <c r="BK125" s="33">
        <v>33.2174</v>
      </c>
      <c r="BL125" s="33">
        <v>80924.0</v>
      </c>
    </row>
    <row r="126" ht="15.75" customHeight="1">
      <c r="A126" s="33" t="s">
        <v>113</v>
      </c>
      <c r="B126" s="33" t="s">
        <v>67</v>
      </c>
      <c r="C126" s="34">
        <v>38067.1</v>
      </c>
      <c r="D126" s="33">
        <v>394.89</v>
      </c>
      <c r="E126" s="33">
        <v>72101.5</v>
      </c>
      <c r="F126" s="33">
        <v>28.0193</v>
      </c>
      <c r="G126" s="33">
        <v>82.6311</v>
      </c>
      <c r="H126" s="33">
        <v>1094.81</v>
      </c>
      <c r="I126" s="33">
        <v>394.837</v>
      </c>
      <c r="J126" s="34">
        <v>2.3048E7</v>
      </c>
      <c r="K126" s="34">
        <v>0.21508</v>
      </c>
      <c r="L126" s="33">
        <v>0.297388</v>
      </c>
      <c r="M126" s="33">
        <v>2.72821</v>
      </c>
      <c r="N126" s="33">
        <v>21.2762</v>
      </c>
      <c r="O126" s="33">
        <v>54.4815</v>
      </c>
      <c r="P126" s="33">
        <v>21.1818</v>
      </c>
      <c r="Q126" s="33">
        <v>0.0349108</v>
      </c>
      <c r="R126" s="34">
        <v>84.8171</v>
      </c>
      <c r="S126" s="33">
        <v>1.18567</v>
      </c>
      <c r="T126" s="33">
        <v>5.65943</v>
      </c>
      <c r="U126" s="33">
        <v>17.9493</v>
      </c>
      <c r="V126" s="33">
        <v>55.4719</v>
      </c>
      <c r="W126" s="33">
        <v>16.1624</v>
      </c>
      <c r="X126" s="33">
        <v>3.57124</v>
      </c>
      <c r="Y126" s="34">
        <v>9.03507</v>
      </c>
      <c r="Z126" s="33">
        <v>0.0</v>
      </c>
      <c r="AA126" s="33">
        <v>99.519</v>
      </c>
      <c r="AB126" s="33">
        <v>0.480993</v>
      </c>
      <c r="AC126" s="33">
        <v>0.0</v>
      </c>
      <c r="AD126" s="33">
        <v>0.0</v>
      </c>
      <c r="AE126" s="33">
        <v>0.0</v>
      </c>
      <c r="AF126" s="34">
        <v>0.441734</v>
      </c>
      <c r="AG126" s="33">
        <v>1.01112</v>
      </c>
      <c r="AH126" s="33">
        <v>5.59995</v>
      </c>
      <c r="AI126" s="33">
        <v>12.9584</v>
      </c>
      <c r="AJ126" s="33">
        <v>24.7828</v>
      </c>
      <c r="AK126" s="33">
        <v>39.0794</v>
      </c>
      <c r="AL126" s="33">
        <v>16.5684</v>
      </c>
      <c r="AM126" s="34">
        <v>0.230693</v>
      </c>
      <c r="AN126" s="33">
        <v>0.398242</v>
      </c>
      <c r="AO126" s="33">
        <v>3.09801</v>
      </c>
      <c r="AP126" s="33">
        <v>38.1122</v>
      </c>
      <c r="AQ126" s="33">
        <v>49.3832</v>
      </c>
      <c r="AR126" s="33">
        <v>7.27696</v>
      </c>
      <c r="AS126" s="33">
        <v>1.73132</v>
      </c>
      <c r="AT126" s="33">
        <v>605.458</v>
      </c>
      <c r="AU126" s="34">
        <v>647.733</v>
      </c>
      <c r="AV126" s="34">
        <v>20202.3</v>
      </c>
      <c r="AW126" s="34">
        <v>0.144777</v>
      </c>
      <c r="AX126" s="33">
        <v>0.00387898</v>
      </c>
      <c r="AY126" s="33">
        <v>0.205586</v>
      </c>
      <c r="AZ126" s="33">
        <v>0.400828</v>
      </c>
      <c r="BA126" s="33">
        <v>2.88596</v>
      </c>
      <c r="BB126" s="33">
        <v>74.7155</v>
      </c>
      <c r="BC126" s="33">
        <v>21.7882</v>
      </c>
      <c r="BD126" s="34">
        <v>35.2744</v>
      </c>
      <c r="BE126" s="33">
        <v>0.0</v>
      </c>
      <c r="BF126" s="33">
        <v>20.1746</v>
      </c>
      <c r="BG126" s="33">
        <v>69.1246</v>
      </c>
      <c r="BH126" s="33">
        <v>9.94569</v>
      </c>
      <c r="BI126" s="33">
        <v>0.559866</v>
      </c>
      <c r="BJ126" s="33">
        <v>0.195242</v>
      </c>
      <c r="BK126" s="33">
        <v>32.0818</v>
      </c>
      <c r="BL126" s="33">
        <v>77340.0</v>
      </c>
    </row>
    <row r="127" ht="15.75" customHeight="1">
      <c r="A127" s="33" t="s">
        <v>113</v>
      </c>
      <c r="B127" s="33" t="s">
        <v>67</v>
      </c>
      <c r="C127" s="34">
        <v>48595.4</v>
      </c>
      <c r="D127" s="33">
        <v>419.808</v>
      </c>
      <c r="E127" s="33">
        <v>96364.8</v>
      </c>
      <c r="F127" s="33">
        <v>26.5833</v>
      </c>
      <c r="G127" s="33">
        <v>65.8069</v>
      </c>
      <c r="H127" s="33">
        <v>1192.32</v>
      </c>
      <c r="I127" s="33">
        <v>435.01</v>
      </c>
      <c r="J127" s="34">
        <v>3.16867E7</v>
      </c>
      <c r="K127" s="34">
        <v>0.213501</v>
      </c>
      <c r="L127" s="33">
        <v>0.205634</v>
      </c>
      <c r="M127" s="33">
        <v>2.6659</v>
      </c>
      <c r="N127" s="33">
        <v>20.3504</v>
      </c>
      <c r="O127" s="33">
        <v>58.1955</v>
      </c>
      <c r="P127" s="33">
        <v>18.5669</v>
      </c>
      <c r="Q127" s="33">
        <v>0.0157373</v>
      </c>
      <c r="R127" s="34">
        <v>85.4725</v>
      </c>
      <c r="S127" s="33">
        <v>0.962073</v>
      </c>
      <c r="T127" s="33">
        <v>4.77469</v>
      </c>
      <c r="U127" s="33">
        <v>17.4516</v>
      </c>
      <c r="V127" s="33">
        <v>57.7863</v>
      </c>
      <c r="W127" s="33">
        <v>15.3428</v>
      </c>
      <c r="X127" s="33">
        <v>3.68253</v>
      </c>
      <c r="Y127" s="34">
        <v>9.56301</v>
      </c>
      <c r="Z127" s="33">
        <v>0.0</v>
      </c>
      <c r="AA127" s="33">
        <v>99.6412</v>
      </c>
      <c r="AB127" s="33">
        <v>0.35881</v>
      </c>
      <c r="AC127" s="33">
        <v>0.0</v>
      </c>
      <c r="AD127" s="33">
        <v>0.0</v>
      </c>
      <c r="AE127" s="33">
        <v>0.0</v>
      </c>
      <c r="AF127" s="34">
        <v>0.437166</v>
      </c>
      <c r="AG127" s="33">
        <v>0.983056</v>
      </c>
      <c r="AH127" s="33">
        <v>5.65493</v>
      </c>
      <c r="AI127" s="33">
        <v>13.5089</v>
      </c>
      <c r="AJ127" s="33">
        <v>24.8072</v>
      </c>
      <c r="AK127" s="33">
        <v>40.9442</v>
      </c>
      <c r="AL127" s="33">
        <v>14.1017</v>
      </c>
      <c r="AM127" s="34">
        <v>0.222805</v>
      </c>
      <c r="AN127" s="33">
        <v>0.342024</v>
      </c>
      <c r="AO127" s="33">
        <v>3.24398</v>
      </c>
      <c r="AP127" s="33">
        <v>39.5761</v>
      </c>
      <c r="AQ127" s="33">
        <v>49.9323</v>
      </c>
      <c r="AR127" s="33">
        <v>5.64234</v>
      </c>
      <c r="AS127" s="33">
        <v>1.26318</v>
      </c>
      <c r="AT127" s="33">
        <v>652.052</v>
      </c>
      <c r="AU127" s="34">
        <v>684.633</v>
      </c>
      <c r="AV127" s="34">
        <v>25616.9</v>
      </c>
      <c r="AW127" s="34">
        <v>0.142103</v>
      </c>
      <c r="AX127" s="33">
        <v>0.00524576</v>
      </c>
      <c r="AY127" s="33">
        <v>0.137439</v>
      </c>
      <c r="AZ127" s="33">
        <v>0.434349</v>
      </c>
      <c r="BA127" s="33">
        <v>3.00897</v>
      </c>
      <c r="BB127" s="33">
        <v>75.2526</v>
      </c>
      <c r="BC127" s="33">
        <v>21.1614</v>
      </c>
      <c r="BD127" s="34">
        <v>34.4365</v>
      </c>
      <c r="BE127" s="33">
        <v>0.0</v>
      </c>
      <c r="BF127" s="33">
        <v>20.3022</v>
      </c>
      <c r="BG127" s="33">
        <v>71.9373</v>
      </c>
      <c r="BH127" s="33">
        <v>7.10591</v>
      </c>
      <c r="BI127" s="33">
        <v>0.440644</v>
      </c>
      <c r="BJ127" s="33">
        <v>0.214027</v>
      </c>
      <c r="BK127" s="33">
        <v>31.8479</v>
      </c>
      <c r="BL127" s="33">
        <v>95315.0</v>
      </c>
    </row>
    <row r="128" ht="15.75" customHeight="1">
      <c r="A128" s="33" t="s">
        <v>113</v>
      </c>
      <c r="B128" s="33" t="s">
        <v>67</v>
      </c>
      <c r="C128" s="34">
        <v>44179.8</v>
      </c>
      <c r="D128" s="33">
        <v>385.524</v>
      </c>
      <c r="E128" s="33">
        <v>69318.2</v>
      </c>
      <c r="F128" s="33">
        <v>36.8767</v>
      </c>
      <c r="G128" s="33">
        <v>63.3344</v>
      </c>
      <c r="H128" s="33">
        <v>1069.86</v>
      </c>
      <c r="I128" s="33">
        <v>388.445</v>
      </c>
      <c r="J128" s="34">
        <v>2.6191E7</v>
      </c>
      <c r="K128" s="34">
        <v>0.221598</v>
      </c>
      <c r="L128" s="33">
        <v>0.296531</v>
      </c>
      <c r="M128" s="33">
        <v>2.10964</v>
      </c>
      <c r="N128" s="33">
        <v>18.3401</v>
      </c>
      <c r="O128" s="33">
        <v>57.9549</v>
      </c>
      <c r="P128" s="33">
        <v>21.2583</v>
      </c>
      <c r="Q128" s="33">
        <v>0.0404858</v>
      </c>
      <c r="R128" s="34">
        <v>85.7945</v>
      </c>
      <c r="S128" s="33">
        <v>1.01871</v>
      </c>
      <c r="T128" s="33">
        <v>4.7642</v>
      </c>
      <c r="U128" s="33">
        <v>16.8334</v>
      </c>
      <c r="V128" s="33">
        <v>57.3881</v>
      </c>
      <c r="W128" s="33">
        <v>17.1999</v>
      </c>
      <c r="X128" s="33">
        <v>2.79571</v>
      </c>
      <c r="Y128" s="34">
        <v>9.31334</v>
      </c>
      <c r="Z128" s="33">
        <v>0.0</v>
      </c>
      <c r="AA128" s="33">
        <v>99.7702</v>
      </c>
      <c r="AB128" s="33">
        <v>0.227596</v>
      </c>
      <c r="AC128" s="33">
        <v>0.00218842</v>
      </c>
      <c r="AD128" s="33">
        <v>0.0</v>
      </c>
      <c r="AE128" s="33">
        <v>0.0</v>
      </c>
      <c r="AF128" s="34">
        <v>0.457923</v>
      </c>
      <c r="AG128" s="33">
        <v>0.772513</v>
      </c>
      <c r="AH128" s="33">
        <v>3.97308</v>
      </c>
      <c r="AI128" s="33">
        <v>11.5571</v>
      </c>
      <c r="AJ128" s="33">
        <v>24.1657</v>
      </c>
      <c r="AK128" s="33">
        <v>41.5877</v>
      </c>
      <c r="AL128" s="33">
        <v>17.944</v>
      </c>
      <c r="AM128" s="34">
        <v>0.232198</v>
      </c>
      <c r="AN128" s="33">
        <v>0.155378</v>
      </c>
      <c r="AO128" s="33">
        <v>2.54951</v>
      </c>
      <c r="AP128" s="33">
        <v>39.5875</v>
      </c>
      <c r="AQ128" s="33">
        <v>49.0666</v>
      </c>
      <c r="AR128" s="33">
        <v>6.73159</v>
      </c>
      <c r="AS128" s="33">
        <v>1.9094</v>
      </c>
      <c r="AT128" s="33">
        <v>592.827</v>
      </c>
      <c r="AU128" s="34">
        <v>607.833</v>
      </c>
      <c r="AV128" s="34">
        <v>25562.3</v>
      </c>
      <c r="AW128" s="34">
        <v>0.140785</v>
      </c>
      <c r="AX128" s="33">
        <v>0.00547106</v>
      </c>
      <c r="AY128" s="33">
        <v>0.0558048</v>
      </c>
      <c r="AZ128" s="33">
        <v>0.21556</v>
      </c>
      <c r="BA128" s="33">
        <v>2.42806</v>
      </c>
      <c r="BB128" s="33">
        <v>76.6911</v>
      </c>
      <c r="BC128" s="33">
        <v>20.604</v>
      </c>
      <c r="BD128" s="34">
        <v>35.7327</v>
      </c>
      <c r="BE128" s="33">
        <v>0.0</v>
      </c>
      <c r="BF128" s="33">
        <v>17.4417</v>
      </c>
      <c r="BG128" s="33">
        <v>72.8679</v>
      </c>
      <c r="BH128" s="33">
        <v>8.67819</v>
      </c>
      <c r="BI128" s="33">
        <v>0.719991</v>
      </c>
      <c r="BJ128" s="33">
        <v>0.292154</v>
      </c>
      <c r="BK128" s="33">
        <v>35.3926</v>
      </c>
      <c r="BL128" s="33">
        <v>91390.0</v>
      </c>
    </row>
    <row r="129" ht="15.75" customHeight="1">
      <c r="A129" s="33" t="s">
        <v>113</v>
      </c>
      <c r="B129" s="33" t="s">
        <v>67</v>
      </c>
      <c r="C129" s="34">
        <v>44532.8</v>
      </c>
      <c r="D129" s="33">
        <v>418.787</v>
      </c>
      <c r="E129" s="33">
        <v>93824.2</v>
      </c>
      <c r="F129" s="33">
        <v>26.3566</v>
      </c>
      <c r="G129" s="33">
        <v>74.1874</v>
      </c>
      <c r="H129" s="33">
        <v>1185.95</v>
      </c>
      <c r="I129" s="33">
        <v>454.85</v>
      </c>
      <c r="J129" s="34">
        <v>2.71127E7</v>
      </c>
      <c r="K129" s="34">
        <v>0.222703</v>
      </c>
      <c r="L129" s="33">
        <v>0.219301</v>
      </c>
      <c r="M129" s="33">
        <v>2.42099</v>
      </c>
      <c r="N129" s="33">
        <v>19.4874</v>
      </c>
      <c r="O129" s="33">
        <v>54.4463</v>
      </c>
      <c r="P129" s="33">
        <v>23.3946</v>
      </c>
      <c r="Q129" s="33">
        <v>0.0314838</v>
      </c>
      <c r="R129" s="34">
        <v>85.1021</v>
      </c>
      <c r="S129" s="33">
        <v>1.04005</v>
      </c>
      <c r="T129" s="33">
        <v>4.98855</v>
      </c>
      <c r="U129" s="33">
        <v>18.2855</v>
      </c>
      <c r="V129" s="33">
        <v>56.5926</v>
      </c>
      <c r="W129" s="33">
        <v>15.6453</v>
      </c>
      <c r="X129" s="33">
        <v>3.44801</v>
      </c>
      <c r="Y129" s="34">
        <v>9.8015</v>
      </c>
      <c r="Z129" s="33">
        <v>0.0</v>
      </c>
      <c r="AA129" s="33">
        <v>99.3758</v>
      </c>
      <c r="AB129" s="33">
        <v>0.586249</v>
      </c>
      <c r="AC129" s="33">
        <v>0.033655</v>
      </c>
      <c r="AD129" s="33">
        <v>0.00434259</v>
      </c>
      <c r="AE129" s="33">
        <v>0.0</v>
      </c>
      <c r="AF129" s="34">
        <v>0.443001</v>
      </c>
      <c r="AG129" s="33">
        <v>0.975996</v>
      </c>
      <c r="AH129" s="33">
        <v>5.15899</v>
      </c>
      <c r="AI129" s="33">
        <v>13.3274</v>
      </c>
      <c r="AJ129" s="33">
        <v>24.4965</v>
      </c>
      <c r="AK129" s="33">
        <v>39.9909</v>
      </c>
      <c r="AL129" s="33">
        <v>16.0502</v>
      </c>
      <c r="AM129" s="34">
        <v>0.241355</v>
      </c>
      <c r="AN129" s="33">
        <v>0.264898</v>
      </c>
      <c r="AO129" s="33">
        <v>3.08975</v>
      </c>
      <c r="AP129" s="33">
        <v>35.4029</v>
      </c>
      <c r="AQ129" s="33">
        <v>50.5597</v>
      </c>
      <c r="AR129" s="33">
        <v>8.4181</v>
      </c>
      <c r="AS129" s="33">
        <v>2.26466</v>
      </c>
      <c r="AT129" s="33">
        <v>608.825</v>
      </c>
      <c r="AU129" s="34">
        <v>640.833</v>
      </c>
      <c r="AV129" s="34">
        <v>24728.9</v>
      </c>
      <c r="AW129" s="34">
        <v>0.149005</v>
      </c>
      <c r="AX129" s="33">
        <v>0.00759953</v>
      </c>
      <c r="AY129" s="33">
        <v>0.132449</v>
      </c>
      <c r="AZ129" s="33">
        <v>0.286611</v>
      </c>
      <c r="BA129" s="33">
        <v>2.92799</v>
      </c>
      <c r="BB129" s="33">
        <v>73.7578</v>
      </c>
      <c r="BC129" s="33">
        <v>22.8876</v>
      </c>
      <c r="BD129" s="34">
        <v>36.4221</v>
      </c>
      <c r="BE129" s="33">
        <v>0.0</v>
      </c>
      <c r="BF129" s="33">
        <v>18.3029</v>
      </c>
      <c r="BG129" s="33">
        <v>68.8734</v>
      </c>
      <c r="BH129" s="33">
        <v>11.7348</v>
      </c>
      <c r="BI129" s="33">
        <v>0.844633</v>
      </c>
      <c r="BJ129" s="33">
        <v>0.244271</v>
      </c>
      <c r="BK129" s="33">
        <v>33.768</v>
      </c>
      <c r="BL129" s="33">
        <v>92111.0</v>
      </c>
    </row>
    <row r="130" ht="15.75" customHeight="1">
      <c r="A130" s="35"/>
      <c r="B130" s="35"/>
      <c r="C130" s="36"/>
      <c r="D130" s="35"/>
      <c r="E130" s="35"/>
      <c r="F130" s="35"/>
      <c r="G130" s="35"/>
      <c r="H130" s="35"/>
      <c r="I130" s="35"/>
      <c r="J130" s="36"/>
      <c r="K130" s="36"/>
      <c r="L130" s="35"/>
      <c r="M130" s="35"/>
      <c r="N130" s="35"/>
      <c r="O130" s="35"/>
      <c r="P130" s="35"/>
      <c r="Q130" s="35"/>
      <c r="R130" s="36"/>
      <c r="S130" s="35"/>
      <c r="T130" s="35"/>
      <c r="U130" s="35"/>
      <c r="V130" s="35"/>
      <c r="W130" s="35"/>
      <c r="X130" s="35"/>
      <c r="Y130" s="36"/>
      <c r="Z130" s="35"/>
      <c r="AA130" s="35"/>
      <c r="AB130" s="35"/>
      <c r="AC130" s="35"/>
      <c r="AD130" s="35"/>
      <c r="AE130" s="35"/>
      <c r="AF130" s="36"/>
      <c r="AG130" s="35"/>
      <c r="AH130" s="35"/>
      <c r="AI130" s="35"/>
      <c r="AJ130" s="35"/>
      <c r="AK130" s="35"/>
      <c r="AL130" s="35"/>
      <c r="AM130" s="36"/>
      <c r="AN130" s="35"/>
      <c r="AO130" s="35"/>
      <c r="AP130" s="35"/>
      <c r="AQ130" s="35"/>
      <c r="AR130" s="35"/>
      <c r="AS130" s="35"/>
      <c r="AT130" s="35"/>
      <c r="AU130" s="36"/>
      <c r="AV130" s="36"/>
      <c r="AW130" s="36"/>
      <c r="AX130" s="35"/>
      <c r="AY130" s="35"/>
      <c r="AZ130" s="35"/>
      <c r="BA130" s="35"/>
      <c r="BB130" s="35"/>
      <c r="BC130" s="35"/>
      <c r="BD130" s="36"/>
      <c r="BE130" s="35"/>
      <c r="BF130" s="35"/>
      <c r="BG130" s="35"/>
      <c r="BH130" s="35"/>
      <c r="BI130" s="35"/>
      <c r="BJ130" s="35"/>
      <c r="BK130" s="35"/>
      <c r="BL130" s="35"/>
    </row>
    <row r="131" ht="15.75" customHeight="1">
      <c r="A131" s="35"/>
      <c r="B131" s="35"/>
      <c r="C131" s="36"/>
      <c r="D131" s="35"/>
      <c r="E131" s="35"/>
      <c r="F131" s="35"/>
      <c r="G131" s="35"/>
      <c r="H131" s="35"/>
      <c r="I131" s="35"/>
      <c r="J131" s="36"/>
      <c r="K131" s="36"/>
      <c r="L131" s="35"/>
      <c r="M131" s="35"/>
      <c r="N131" s="35"/>
      <c r="O131" s="35"/>
      <c r="P131" s="35"/>
      <c r="Q131" s="35"/>
      <c r="R131" s="36"/>
      <c r="S131" s="35"/>
      <c r="T131" s="35"/>
      <c r="U131" s="35"/>
      <c r="V131" s="35"/>
      <c r="W131" s="35"/>
      <c r="X131" s="35"/>
      <c r="Y131" s="36"/>
      <c r="Z131" s="35"/>
      <c r="AA131" s="35"/>
      <c r="AB131" s="35"/>
      <c r="AC131" s="35"/>
      <c r="AD131" s="35"/>
      <c r="AE131" s="35"/>
      <c r="AF131" s="36"/>
      <c r="AG131" s="35"/>
      <c r="AH131" s="35"/>
      <c r="AI131" s="35"/>
      <c r="AJ131" s="35"/>
      <c r="AK131" s="35"/>
      <c r="AL131" s="35"/>
      <c r="AM131" s="36"/>
      <c r="AN131" s="35"/>
      <c r="AO131" s="35"/>
      <c r="AP131" s="35"/>
      <c r="AQ131" s="35"/>
      <c r="AR131" s="35"/>
      <c r="AS131" s="35"/>
      <c r="AT131" s="35"/>
      <c r="AU131" s="36"/>
      <c r="AV131" s="36"/>
      <c r="AW131" s="36"/>
      <c r="AX131" s="35"/>
      <c r="AY131" s="35"/>
      <c r="AZ131" s="35"/>
      <c r="BA131" s="35"/>
      <c r="BB131" s="35"/>
      <c r="BC131" s="35"/>
      <c r="BD131" s="36"/>
      <c r="BE131" s="35"/>
      <c r="BF131" s="35"/>
      <c r="BG131" s="35"/>
      <c r="BH131" s="35"/>
      <c r="BI131" s="35"/>
      <c r="BJ131" s="35"/>
      <c r="BK131" s="35"/>
      <c r="BL131" s="35"/>
    </row>
    <row r="132" ht="15.75" customHeight="1">
      <c r="A132" s="35"/>
      <c r="B132" s="35"/>
      <c r="C132" s="36"/>
      <c r="D132" s="35"/>
      <c r="E132" s="35"/>
      <c r="F132" s="35"/>
      <c r="G132" s="35"/>
      <c r="H132" s="35"/>
      <c r="I132" s="35"/>
      <c r="J132" s="36"/>
      <c r="K132" s="36"/>
      <c r="L132" s="35"/>
      <c r="M132" s="35"/>
      <c r="N132" s="35"/>
      <c r="O132" s="35"/>
      <c r="P132" s="35"/>
      <c r="Q132" s="35"/>
      <c r="R132" s="36"/>
      <c r="S132" s="35"/>
      <c r="T132" s="35"/>
      <c r="U132" s="35"/>
      <c r="V132" s="35"/>
      <c r="W132" s="35"/>
      <c r="X132" s="35"/>
      <c r="Y132" s="36"/>
      <c r="Z132" s="35"/>
      <c r="AA132" s="35"/>
      <c r="AB132" s="35"/>
      <c r="AC132" s="35"/>
      <c r="AD132" s="35"/>
      <c r="AE132" s="35"/>
      <c r="AF132" s="36"/>
      <c r="AG132" s="35"/>
      <c r="AH132" s="35"/>
      <c r="AI132" s="35"/>
      <c r="AJ132" s="35"/>
      <c r="AK132" s="35"/>
      <c r="AL132" s="35"/>
      <c r="AM132" s="36"/>
      <c r="AN132" s="35"/>
      <c r="AO132" s="35"/>
      <c r="AP132" s="35"/>
      <c r="AQ132" s="35"/>
      <c r="AR132" s="35"/>
      <c r="AS132" s="35"/>
      <c r="AT132" s="35"/>
      <c r="AU132" s="36"/>
      <c r="AV132" s="36"/>
      <c r="AW132" s="36"/>
      <c r="AX132" s="35"/>
      <c r="AY132" s="35"/>
      <c r="AZ132" s="35"/>
      <c r="BA132" s="35"/>
      <c r="BB132" s="35"/>
      <c r="BC132" s="35"/>
      <c r="BD132" s="36"/>
      <c r="BE132" s="35"/>
      <c r="BF132" s="35"/>
      <c r="BG132" s="35"/>
      <c r="BH132" s="35"/>
      <c r="BI132" s="35"/>
      <c r="BJ132" s="35"/>
      <c r="BK132" s="35"/>
      <c r="BL132" s="35"/>
    </row>
    <row r="133" ht="15.75" customHeight="1">
      <c r="A133" s="35" t="s">
        <v>94</v>
      </c>
      <c r="B133" s="35" t="s">
        <v>53</v>
      </c>
      <c r="C133" s="37">
        <f>AVERAGE(C2,C3,C4,C5)</f>
        <v>6665.925</v>
      </c>
      <c r="D133" s="37"/>
      <c r="E133" s="37"/>
      <c r="F133" s="37"/>
      <c r="G133" s="37"/>
      <c r="H133" s="37"/>
      <c r="I133" s="37"/>
      <c r="J133" s="37">
        <f t="shared" ref="J133:K133" si="1">AVERAGE(J2,J3,J4,J5)</f>
        <v>2089250</v>
      </c>
      <c r="K133" s="37">
        <f t="shared" si="1"/>
        <v>0.17713975</v>
      </c>
      <c r="L133" s="37"/>
      <c r="M133" s="37"/>
      <c r="N133" s="37"/>
      <c r="O133" s="37"/>
      <c r="P133" s="37"/>
      <c r="Q133" s="37"/>
      <c r="R133" s="37">
        <f>AVERAGE(R2,R3,R4,R5)</f>
        <v>65.540025</v>
      </c>
      <c r="S133" s="37"/>
      <c r="T133" s="37"/>
      <c r="U133" s="37"/>
      <c r="V133" s="37"/>
      <c r="W133" s="37"/>
      <c r="X133" s="37"/>
      <c r="Y133" s="37">
        <f>AVERAGE(Y2,Y3,Y4,Y5)</f>
        <v>13.558775</v>
      </c>
      <c r="Z133" s="37"/>
      <c r="AA133" s="37"/>
      <c r="AB133" s="37"/>
      <c r="AC133" s="37"/>
      <c r="AD133" s="37"/>
      <c r="AE133" s="37"/>
      <c r="AF133" s="37">
        <f>AVERAGE(AF2,AF3,AF4,AF5)</f>
        <v>0.2634365</v>
      </c>
      <c r="AG133" s="37"/>
      <c r="AH133" s="37"/>
      <c r="AI133" s="37"/>
      <c r="AJ133" s="37"/>
      <c r="AK133" s="37"/>
      <c r="AL133" s="37"/>
      <c r="AM133" s="37">
        <f>AVERAGE(AM2,AM3,AM4,AM5)</f>
        <v>0.38246075</v>
      </c>
      <c r="AN133" s="37"/>
      <c r="AO133" s="37"/>
      <c r="AP133" s="37"/>
      <c r="AQ133" s="37"/>
      <c r="AR133" s="37"/>
      <c r="AS133" s="37"/>
      <c r="AT133" s="37"/>
      <c r="AU133" s="37">
        <f t="shared" ref="AU133:AW133" si="2">AVERAGE(AU2,AU3,AU4,AU5)</f>
        <v>321.3</v>
      </c>
      <c r="AV133" s="37">
        <f t="shared" si="2"/>
        <v>4018.7375</v>
      </c>
      <c r="AW133" s="37">
        <f t="shared" si="2"/>
        <v>0.3189935</v>
      </c>
      <c r="AX133" s="37"/>
      <c r="AY133" s="37"/>
      <c r="AZ133" s="37"/>
      <c r="BA133" s="37"/>
      <c r="BB133" s="37"/>
      <c r="BC133" s="37"/>
      <c r="BD133" s="37">
        <f>AVERAGE(BD2,BD3,BD4,BD5)</f>
        <v>42.844425</v>
      </c>
      <c r="BE133" s="37"/>
      <c r="BF133" s="37"/>
      <c r="BG133" s="37"/>
      <c r="BH133" s="37"/>
      <c r="BI133" s="37"/>
      <c r="BJ133" s="37"/>
      <c r="BK133" s="37"/>
      <c r="BL133" s="37"/>
    </row>
    <row r="134" ht="15.75" customHeight="1">
      <c r="A134" s="35" t="s">
        <v>111</v>
      </c>
      <c r="B134" s="35" t="s">
        <v>53</v>
      </c>
      <c r="C134" s="37">
        <f>(AVERAGE(C6,C7,C8,C9))</f>
        <v>5915.035</v>
      </c>
      <c r="D134" s="37"/>
      <c r="E134" s="37"/>
      <c r="F134" s="37"/>
      <c r="G134" s="37"/>
      <c r="H134" s="37"/>
      <c r="I134" s="37"/>
      <c r="J134" s="37">
        <f t="shared" ref="J134:K134" si="3">(AVERAGE(J6,J7,J8,J9))</f>
        <v>1777112.5</v>
      </c>
      <c r="K134" s="37">
        <f t="shared" si="3"/>
        <v>0.1451685</v>
      </c>
      <c r="L134" s="37"/>
      <c r="M134" s="37"/>
      <c r="N134" s="37"/>
      <c r="O134" s="37"/>
      <c r="P134" s="37"/>
      <c r="Q134" s="37"/>
      <c r="R134" s="37">
        <f>(AVERAGE(R6,R7,R8,R9))</f>
        <v>58.922625</v>
      </c>
      <c r="S134" s="37"/>
      <c r="T134" s="37"/>
      <c r="U134" s="37"/>
      <c r="V134" s="37"/>
      <c r="W134" s="37"/>
      <c r="X134" s="37"/>
      <c r="Y134" s="37">
        <f>(AVERAGE(Y6,Y7,Y8,Y9))</f>
        <v>13.323425</v>
      </c>
      <c r="Z134" s="37"/>
      <c r="AA134" s="37"/>
      <c r="AB134" s="37"/>
      <c r="AC134" s="37"/>
      <c r="AD134" s="37"/>
      <c r="AE134" s="37"/>
      <c r="AF134" s="37">
        <f>(AVERAGE(AF6,AF7,AF8,AF9))</f>
        <v>0.2205395</v>
      </c>
      <c r="AG134" s="37"/>
      <c r="AH134" s="37"/>
      <c r="AI134" s="37"/>
      <c r="AJ134" s="37"/>
      <c r="AK134" s="37"/>
      <c r="AL134" s="37"/>
      <c r="AM134" s="37">
        <f>(AVERAGE(AM6,AM7,AM8,AM9))</f>
        <v>0.4135905</v>
      </c>
      <c r="AN134" s="37"/>
      <c r="AO134" s="37"/>
      <c r="AP134" s="37"/>
      <c r="AQ134" s="37"/>
      <c r="AR134" s="37"/>
      <c r="AS134" s="37"/>
      <c r="AT134" s="37"/>
      <c r="AU134" s="37">
        <f t="shared" ref="AU134:AW134" si="4">(AVERAGE(AU6,AU7,AU8,AU9))</f>
        <v>306.855</v>
      </c>
      <c r="AV134" s="37">
        <f t="shared" si="4"/>
        <v>3516.5775</v>
      </c>
      <c r="AW134" s="37">
        <f t="shared" si="4"/>
        <v>0.37299625</v>
      </c>
      <c r="AX134" s="37"/>
      <c r="AY134" s="37"/>
      <c r="AZ134" s="37"/>
      <c r="BA134" s="37"/>
      <c r="BB134" s="37"/>
      <c r="BC134" s="37"/>
      <c r="BD134" s="37">
        <f>(AVERAGE(BD6,BD7,BD8,BD9))</f>
        <v>44.7724</v>
      </c>
      <c r="BE134" s="37"/>
      <c r="BF134" s="37"/>
      <c r="BG134" s="37"/>
      <c r="BH134" s="37"/>
      <c r="BI134" s="37"/>
      <c r="BJ134" s="37"/>
      <c r="BK134" s="37"/>
      <c r="BL134" s="37"/>
    </row>
    <row r="135" ht="15.75" customHeight="1">
      <c r="A135" s="35" t="s">
        <v>112</v>
      </c>
      <c r="B135" s="35" t="s">
        <v>53</v>
      </c>
      <c r="C135" s="37">
        <f>(AVERAGE(C10,C11,C12,C13))</f>
        <v>6260.74</v>
      </c>
      <c r="D135" s="37"/>
      <c r="E135" s="37"/>
      <c r="F135" s="37"/>
      <c r="G135" s="37"/>
      <c r="H135" s="37"/>
      <c r="I135" s="37"/>
      <c r="J135" s="37">
        <f t="shared" ref="J135:K135" si="5">(AVERAGE(J10,J11,J12,J13))</f>
        <v>1785042.5</v>
      </c>
      <c r="K135" s="37">
        <f t="shared" si="5"/>
        <v>0.17373475</v>
      </c>
      <c r="L135" s="37"/>
      <c r="M135" s="37"/>
      <c r="N135" s="37"/>
      <c r="O135" s="37"/>
      <c r="P135" s="37"/>
      <c r="Q135" s="37"/>
      <c r="R135" s="37">
        <f>(AVERAGE(R10,R11,R12,R13))</f>
        <v>63.84235</v>
      </c>
      <c r="S135" s="37"/>
      <c r="T135" s="37"/>
      <c r="U135" s="37"/>
      <c r="V135" s="37"/>
      <c r="W135" s="37"/>
      <c r="X135" s="37"/>
      <c r="Y135" s="37">
        <f>(AVERAGE(Y10,Y11,Y12,Y13))</f>
        <v>13.2376</v>
      </c>
      <c r="Z135" s="37"/>
      <c r="AA135" s="37"/>
      <c r="AB135" s="37"/>
      <c r="AC135" s="37"/>
      <c r="AD135" s="37"/>
      <c r="AE135" s="37"/>
      <c r="AF135" s="37">
        <f>(AVERAGE(AF10,AF11,AF12,AF13))</f>
        <v>0.2630055</v>
      </c>
      <c r="AG135" s="37"/>
      <c r="AH135" s="37"/>
      <c r="AI135" s="37"/>
      <c r="AJ135" s="37"/>
      <c r="AK135" s="37"/>
      <c r="AL135" s="37"/>
      <c r="AM135" s="37">
        <f>(AVERAGE(AM10,AM11,AM12,AM13))</f>
        <v>0.4039095</v>
      </c>
      <c r="AN135" s="37"/>
      <c r="AO135" s="37"/>
      <c r="AP135" s="37"/>
      <c r="AQ135" s="37"/>
      <c r="AR135" s="37"/>
      <c r="AS135" s="37"/>
      <c r="AT135" s="37"/>
      <c r="AU135" s="37">
        <f t="shared" ref="AU135:AW135" si="6">(AVERAGE(AU10,AU11,AU12,AU13))</f>
        <v>293.47925</v>
      </c>
      <c r="AV135" s="37">
        <f t="shared" si="6"/>
        <v>3691.5325</v>
      </c>
      <c r="AW135" s="37">
        <f t="shared" si="6"/>
        <v>0.331061</v>
      </c>
      <c r="AX135" s="37"/>
      <c r="AY135" s="37"/>
      <c r="AZ135" s="37"/>
      <c r="BA135" s="37"/>
      <c r="BB135" s="37"/>
      <c r="BC135" s="37"/>
      <c r="BD135" s="37">
        <f>(AVERAGE(BD10,BD11,BD12,BD13))</f>
        <v>44.7414</v>
      </c>
      <c r="BE135" s="37"/>
      <c r="BF135" s="37"/>
      <c r="BG135" s="37"/>
      <c r="BH135" s="37"/>
      <c r="BI135" s="37"/>
      <c r="BJ135" s="37"/>
      <c r="BK135" s="37"/>
      <c r="BL135" s="37"/>
    </row>
    <row r="136" ht="15.75" customHeight="1">
      <c r="A136" s="35" t="s">
        <v>113</v>
      </c>
      <c r="B136" s="35" t="s">
        <v>53</v>
      </c>
      <c r="C136" s="37">
        <f>AVERAGE(C14,C15,C16,C17)</f>
        <v>6351.3425</v>
      </c>
      <c r="D136" s="37"/>
      <c r="E136" s="37"/>
      <c r="F136" s="37"/>
      <c r="G136" s="37"/>
      <c r="H136" s="37"/>
      <c r="I136" s="37"/>
      <c r="J136" s="37">
        <f t="shared" ref="J136:K136" si="7">AVERAGE(J14,J15,J16,J17)</f>
        <v>2069890</v>
      </c>
      <c r="K136" s="37">
        <f t="shared" si="7"/>
        <v>0.1738245</v>
      </c>
      <c r="L136" s="37"/>
      <c r="M136" s="37"/>
      <c r="N136" s="37"/>
      <c r="O136" s="37"/>
      <c r="P136" s="37"/>
      <c r="Q136" s="37"/>
      <c r="R136" s="37">
        <f>AVERAGE(R14,R15,R16,R17)</f>
        <v>66.4634</v>
      </c>
      <c r="S136" s="37"/>
      <c r="T136" s="37"/>
      <c r="U136" s="37"/>
      <c r="V136" s="37"/>
      <c r="W136" s="37"/>
      <c r="X136" s="37"/>
      <c r="Y136" s="37">
        <f>AVERAGE(Y14,Y15,Y16,Y17)</f>
        <v>12.581175</v>
      </c>
      <c r="Z136" s="37"/>
      <c r="AA136" s="37"/>
      <c r="AB136" s="37"/>
      <c r="AC136" s="37"/>
      <c r="AD136" s="37"/>
      <c r="AE136" s="37"/>
      <c r="AF136" s="37">
        <f>AVERAGE(AF14,AF15,AF16,AF17)</f>
        <v>0.2727445</v>
      </c>
      <c r="AG136" s="37"/>
      <c r="AH136" s="37"/>
      <c r="AI136" s="37"/>
      <c r="AJ136" s="37"/>
      <c r="AK136" s="37"/>
      <c r="AL136" s="37"/>
      <c r="AM136" s="37">
        <f>AVERAGE(AM14,AM15,AM16,AM17)</f>
        <v>0.371092</v>
      </c>
      <c r="AN136" s="37"/>
      <c r="AO136" s="37"/>
      <c r="AP136" s="37"/>
      <c r="AQ136" s="37"/>
      <c r="AR136" s="37"/>
      <c r="AS136" s="37"/>
      <c r="AT136" s="37"/>
      <c r="AU136" s="37">
        <f t="shared" ref="AU136:AW136" si="8">AVERAGE(AU14,AU15,AU16,AU17)</f>
        <v>329.504</v>
      </c>
      <c r="AV136" s="37">
        <f t="shared" si="8"/>
        <v>3688.77</v>
      </c>
      <c r="AW136" s="37">
        <f t="shared" si="8"/>
        <v>0.30595225</v>
      </c>
      <c r="AX136" s="37"/>
      <c r="AY136" s="37"/>
      <c r="AZ136" s="37"/>
      <c r="BA136" s="37"/>
      <c r="BB136" s="37"/>
      <c r="BC136" s="37"/>
      <c r="BD136" s="37">
        <f>AVERAGE(BD14,BD15,BD16,BD17)</f>
        <v>42.252475</v>
      </c>
      <c r="BE136" s="37"/>
      <c r="BF136" s="37"/>
      <c r="BG136" s="37"/>
      <c r="BH136" s="37"/>
      <c r="BI136" s="37"/>
      <c r="BJ136" s="37"/>
      <c r="BK136" s="37"/>
      <c r="BL136" s="37"/>
    </row>
    <row r="137" ht="15.75" customHeight="1">
      <c r="A137" s="35" t="s">
        <v>94</v>
      </c>
      <c r="B137" s="35" t="s">
        <v>57</v>
      </c>
      <c r="C137" s="37">
        <f>AVERAGE(C18:C21)</f>
        <v>15474.85</v>
      </c>
      <c r="D137" s="37"/>
      <c r="E137" s="37"/>
      <c r="F137" s="37"/>
      <c r="G137" s="37"/>
      <c r="H137" s="37"/>
      <c r="I137" s="37"/>
      <c r="J137" s="37">
        <f t="shared" ref="J137:K137" si="9">AVERAGE(J18:J21)</f>
        <v>6293992.5</v>
      </c>
      <c r="K137" s="37">
        <f t="shared" si="9"/>
        <v>0.22082575</v>
      </c>
      <c r="L137" s="37"/>
      <c r="M137" s="37"/>
      <c r="N137" s="37"/>
      <c r="O137" s="37"/>
      <c r="P137" s="37"/>
      <c r="Q137" s="37"/>
      <c r="R137" s="37">
        <f>AVERAGE(R18:R21)</f>
        <v>79.056075</v>
      </c>
      <c r="S137" s="37"/>
      <c r="T137" s="37"/>
      <c r="U137" s="37"/>
      <c r="V137" s="37"/>
      <c r="W137" s="37"/>
      <c r="X137" s="37"/>
      <c r="Y137" s="37">
        <f>AVERAGE(Y18:Y21)</f>
        <v>11.0552275</v>
      </c>
      <c r="Z137" s="37"/>
      <c r="AA137" s="37"/>
      <c r="AB137" s="37"/>
      <c r="AC137" s="37"/>
      <c r="AD137" s="37"/>
      <c r="AE137" s="37"/>
      <c r="AF137" s="37">
        <f>AVERAGE(AF18:AF21)</f>
        <v>0.38496375</v>
      </c>
      <c r="AG137" s="37"/>
      <c r="AH137" s="37"/>
      <c r="AI137" s="37"/>
      <c r="AJ137" s="37"/>
      <c r="AK137" s="37"/>
      <c r="AL137" s="37"/>
      <c r="AM137" s="37">
        <f>AVERAGE(AM18:AM21)</f>
        <v>0.29880125</v>
      </c>
      <c r="AN137" s="37"/>
      <c r="AO137" s="37"/>
      <c r="AP137" s="37"/>
      <c r="AQ137" s="37"/>
      <c r="AR137" s="37"/>
      <c r="AS137" s="37"/>
      <c r="AT137" s="37"/>
      <c r="AU137" s="37">
        <f t="shared" ref="AU137:AW137" si="10">AVERAGE(AU18:AU21)</f>
        <v>407.398</v>
      </c>
      <c r="AV137" s="37">
        <f t="shared" si="10"/>
        <v>9326.2</v>
      </c>
      <c r="AW137" s="37">
        <f t="shared" si="10"/>
        <v>0.20222725</v>
      </c>
      <c r="AX137" s="37"/>
      <c r="AY137" s="37"/>
      <c r="AZ137" s="37"/>
      <c r="BA137" s="37"/>
      <c r="BB137" s="37"/>
      <c r="BC137" s="37"/>
      <c r="BD137" s="37">
        <f>AVERAGE(BD18:BD21)</f>
        <v>39.834075</v>
      </c>
      <c r="BE137" s="37"/>
      <c r="BF137" s="37"/>
      <c r="BG137" s="37"/>
      <c r="BH137" s="37"/>
      <c r="BI137" s="37"/>
      <c r="BJ137" s="37"/>
      <c r="BK137" s="37"/>
      <c r="BL137" s="37"/>
    </row>
    <row r="138" ht="15.75" customHeight="1">
      <c r="A138" s="35" t="s">
        <v>111</v>
      </c>
      <c r="B138" s="35" t="s">
        <v>57</v>
      </c>
      <c r="C138" s="37">
        <f>AVERAGE(C22:C25)</f>
        <v>12744.025</v>
      </c>
      <c r="D138" s="37"/>
      <c r="E138" s="37"/>
      <c r="F138" s="37"/>
      <c r="G138" s="37"/>
      <c r="H138" s="37"/>
      <c r="I138" s="37"/>
      <c r="J138" s="37">
        <f t="shared" ref="J138:K138" si="11">AVERAGE(J22:J25)</f>
        <v>4466872.5</v>
      </c>
      <c r="K138" s="37">
        <f t="shared" si="11"/>
        <v>0.21902375</v>
      </c>
      <c r="L138" s="37"/>
      <c r="M138" s="37"/>
      <c r="N138" s="37"/>
      <c r="O138" s="37"/>
      <c r="P138" s="37"/>
      <c r="Q138" s="37"/>
      <c r="R138" s="37">
        <f>AVERAGE(R22:R25)</f>
        <v>78.63245</v>
      </c>
      <c r="S138" s="37"/>
      <c r="T138" s="37"/>
      <c r="U138" s="37"/>
      <c r="V138" s="37"/>
      <c r="W138" s="37"/>
      <c r="X138" s="37"/>
      <c r="Y138" s="37">
        <f>AVERAGE(Y22:Y25)</f>
        <v>11.533875</v>
      </c>
      <c r="Z138" s="37"/>
      <c r="AA138" s="37"/>
      <c r="AB138" s="37"/>
      <c r="AC138" s="37"/>
      <c r="AD138" s="37"/>
      <c r="AE138" s="37"/>
      <c r="AF138" s="37">
        <f>AVERAGE(AF22:AF25)</f>
        <v>0.37571775</v>
      </c>
      <c r="AG138" s="37"/>
      <c r="AH138" s="37"/>
      <c r="AI138" s="37"/>
      <c r="AJ138" s="37"/>
      <c r="AK138" s="37"/>
      <c r="AL138" s="37"/>
      <c r="AM138" s="37">
        <f>AVERAGE(AM22:AM25)</f>
        <v>0.30169</v>
      </c>
      <c r="AN138" s="37"/>
      <c r="AO138" s="37"/>
      <c r="AP138" s="37"/>
      <c r="AQ138" s="37"/>
      <c r="AR138" s="37"/>
      <c r="AS138" s="37"/>
      <c r="AT138" s="37"/>
      <c r="AU138" s="37">
        <f t="shared" ref="AU138:AW138" si="12">AVERAGE(AU22:AU25)</f>
        <v>354.5715</v>
      </c>
      <c r="AV138" s="37">
        <f t="shared" si="12"/>
        <v>7750.85</v>
      </c>
      <c r="AW138" s="37">
        <f t="shared" si="12"/>
        <v>0.2026965</v>
      </c>
      <c r="AX138" s="37"/>
      <c r="AY138" s="37"/>
      <c r="AZ138" s="37"/>
      <c r="BA138" s="37"/>
      <c r="BB138" s="37"/>
      <c r="BC138" s="37"/>
      <c r="BD138" s="37">
        <f>AVERAGE(BD22:BD25)</f>
        <v>39.63345</v>
      </c>
      <c r="BE138" s="37"/>
      <c r="BF138" s="37"/>
      <c r="BG138" s="37"/>
      <c r="BH138" s="37"/>
      <c r="BI138" s="37"/>
      <c r="BJ138" s="37"/>
      <c r="BK138" s="37"/>
      <c r="BL138" s="37"/>
    </row>
    <row r="139" ht="15.75" customHeight="1">
      <c r="A139" s="35" t="s">
        <v>112</v>
      </c>
      <c r="B139" s="35" t="s">
        <v>57</v>
      </c>
      <c r="C139" s="37">
        <f>AVERAGE(C26:C29)</f>
        <v>14889.325</v>
      </c>
      <c r="D139" s="37"/>
      <c r="E139" s="37"/>
      <c r="F139" s="37"/>
      <c r="G139" s="37"/>
      <c r="H139" s="37"/>
      <c r="I139" s="37"/>
      <c r="J139" s="37">
        <f t="shared" ref="J139:K139" si="13">AVERAGE(J26:J29)</f>
        <v>6065682.5</v>
      </c>
      <c r="K139" s="37">
        <f t="shared" si="13"/>
        <v>0.21923175</v>
      </c>
      <c r="L139" s="37"/>
      <c r="M139" s="37"/>
      <c r="N139" s="37"/>
      <c r="O139" s="37"/>
      <c r="P139" s="37"/>
      <c r="Q139" s="37"/>
      <c r="R139" s="37">
        <f>AVERAGE(R26:R29)</f>
        <v>78.322175</v>
      </c>
      <c r="S139" s="37"/>
      <c r="T139" s="37"/>
      <c r="U139" s="37"/>
      <c r="V139" s="37"/>
      <c r="W139" s="37"/>
      <c r="X139" s="37"/>
      <c r="Y139" s="37">
        <f>AVERAGE(Y26:Y29)</f>
        <v>11.213</v>
      </c>
      <c r="Z139" s="37"/>
      <c r="AA139" s="37"/>
      <c r="AB139" s="37"/>
      <c r="AC139" s="37"/>
      <c r="AD139" s="37"/>
      <c r="AE139" s="37"/>
      <c r="AF139" s="37">
        <f>AVERAGE(AF26:AF29)</f>
        <v>0.3796035</v>
      </c>
      <c r="AG139" s="37"/>
      <c r="AH139" s="37"/>
      <c r="AI139" s="37"/>
      <c r="AJ139" s="37"/>
      <c r="AK139" s="37"/>
      <c r="AL139" s="37"/>
      <c r="AM139" s="37">
        <f>AVERAGE(AM26:AM29)</f>
        <v>0.30648375</v>
      </c>
      <c r="AN139" s="37"/>
      <c r="AO139" s="37"/>
      <c r="AP139" s="37"/>
      <c r="AQ139" s="37"/>
      <c r="AR139" s="37"/>
      <c r="AS139" s="37"/>
      <c r="AT139" s="37"/>
      <c r="AU139" s="37">
        <f t="shared" ref="AU139:AW139" si="14">AVERAGE(AU26:AU29)</f>
        <v>408.36425</v>
      </c>
      <c r="AV139" s="37">
        <f t="shared" si="14"/>
        <v>9030.2575</v>
      </c>
      <c r="AW139" s="37">
        <f t="shared" si="14"/>
        <v>0.2073455</v>
      </c>
      <c r="AX139" s="37"/>
      <c r="AY139" s="37"/>
      <c r="AZ139" s="37"/>
      <c r="BA139" s="37"/>
      <c r="BB139" s="37"/>
      <c r="BC139" s="37"/>
      <c r="BD139" s="37">
        <f>AVERAGE(BD26:BD29)</f>
        <v>40.315875</v>
      </c>
      <c r="BE139" s="37"/>
      <c r="BF139" s="37"/>
      <c r="BG139" s="37"/>
      <c r="BH139" s="37"/>
      <c r="BI139" s="37"/>
      <c r="BJ139" s="37"/>
      <c r="BK139" s="37"/>
      <c r="BL139" s="37"/>
    </row>
    <row r="140" ht="15.75" customHeight="1">
      <c r="A140" s="35" t="s">
        <v>113</v>
      </c>
      <c r="B140" s="35" t="s">
        <v>57</v>
      </c>
      <c r="C140" s="37">
        <f>AVERAGE(C30:C33)</f>
        <v>16363.675</v>
      </c>
      <c r="D140" s="37"/>
      <c r="E140" s="37"/>
      <c r="F140" s="37"/>
      <c r="G140" s="37"/>
      <c r="H140" s="37"/>
      <c r="I140" s="37"/>
      <c r="J140" s="37">
        <f t="shared" ref="J140:K140" si="15">AVERAGE(J30:J33)</f>
        <v>6906707.5</v>
      </c>
      <c r="K140" s="37">
        <f t="shared" si="15"/>
        <v>0.2192785</v>
      </c>
      <c r="L140" s="37"/>
      <c r="M140" s="37"/>
      <c r="N140" s="37"/>
      <c r="O140" s="37"/>
      <c r="P140" s="37"/>
      <c r="Q140" s="37"/>
      <c r="R140" s="37">
        <f>AVERAGE(R30:R33)</f>
        <v>79.43485</v>
      </c>
      <c r="S140" s="37"/>
      <c r="T140" s="37"/>
      <c r="U140" s="37"/>
      <c r="V140" s="37"/>
      <c r="W140" s="37"/>
      <c r="X140" s="37"/>
      <c r="Y140" s="37">
        <f>AVERAGE(Y30:Y33)</f>
        <v>11.1555</v>
      </c>
      <c r="Z140" s="37"/>
      <c r="AA140" s="37"/>
      <c r="AB140" s="37"/>
      <c r="AC140" s="37"/>
      <c r="AD140" s="37"/>
      <c r="AE140" s="37"/>
      <c r="AF140" s="37">
        <f>AVERAGE(AF30:AF33)</f>
        <v>0.38120475</v>
      </c>
      <c r="AG140" s="37"/>
      <c r="AH140" s="37"/>
      <c r="AI140" s="37"/>
      <c r="AJ140" s="37"/>
      <c r="AK140" s="37"/>
      <c r="AL140" s="37"/>
      <c r="AM140" s="37">
        <f>AVERAGE(AM30:AM33)</f>
        <v>0.29099575</v>
      </c>
      <c r="AN140" s="37"/>
      <c r="AO140" s="37"/>
      <c r="AP140" s="37"/>
      <c r="AQ140" s="37"/>
      <c r="AR140" s="37"/>
      <c r="AS140" s="37"/>
      <c r="AT140" s="37"/>
      <c r="AU140" s="37">
        <f t="shared" ref="AU140:AW140" si="16">AVERAGE(AU30:AU33)</f>
        <v>419.80175</v>
      </c>
      <c r="AV140" s="37">
        <f t="shared" si="16"/>
        <v>9654.1675</v>
      </c>
      <c r="AW140" s="37">
        <f t="shared" si="16"/>
        <v>0.196892</v>
      </c>
      <c r="AX140" s="37"/>
      <c r="AY140" s="37"/>
      <c r="AZ140" s="37"/>
      <c r="BA140" s="37"/>
      <c r="BB140" s="37"/>
      <c r="BC140" s="37"/>
      <c r="BD140" s="37">
        <f>AVERAGE(BD30:BD33)</f>
        <v>39.1508</v>
      </c>
      <c r="BE140" s="37"/>
      <c r="BF140" s="37"/>
      <c r="BG140" s="37"/>
      <c r="BH140" s="37"/>
      <c r="BI140" s="37"/>
      <c r="BJ140" s="37"/>
      <c r="BK140" s="37"/>
      <c r="BL140" s="37"/>
    </row>
    <row r="141" ht="15.75" customHeight="1">
      <c r="A141" s="35" t="s">
        <v>94</v>
      </c>
      <c r="B141" s="35" t="s">
        <v>59</v>
      </c>
      <c r="C141" s="37">
        <f>AVERAGE(C34:C37)</f>
        <v>34862.225</v>
      </c>
      <c r="D141" s="37"/>
      <c r="E141" s="37"/>
      <c r="F141" s="37"/>
      <c r="G141" s="37"/>
      <c r="H141" s="37"/>
      <c r="I141" s="37"/>
      <c r="J141" s="37">
        <f t="shared" ref="J141:K141" si="17">AVERAGE(J34:J37)</f>
        <v>19138800</v>
      </c>
      <c r="K141" s="37">
        <f t="shared" si="17"/>
        <v>0.2298935</v>
      </c>
      <c r="L141" s="37"/>
      <c r="M141" s="37"/>
      <c r="N141" s="37"/>
      <c r="O141" s="37"/>
      <c r="P141" s="37"/>
      <c r="Q141" s="37"/>
      <c r="R141" s="37">
        <f>AVERAGE(R34:R37)</f>
        <v>87.94665</v>
      </c>
      <c r="S141" s="37"/>
      <c r="T141" s="37"/>
      <c r="U141" s="37"/>
      <c r="V141" s="37"/>
      <c r="W141" s="37"/>
      <c r="X141" s="37"/>
      <c r="Y141" s="37">
        <f>AVERAGE(Y34:Y37)</f>
        <v>8.3695125</v>
      </c>
      <c r="Z141" s="37"/>
      <c r="AA141" s="37"/>
      <c r="AB141" s="37"/>
      <c r="AC141" s="37"/>
      <c r="AD141" s="37"/>
      <c r="AE141" s="37"/>
      <c r="AF141" s="37">
        <f>AVERAGE(AF34:AF37)</f>
        <v>0.4887685</v>
      </c>
      <c r="AG141" s="37"/>
      <c r="AH141" s="37"/>
      <c r="AI141" s="37"/>
      <c r="AJ141" s="37"/>
      <c r="AK141" s="37"/>
      <c r="AL141" s="37"/>
      <c r="AM141" s="37">
        <f>AVERAGE(AM34:AM37)</f>
        <v>0.226221</v>
      </c>
      <c r="AN141" s="37"/>
      <c r="AO141" s="37"/>
      <c r="AP141" s="37"/>
      <c r="AQ141" s="37"/>
      <c r="AR141" s="37"/>
      <c r="AS141" s="37"/>
      <c r="AT141" s="37"/>
      <c r="AU141" s="37">
        <f t="shared" ref="AU141:AW141" si="18">AVERAGE(AU34:AU37)</f>
        <v>565.9325</v>
      </c>
      <c r="AV141" s="37">
        <f t="shared" si="18"/>
        <v>19583.625</v>
      </c>
      <c r="AW141" s="37">
        <f t="shared" si="18"/>
        <v>0.12528725</v>
      </c>
      <c r="AX141" s="37"/>
      <c r="AY141" s="37"/>
      <c r="AZ141" s="37"/>
      <c r="BA141" s="37"/>
      <c r="BB141" s="37"/>
      <c r="BC141" s="37"/>
      <c r="BD141" s="37">
        <f>AVERAGE(BD34:BD37)</f>
        <v>36.6742</v>
      </c>
      <c r="BE141" s="37"/>
      <c r="BF141" s="37"/>
      <c r="BG141" s="37"/>
      <c r="BH141" s="37"/>
      <c r="BI141" s="37"/>
      <c r="BJ141" s="37"/>
      <c r="BK141" s="37"/>
      <c r="BL141" s="37"/>
    </row>
    <row r="142" ht="15.75" customHeight="1">
      <c r="A142" s="35" t="s">
        <v>111</v>
      </c>
      <c r="B142" s="35" t="s">
        <v>59</v>
      </c>
      <c r="C142" s="37">
        <f>AVERAGE(C38:C41)</f>
        <v>31845.95</v>
      </c>
      <c r="D142" s="37"/>
      <c r="E142" s="37"/>
      <c r="F142" s="37"/>
      <c r="G142" s="37"/>
      <c r="H142" s="37"/>
      <c r="I142" s="37"/>
      <c r="J142" s="37">
        <f t="shared" ref="J142:K142" si="19">AVERAGE(J38:J41)</f>
        <v>17298925</v>
      </c>
      <c r="K142" s="37">
        <f t="shared" si="19"/>
        <v>0.206004</v>
      </c>
      <c r="L142" s="37"/>
      <c r="M142" s="37"/>
      <c r="N142" s="37"/>
      <c r="O142" s="37"/>
      <c r="P142" s="37"/>
      <c r="Q142" s="37"/>
      <c r="R142" s="37">
        <f>AVERAGE(R38:R41)</f>
        <v>83.94555</v>
      </c>
      <c r="S142" s="37"/>
      <c r="T142" s="37"/>
      <c r="U142" s="37"/>
      <c r="V142" s="37"/>
      <c r="W142" s="37"/>
      <c r="X142" s="37"/>
      <c r="Y142" s="37">
        <f>AVERAGE(Y38:Y41)</f>
        <v>9.0205025</v>
      </c>
      <c r="Z142" s="37"/>
      <c r="AA142" s="37"/>
      <c r="AB142" s="37"/>
      <c r="AC142" s="37"/>
      <c r="AD142" s="37"/>
      <c r="AE142" s="37"/>
      <c r="AF142" s="37">
        <f>AVERAGE(AF38:AF41)</f>
        <v>0.435346</v>
      </c>
      <c r="AG142" s="37"/>
      <c r="AH142" s="37"/>
      <c r="AI142" s="37"/>
      <c r="AJ142" s="37"/>
      <c r="AK142" s="37"/>
      <c r="AL142" s="37"/>
      <c r="AM142" s="37">
        <f>AVERAGE(AM38:AM41)</f>
        <v>0.23327675</v>
      </c>
      <c r="AN142" s="37"/>
      <c r="AO142" s="37"/>
      <c r="AP142" s="37"/>
      <c r="AQ142" s="37"/>
      <c r="AR142" s="37"/>
      <c r="AS142" s="37"/>
      <c r="AT142" s="37"/>
      <c r="AU142" s="37">
        <f t="shared" ref="AU142:AW142" si="20">AVERAGE(AU38:AU41)</f>
        <v>561.561</v>
      </c>
      <c r="AV142" s="37">
        <f t="shared" si="20"/>
        <v>16539.4</v>
      </c>
      <c r="AW142" s="37">
        <f t="shared" si="20"/>
        <v>0.148286</v>
      </c>
      <c r="AX142" s="37"/>
      <c r="AY142" s="37"/>
      <c r="AZ142" s="37"/>
      <c r="BA142" s="37"/>
      <c r="BB142" s="37"/>
      <c r="BC142" s="37"/>
      <c r="BD142" s="37">
        <f>AVERAGE(BD38:BD41)</f>
        <v>35.27195</v>
      </c>
      <c r="BE142" s="37"/>
      <c r="BF142" s="37"/>
      <c r="BG142" s="37"/>
      <c r="BH142" s="37"/>
      <c r="BI142" s="37"/>
      <c r="BJ142" s="37"/>
      <c r="BK142" s="37"/>
      <c r="BL142" s="37"/>
    </row>
    <row r="143" ht="15.75" customHeight="1">
      <c r="A143" s="35" t="s">
        <v>112</v>
      </c>
      <c r="B143" s="35" t="s">
        <v>59</v>
      </c>
      <c r="C143" s="37">
        <f>AVERAGE(C42:C45)</f>
        <v>36633.825</v>
      </c>
      <c r="D143" s="37"/>
      <c r="E143" s="37"/>
      <c r="F143" s="37"/>
      <c r="G143" s="37"/>
      <c r="H143" s="37"/>
      <c r="I143" s="37"/>
      <c r="J143" s="37">
        <f t="shared" ref="J143:K143" si="21">AVERAGE(J42:J45)</f>
        <v>19149800</v>
      </c>
      <c r="K143" s="37">
        <f t="shared" si="21"/>
        <v>0.220173</v>
      </c>
      <c r="L143" s="37"/>
      <c r="M143" s="37"/>
      <c r="N143" s="37"/>
      <c r="O143" s="37"/>
      <c r="P143" s="37"/>
      <c r="Q143" s="37"/>
      <c r="R143" s="37">
        <f>AVERAGE(R42:R45)</f>
        <v>87.509475</v>
      </c>
      <c r="S143" s="37"/>
      <c r="T143" s="37"/>
      <c r="U143" s="37"/>
      <c r="V143" s="37"/>
      <c r="W143" s="37"/>
      <c r="X143" s="37"/>
      <c r="Y143" s="37">
        <f>AVERAGE(Y42:Y45)</f>
        <v>8.410315</v>
      </c>
      <c r="Z143" s="37"/>
      <c r="AA143" s="37"/>
      <c r="AB143" s="37"/>
      <c r="AC143" s="37"/>
      <c r="AD143" s="37"/>
      <c r="AE143" s="37"/>
      <c r="AF143" s="37">
        <f>AVERAGE(AF42:AF45)</f>
        <v>0.492894</v>
      </c>
      <c r="AG143" s="37"/>
      <c r="AH143" s="37"/>
      <c r="AI143" s="37"/>
      <c r="AJ143" s="37"/>
      <c r="AK143" s="37"/>
      <c r="AL143" s="37"/>
      <c r="AM143" s="37">
        <f>AVERAGE(AM42:AM45)</f>
        <v>0.2201385</v>
      </c>
      <c r="AN143" s="37"/>
      <c r="AO143" s="37"/>
      <c r="AP143" s="37"/>
      <c r="AQ143" s="37"/>
      <c r="AR143" s="37"/>
      <c r="AS143" s="37"/>
      <c r="AT143" s="37"/>
      <c r="AU143" s="37">
        <f t="shared" ref="AU143:AW143" si="22">AVERAGE(AU42:AU45)</f>
        <v>534.785</v>
      </c>
      <c r="AV143" s="37">
        <f t="shared" si="22"/>
        <v>20716.925</v>
      </c>
      <c r="AW143" s="37">
        <f t="shared" si="22"/>
        <v>0.121235</v>
      </c>
      <c r="AX143" s="37"/>
      <c r="AY143" s="37"/>
      <c r="AZ143" s="37"/>
      <c r="BA143" s="37"/>
      <c r="BB143" s="37"/>
      <c r="BC143" s="37"/>
      <c r="BD143" s="37">
        <f>AVERAGE(BD42:BD45)</f>
        <v>35.36815</v>
      </c>
      <c r="BE143" s="37"/>
      <c r="BF143" s="37"/>
      <c r="BG143" s="37"/>
      <c r="BH143" s="37"/>
      <c r="BI143" s="37"/>
      <c r="BJ143" s="37"/>
      <c r="BK143" s="37"/>
      <c r="BL143" s="37"/>
    </row>
    <row r="144" ht="15.75" customHeight="1">
      <c r="A144" s="35" t="s">
        <v>113</v>
      </c>
      <c r="B144" s="35" t="s">
        <v>59</v>
      </c>
      <c r="C144" s="37">
        <f>AVERAGE(C46:C49)</f>
        <v>32671.05</v>
      </c>
      <c r="D144" s="37"/>
      <c r="E144" s="37"/>
      <c r="F144" s="37"/>
      <c r="G144" s="37"/>
      <c r="H144" s="37"/>
      <c r="I144" s="37"/>
      <c r="J144" s="37">
        <f t="shared" ref="J144:K144" si="23">AVERAGE(J46:J49)</f>
        <v>18065700</v>
      </c>
      <c r="K144" s="37">
        <f t="shared" si="23"/>
        <v>0.2138465</v>
      </c>
      <c r="L144" s="37"/>
      <c r="M144" s="37"/>
      <c r="N144" s="37"/>
      <c r="O144" s="37"/>
      <c r="P144" s="37"/>
      <c r="Q144" s="37"/>
      <c r="R144" s="37">
        <f>AVERAGE(R46:R49)</f>
        <v>84.049075</v>
      </c>
      <c r="S144" s="37"/>
      <c r="T144" s="37"/>
      <c r="U144" s="37"/>
      <c r="V144" s="37"/>
      <c r="W144" s="37"/>
      <c r="X144" s="37"/>
      <c r="Y144" s="37">
        <f>AVERAGE(Y46:Y49)</f>
        <v>8.8499275</v>
      </c>
      <c r="Z144" s="37"/>
      <c r="AA144" s="37"/>
      <c r="AB144" s="37"/>
      <c r="AC144" s="37"/>
      <c r="AD144" s="37"/>
      <c r="AE144" s="37"/>
      <c r="AF144" s="37">
        <f>AVERAGE(AF46:AF49)</f>
        <v>0.44873375</v>
      </c>
      <c r="AG144" s="37"/>
      <c r="AH144" s="37"/>
      <c r="AI144" s="37"/>
      <c r="AJ144" s="37"/>
      <c r="AK144" s="37"/>
      <c r="AL144" s="37"/>
      <c r="AM144" s="37">
        <f>AVERAGE(AM46:AM49)</f>
        <v>0.24025425</v>
      </c>
      <c r="AN144" s="37"/>
      <c r="AO144" s="37"/>
      <c r="AP144" s="37"/>
      <c r="AQ144" s="37"/>
      <c r="AR144" s="37"/>
      <c r="AS144" s="37"/>
      <c r="AT144" s="37"/>
      <c r="AU144" s="37">
        <f t="shared" ref="AU144:AW144" si="24">AVERAGE(AU46:AU49)</f>
        <v>564.8175</v>
      </c>
      <c r="AV144" s="37">
        <f t="shared" si="24"/>
        <v>17656.55</v>
      </c>
      <c r="AW144" s="37">
        <f t="shared" si="24"/>
        <v>0.14797625</v>
      </c>
      <c r="AX144" s="37"/>
      <c r="AY144" s="37"/>
      <c r="AZ144" s="37"/>
      <c r="BA144" s="37"/>
      <c r="BB144" s="37"/>
      <c r="BC144" s="37"/>
      <c r="BD144" s="37">
        <f>AVERAGE(BD46:BD49)</f>
        <v>36.2197</v>
      </c>
      <c r="BE144" s="37"/>
      <c r="BF144" s="37"/>
      <c r="BG144" s="37"/>
      <c r="BH144" s="37"/>
      <c r="BI144" s="37"/>
      <c r="BJ144" s="37"/>
      <c r="BK144" s="37"/>
      <c r="BL144" s="37"/>
    </row>
    <row r="145" ht="15.75" customHeight="1">
      <c r="A145" s="35" t="s">
        <v>94</v>
      </c>
      <c r="B145" s="35" t="s">
        <v>61</v>
      </c>
      <c r="C145" s="37">
        <f>AVERAGE(C50:C53)</f>
        <v>38690.525</v>
      </c>
      <c r="D145" s="37"/>
      <c r="E145" s="37"/>
      <c r="F145" s="37"/>
      <c r="G145" s="37"/>
      <c r="H145" s="37"/>
      <c r="I145" s="37"/>
      <c r="J145" s="37">
        <f t="shared" ref="J145:K145" si="25">AVERAGE(J50:J53)</f>
        <v>21129000</v>
      </c>
      <c r="K145" s="37">
        <f t="shared" si="25"/>
        <v>0.22081375</v>
      </c>
      <c r="L145" s="37"/>
      <c r="M145" s="37"/>
      <c r="N145" s="37"/>
      <c r="O145" s="37"/>
      <c r="P145" s="37"/>
      <c r="Q145" s="37"/>
      <c r="R145" s="37">
        <f>AVERAGE(R50:R53)</f>
        <v>86.904825</v>
      </c>
      <c r="S145" s="37"/>
      <c r="T145" s="37"/>
      <c r="U145" s="37"/>
      <c r="V145" s="37"/>
      <c r="W145" s="37"/>
      <c r="X145" s="37"/>
      <c r="Y145" s="37">
        <f>AVERAGE(Y50:Y53)</f>
        <v>9.1833125</v>
      </c>
      <c r="Z145" s="37"/>
      <c r="AA145" s="37"/>
      <c r="AB145" s="37"/>
      <c r="AC145" s="37"/>
      <c r="AD145" s="37"/>
      <c r="AE145" s="37"/>
      <c r="AF145" s="37">
        <f>AVERAGE(AF50:AF53)</f>
        <v>0.4596785</v>
      </c>
      <c r="AG145" s="37"/>
      <c r="AH145" s="37"/>
      <c r="AI145" s="37"/>
      <c r="AJ145" s="37"/>
      <c r="AK145" s="37"/>
      <c r="AL145" s="37"/>
      <c r="AM145" s="37">
        <f>AVERAGE(AM50:AM53)</f>
        <v>0.22131525</v>
      </c>
      <c r="AN145" s="37"/>
      <c r="AO145" s="37"/>
      <c r="AP145" s="37"/>
      <c r="AQ145" s="37"/>
      <c r="AR145" s="37"/>
      <c r="AS145" s="37"/>
      <c r="AT145" s="37"/>
      <c r="AU145" s="37">
        <f t="shared" ref="AU145:AW145" si="26">AVERAGE(AU50:AU53)</f>
        <v>564.8675</v>
      </c>
      <c r="AV145" s="37">
        <f t="shared" si="26"/>
        <v>21729.075</v>
      </c>
      <c r="AW145" s="37">
        <f t="shared" si="26"/>
        <v>0.1320405</v>
      </c>
      <c r="AX145" s="37"/>
      <c r="AY145" s="37"/>
      <c r="AZ145" s="37"/>
      <c r="BA145" s="37"/>
      <c r="BB145" s="37"/>
      <c r="BC145" s="37"/>
      <c r="BD145" s="37">
        <f>AVERAGE(BD50:BD53)</f>
        <v>35.3173</v>
      </c>
      <c r="BE145" s="37"/>
      <c r="BF145" s="37"/>
      <c r="BG145" s="37"/>
      <c r="BH145" s="37"/>
      <c r="BI145" s="37"/>
      <c r="BJ145" s="37"/>
      <c r="BK145" s="37"/>
      <c r="BL145" s="37"/>
    </row>
    <row r="146" ht="15.75" customHeight="1">
      <c r="A146" s="35" t="s">
        <v>111</v>
      </c>
      <c r="B146" s="35" t="s">
        <v>61</v>
      </c>
      <c r="C146" s="37">
        <f>AVERAGE(C54:C57)</f>
        <v>43886.95</v>
      </c>
      <c r="D146" s="37"/>
      <c r="E146" s="37"/>
      <c r="F146" s="37"/>
      <c r="G146" s="37"/>
      <c r="H146" s="37"/>
      <c r="I146" s="37"/>
      <c r="J146" s="37">
        <f t="shared" ref="J146:K146" si="27">AVERAGE(J54:J57)</f>
        <v>25081925</v>
      </c>
      <c r="K146" s="37">
        <f t="shared" si="27"/>
        <v>0.22545175</v>
      </c>
      <c r="L146" s="37"/>
      <c r="M146" s="37"/>
      <c r="N146" s="37"/>
      <c r="O146" s="37"/>
      <c r="P146" s="37"/>
      <c r="Q146" s="37"/>
      <c r="R146" s="37">
        <f>AVERAGE(R54:R57)</f>
        <v>86.0386</v>
      </c>
      <c r="S146" s="37"/>
      <c r="T146" s="37"/>
      <c r="U146" s="37"/>
      <c r="V146" s="37"/>
      <c r="W146" s="37"/>
      <c r="X146" s="37"/>
      <c r="Y146" s="37">
        <f>AVERAGE(Y54:Y57)</f>
        <v>9.57159</v>
      </c>
      <c r="Z146" s="37"/>
      <c r="AA146" s="37"/>
      <c r="AB146" s="37"/>
      <c r="AC146" s="37"/>
      <c r="AD146" s="37"/>
      <c r="AE146" s="37"/>
      <c r="AF146" s="37">
        <f>AVERAGE(AF54:AF57)</f>
        <v>0.45591125</v>
      </c>
      <c r="AG146" s="37"/>
      <c r="AH146" s="37"/>
      <c r="AI146" s="37"/>
      <c r="AJ146" s="37"/>
      <c r="AK146" s="37"/>
      <c r="AL146" s="37"/>
      <c r="AM146" s="37">
        <f>AVERAGE(AM54:AM57)</f>
        <v>0.23420025</v>
      </c>
      <c r="AN146" s="37"/>
      <c r="AO146" s="37"/>
      <c r="AP146" s="37"/>
      <c r="AQ146" s="37"/>
      <c r="AR146" s="37"/>
      <c r="AS146" s="37"/>
      <c r="AT146" s="37"/>
      <c r="AU146" s="37">
        <f t="shared" ref="AU146:AW146" si="28">AVERAGE(AU54:AU57)</f>
        <v>581.372</v>
      </c>
      <c r="AV146" s="37">
        <f t="shared" si="28"/>
        <v>25394.35</v>
      </c>
      <c r="AW146" s="37">
        <f t="shared" si="28"/>
        <v>0.1412995</v>
      </c>
      <c r="AX146" s="37"/>
      <c r="AY146" s="37"/>
      <c r="AZ146" s="37"/>
      <c r="BA146" s="37"/>
      <c r="BB146" s="37"/>
      <c r="BC146" s="37"/>
      <c r="BD146" s="37">
        <f>AVERAGE(BD54:BD57)</f>
        <v>36.2221</v>
      </c>
      <c r="BE146" s="37"/>
      <c r="BF146" s="37"/>
      <c r="BG146" s="37"/>
      <c r="BH146" s="37"/>
      <c r="BI146" s="37"/>
      <c r="BJ146" s="37"/>
      <c r="BK146" s="37"/>
      <c r="BL146" s="37"/>
    </row>
    <row r="147" ht="15.75" customHeight="1">
      <c r="A147" s="35" t="s">
        <v>112</v>
      </c>
      <c r="B147" s="35" t="s">
        <v>61</v>
      </c>
      <c r="C147" s="37">
        <f>AVERAGE(C58:C61)</f>
        <v>41665.575</v>
      </c>
      <c r="D147" s="37"/>
      <c r="E147" s="37"/>
      <c r="F147" s="37"/>
      <c r="G147" s="37"/>
      <c r="H147" s="37"/>
      <c r="I147" s="37"/>
      <c r="J147" s="37">
        <f t="shared" ref="J147:K147" si="29">AVERAGE(J58:J61)</f>
        <v>24106575</v>
      </c>
      <c r="K147" s="37">
        <f t="shared" si="29"/>
        <v>0.228475</v>
      </c>
      <c r="L147" s="37"/>
      <c r="M147" s="37"/>
      <c r="N147" s="37"/>
      <c r="O147" s="37"/>
      <c r="P147" s="37"/>
      <c r="Q147" s="37"/>
      <c r="R147" s="37">
        <f>AVERAGE(R58:R61)</f>
        <v>88.536675</v>
      </c>
      <c r="S147" s="37"/>
      <c r="T147" s="37"/>
      <c r="U147" s="37"/>
      <c r="V147" s="37"/>
      <c r="W147" s="37"/>
      <c r="X147" s="37"/>
      <c r="Y147" s="37">
        <f>AVERAGE(Y58:Y61)</f>
        <v>9.094565</v>
      </c>
      <c r="Z147" s="37"/>
      <c r="AA147" s="37"/>
      <c r="AB147" s="37"/>
      <c r="AC147" s="37"/>
      <c r="AD147" s="37"/>
      <c r="AE147" s="37"/>
      <c r="AF147" s="37">
        <f>AVERAGE(AF58:AF61)</f>
        <v>0.47627325</v>
      </c>
      <c r="AG147" s="37"/>
      <c r="AH147" s="37"/>
      <c r="AI147" s="37"/>
      <c r="AJ147" s="37"/>
      <c r="AK147" s="37"/>
      <c r="AL147" s="37"/>
      <c r="AM147" s="37">
        <f>AVERAGE(AM58:AM61)</f>
        <v>0.21356425</v>
      </c>
      <c r="AN147" s="37"/>
      <c r="AO147" s="37"/>
      <c r="AP147" s="37"/>
      <c r="AQ147" s="37"/>
      <c r="AR147" s="37"/>
      <c r="AS147" s="37"/>
      <c r="AT147" s="37"/>
      <c r="AU147" s="37">
        <f t="shared" ref="AU147:AW147" si="30">AVERAGE(AU58:AU61)</f>
        <v>599.234</v>
      </c>
      <c r="AV147" s="37">
        <f t="shared" si="30"/>
        <v>23498.4</v>
      </c>
      <c r="AW147" s="37">
        <f t="shared" si="30"/>
        <v>0.121992</v>
      </c>
      <c r="AX147" s="37"/>
      <c r="AY147" s="37"/>
      <c r="AZ147" s="37"/>
      <c r="BA147" s="37"/>
      <c r="BB147" s="37"/>
      <c r="BC147" s="37"/>
      <c r="BD147" s="37">
        <f>AVERAGE(BD58:BD61)</f>
        <v>35.390475</v>
      </c>
      <c r="BE147" s="37"/>
      <c r="BF147" s="37"/>
      <c r="BG147" s="37"/>
      <c r="BH147" s="37"/>
      <c r="BI147" s="37"/>
      <c r="BJ147" s="37"/>
      <c r="BK147" s="37"/>
      <c r="BL147" s="37"/>
    </row>
    <row r="148" ht="15.75" customHeight="1">
      <c r="A148" s="35" t="s">
        <v>113</v>
      </c>
      <c r="B148" s="35" t="s">
        <v>61</v>
      </c>
      <c r="C148" s="37">
        <f>AVERAGE(C62:C65)</f>
        <v>41183.075</v>
      </c>
      <c r="D148" s="37"/>
      <c r="E148" s="37"/>
      <c r="F148" s="37"/>
      <c r="G148" s="37"/>
      <c r="H148" s="37"/>
      <c r="I148" s="37"/>
      <c r="J148" s="37">
        <f t="shared" ref="J148:K148" si="31">AVERAGE(J62:J65)</f>
        <v>22672675</v>
      </c>
      <c r="K148" s="37">
        <f t="shared" si="31"/>
        <v>0.23055025</v>
      </c>
      <c r="L148" s="37"/>
      <c r="M148" s="37"/>
      <c r="N148" s="37"/>
      <c r="O148" s="37"/>
      <c r="P148" s="37"/>
      <c r="Q148" s="37"/>
      <c r="R148" s="37">
        <f>AVERAGE(R62:R65)</f>
        <v>88.23545</v>
      </c>
      <c r="S148" s="37"/>
      <c r="T148" s="37"/>
      <c r="U148" s="37"/>
      <c r="V148" s="37"/>
      <c r="W148" s="37"/>
      <c r="X148" s="37"/>
      <c r="Y148" s="37">
        <f>AVERAGE(Y62:Y65)</f>
        <v>9.050595</v>
      </c>
      <c r="Z148" s="37"/>
      <c r="AA148" s="37"/>
      <c r="AB148" s="37"/>
      <c r="AC148" s="37"/>
      <c r="AD148" s="37"/>
      <c r="AE148" s="37"/>
      <c r="AF148" s="37">
        <f>AVERAGE(AF62:AF65)</f>
        <v>0.47728625</v>
      </c>
      <c r="AG148" s="37"/>
      <c r="AH148" s="37"/>
      <c r="AI148" s="37"/>
      <c r="AJ148" s="37"/>
      <c r="AK148" s="37"/>
      <c r="AL148" s="37"/>
      <c r="AM148" s="37">
        <f>AVERAGE(AM62:AM65)</f>
        <v>0.21931125</v>
      </c>
      <c r="AN148" s="37"/>
      <c r="AO148" s="37"/>
      <c r="AP148" s="37"/>
      <c r="AQ148" s="37"/>
      <c r="AR148" s="37"/>
      <c r="AS148" s="37"/>
      <c r="AT148" s="37"/>
      <c r="AU148" s="37">
        <f t="shared" ref="AU148:AW148" si="32">AVERAGE(AU62:AU65)</f>
        <v>565.1245</v>
      </c>
      <c r="AV148" s="37">
        <f t="shared" si="32"/>
        <v>23644.975</v>
      </c>
      <c r="AW148" s="37">
        <f t="shared" si="32"/>
        <v>0.126489</v>
      </c>
      <c r="AX148" s="37"/>
      <c r="AY148" s="37"/>
      <c r="AZ148" s="37"/>
      <c r="BA148" s="37"/>
      <c r="BB148" s="37"/>
      <c r="BC148" s="37"/>
      <c r="BD148" s="37">
        <f>AVERAGE(BD62:BD65)</f>
        <v>35.9542</v>
      </c>
      <c r="BE148" s="37"/>
      <c r="BF148" s="37"/>
      <c r="BG148" s="37"/>
      <c r="BH148" s="37"/>
      <c r="BI148" s="37"/>
      <c r="BJ148" s="37"/>
      <c r="BK148" s="37"/>
      <c r="BL148" s="37"/>
    </row>
    <row r="149" ht="15.75" customHeight="1">
      <c r="A149" s="35" t="s">
        <v>94</v>
      </c>
      <c r="B149" s="35" t="s">
        <v>62</v>
      </c>
      <c r="C149" s="37">
        <f>AVERAGE(C66:C69)</f>
        <v>37545.5</v>
      </c>
      <c r="D149" s="37"/>
      <c r="E149" s="37"/>
      <c r="F149" s="37"/>
      <c r="G149" s="37"/>
      <c r="H149" s="37"/>
      <c r="I149" s="37"/>
      <c r="J149" s="37">
        <f t="shared" ref="J149:K149" si="33">AVERAGE(J66:J69)</f>
        <v>20738400</v>
      </c>
      <c r="K149" s="37">
        <f t="shared" si="33"/>
        <v>0.212003</v>
      </c>
      <c r="L149" s="37"/>
      <c r="M149" s="37"/>
      <c r="N149" s="37"/>
      <c r="O149" s="37"/>
      <c r="P149" s="37"/>
      <c r="Q149" s="37"/>
      <c r="R149" s="37">
        <f>AVERAGE(R66:R69)</f>
        <v>84.296575</v>
      </c>
      <c r="S149" s="37"/>
      <c r="T149" s="37"/>
      <c r="U149" s="37"/>
      <c r="V149" s="37"/>
      <c r="W149" s="37"/>
      <c r="X149" s="37"/>
      <c r="Y149" s="37">
        <f>AVERAGE(Y66:Y69)</f>
        <v>9.2332425</v>
      </c>
      <c r="Z149" s="37"/>
      <c r="AA149" s="37"/>
      <c r="AB149" s="37"/>
      <c r="AC149" s="37"/>
      <c r="AD149" s="37"/>
      <c r="AE149" s="37"/>
      <c r="AF149" s="37">
        <f>AVERAGE(AF66:AF69)</f>
        <v>0.44859675</v>
      </c>
      <c r="AG149" s="37"/>
      <c r="AH149" s="37"/>
      <c r="AI149" s="37"/>
      <c r="AJ149" s="37"/>
      <c r="AK149" s="37"/>
      <c r="AL149" s="37"/>
      <c r="AM149" s="37">
        <f>AVERAGE(AM66:AM69)</f>
        <v>0.240061</v>
      </c>
      <c r="AN149" s="37"/>
      <c r="AO149" s="37"/>
      <c r="AP149" s="37"/>
      <c r="AQ149" s="37"/>
      <c r="AR149" s="37"/>
      <c r="AS149" s="37"/>
      <c r="AT149" s="37"/>
      <c r="AU149" s="37">
        <f t="shared" ref="AU149:AW149" si="34">AVERAGE(AU66:AU69)</f>
        <v>569.388</v>
      </c>
      <c r="AV149" s="37">
        <f t="shared" si="34"/>
        <v>20686.6</v>
      </c>
      <c r="AW149" s="37">
        <f t="shared" si="34"/>
        <v>0.1467325</v>
      </c>
      <c r="AX149" s="37"/>
      <c r="AY149" s="37"/>
      <c r="AZ149" s="37"/>
      <c r="BA149" s="37"/>
      <c r="BB149" s="37"/>
      <c r="BC149" s="37"/>
      <c r="BD149" s="37">
        <f>AVERAGE(BD66:BD69)</f>
        <v>35.963825</v>
      </c>
      <c r="BE149" s="37"/>
      <c r="BF149" s="37"/>
      <c r="BG149" s="37"/>
      <c r="BH149" s="37"/>
      <c r="BI149" s="37"/>
      <c r="BJ149" s="37"/>
      <c r="BK149" s="37"/>
      <c r="BL149" s="37"/>
    </row>
    <row r="150" ht="15.75" customHeight="1">
      <c r="A150" s="35" t="s">
        <v>111</v>
      </c>
      <c r="B150" s="35" t="s">
        <v>62</v>
      </c>
      <c r="C150" s="37">
        <f>AVERAGE(C70:C73)</f>
        <v>38849.35</v>
      </c>
      <c r="D150" s="37"/>
      <c r="E150" s="37"/>
      <c r="F150" s="37"/>
      <c r="G150" s="37"/>
      <c r="H150" s="37"/>
      <c r="I150" s="37"/>
      <c r="J150" s="37">
        <f t="shared" ref="J150:K150" si="35">AVERAGE(J70:J73)</f>
        <v>22264025</v>
      </c>
      <c r="K150" s="37">
        <f t="shared" si="35"/>
        <v>0.222727</v>
      </c>
      <c r="L150" s="37"/>
      <c r="M150" s="37"/>
      <c r="N150" s="37"/>
      <c r="O150" s="37"/>
      <c r="P150" s="37"/>
      <c r="Q150" s="37"/>
      <c r="R150" s="37">
        <f>AVERAGE(R70:R73)</f>
        <v>85.495975</v>
      </c>
      <c r="S150" s="37"/>
      <c r="T150" s="37"/>
      <c r="U150" s="37"/>
      <c r="V150" s="37"/>
      <c r="W150" s="37"/>
      <c r="X150" s="37"/>
      <c r="Y150" s="37">
        <f>AVERAGE(Y70:Y73)</f>
        <v>8.8450925</v>
      </c>
      <c r="Z150" s="37"/>
      <c r="AA150" s="37"/>
      <c r="AB150" s="37"/>
      <c r="AC150" s="37"/>
      <c r="AD150" s="37"/>
      <c r="AE150" s="37"/>
      <c r="AF150" s="37">
        <f>AVERAGE(AF70:AF73)</f>
        <v>0.46096075</v>
      </c>
      <c r="AG150" s="37"/>
      <c r="AH150" s="37"/>
      <c r="AI150" s="37"/>
      <c r="AJ150" s="37"/>
      <c r="AK150" s="37"/>
      <c r="AL150" s="37"/>
      <c r="AM150" s="37">
        <f>AVERAGE(AM70:AM73)</f>
        <v>0.241459</v>
      </c>
      <c r="AN150" s="37"/>
      <c r="AO150" s="37"/>
      <c r="AP150" s="37"/>
      <c r="AQ150" s="37"/>
      <c r="AR150" s="37"/>
      <c r="AS150" s="37"/>
      <c r="AT150" s="37"/>
      <c r="AU150" s="37">
        <f t="shared" ref="AU150:AW150" si="36">AVERAGE(AU70:AU73)</f>
        <v>587.01375</v>
      </c>
      <c r="AV150" s="37">
        <f t="shared" si="36"/>
        <v>20744.1</v>
      </c>
      <c r="AW150" s="37">
        <f t="shared" si="36"/>
        <v>0.1419435</v>
      </c>
      <c r="AX150" s="37"/>
      <c r="AY150" s="37"/>
      <c r="AZ150" s="37"/>
      <c r="BA150" s="37"/>
      <c r="BB150" s="37"/>
      <c r="BC150" s="37"/>
      <c r="BD150" s="37">
        <f>AVERAGE(BD70:BD73)</f>
        <v>36.837125</v>
      </c>
      <c r="BE150" s="37"/>
      <c r="BF150" s="37"/>
      <c r="BG150" s="37"/>
      <c r="BH150" s="37"/>
      <c r="BI150" s="37"/>
      <c r="BJ150" s="37"/>
      <c r="BK150" s="37"/>
      <c r="BL150" s="37"/>
    </row>
    <row r="151" ht="15.75" customHeight="1">
      <c r="A151" s="35" t="s">
        <v>112</v>
      </c>
      <c r="B151" s="35" t="s">
        <v>62</v>
      </c>
      <c r="C151" s="37">
        <f>AVERAGE(C74:C77)</f>
        <v>33890.575</v>
      </c>
      <c r="D151" s="37"/>
      <c r="E151" s="37"/>
      <c r="F151" s="37"/>
      <c r="G151" s="37"/>
      <c r="H151" s="37"/>
      <c r="I151" s="37"/>
      <c r="J151" s="37">
        <f t="shared" ref="J151:K151" si="37">AVERAGE(J74:J77)</f>
        <v>17814775</v>
      </c>
      <c r="K151" s="37">
        <f t="shared" si="37"/>
        <v>0.21711325</v>
      </c>
      <c r="L151" s="37"/>
      <c r="M151" s="37"/>
      <c r="N151" s="37"/>
      <c r="O151" s="37"/>
      <c r="P151" s="37"/>
      <c r="Q151" s="37"/>
      <c r="R151" s="37">
        <f>AVERAGE(R74:R77)</f>
        <v>86.543875</v>
      </c>
      <c r="S151" s="37"/>
      <c r="T151" s="37"/>
      <c r="U151" s="37"/>
      <c r="V151" s="37"/>
      <c r="W151" s="37"/>
      <c r="X151" s="37"/>
      <c r="Y151" s="37">
        <f>AVERAGE(Y74:Y77)</f>
        <v>8.214745</v>
      </c>
      <c r="Z151" s="37"/>
      <c r="AA151" s="37"/>
      <c r="AB151" s="37"/>
      <c r="AC151" s="37"/>
      <c r="AD151" s="37"/>
      <c r="AE151" s="37"/>
      <c r="AF151" s="37">
        <f>AVERAGE(AF74:AF77)</f>
        <v>0.487016</v>
      </c>
      <c r="AG151" s="37"/>
      <c r="AH151" s="37"/>
      <c r="AI151" s="37"/>
      <c r="AJ151" s="37"/>
      <c r="AK151" s="37"/>
      <c r="AL151" s="37"/>
      <c r="AM151" s="37">
        <f>AVERAGE(AM74:AM77)</f>
        <v>0.228729</v>
      </c>
      <c r="AN151" s="37"/>
      <c r="AO151" s="37"/>
      <c r="AP151" s="37"/>
      <c r="AQ151" s="37"/>
      <c r="AR151" s="37"/>
      <c r="AS151" s="37"/>
      <c r="AT151" s="37"/>
      <c r="AU151" s="37">
        <f t="shared" ref="AU151:AW151" si="38">AVERAGE(AU74:AU77)</f>
        <v>535.651</v>
      </c>
      <c r="AV151" s="37">
        <f t="shared" si="38"/>
        <v>19141.45</v>
      </c>
      <c r="AW151" s="37">
        <f t="shared" si="38"/>
        <v>0.12744</v>
      </c>
      <c r="AX151" s="37"/>
      <c r="AY151" s="37"/>
      <c r="AZ151" s="37"/>
      <c r="BA151" s="37"/>
      <c r="BB151" s="37"/>
      <c r="BC151" s="37"/>
      <c r="BD151" s="37">
        <f>AVERAGE(BD74:BD77)</f>
        <v>35.902375</v>
      </c>
      <c r="BE151" s="37"/>
      <c r="BF151" s="37"/>
      <c r="BG151" s="37"/>
      <c r="BH151" s="37"/>
      <c r="BI151" s="37"/>
      <c r="BJ151" s="37"/>
      <c r="BK151" s="37"/>
      <c r="BL151" s="37"/>
    </row>
    <row r="152" ht="15.75" customHeight="1">
      <c r="A152" s="35" t="s">
        <v>113</v>
      </c>
      <c r="B152" s="35" t="s">
        <v>62</v>
      </c>
      <c r="C152" s="37">
        <f>AVERAGE(C78:C81)</f>
        <v>37804.325</v>
      </c>
      <c r="D152" s="37"/>
      <c r="E152" s="37"/>
      <c r="F152" s="37"/>
      <c r="G152" s="37"/>
      <c r="H152" s="37"/>
      <c r="I152" s="37"/>
      <c r="J152" s="37">
        <f t="shared" ref="J152:K152" si="39">AVERAGE(J78:J81)</f>
        <v>20146750</v>
      </c>
      <c r="K152" s="37">
        <f t="shared" si="39"/>
        <v>0.21970875</v>
      </c>
      <c r="L152" s="37"/>
      <c r="M152" s="37"/>
      <c r="N152" s="37"/>
      <c r="O152" s="37"/>
      <c r="P152" s="37"/>
      <c r="Q152" s="37"/>
      <c r="R152" s="37">
        <f>AVERAGE(R78:R81)</f>
        <v>85.769675</v>
      </c>
      <c r="S152" s="37"/>
      <c r="T152" s="37"/>
      <c r="U152" s="37"/>
      <c r="V152" s="37"/>
      <c r="W152" s="37"/>
      <c r="X152" s="37"/>
      <c r="Y152" s="37">
        <f>AVERAGE(Y78:Y81)</f>
        <v>9.3512475</v>
      </c>
      <c r="Z152" s="37"/>
      <c r="AA152" s="37"/>
      <c r="AB152" s="37"/>
      <c r="AC152" s="37"/>
      <c r="AD152" s="37"/>
      <c r="AE152" s="37"/>
      <c r="AF152" s="37">
        <f>AVERAGE(AF78:AF81)</f>
        <v>0.4643345</v>
      </c>
      <c r="AG152" s="37"/>
      <c r="AH152" s="37"/>
      <c r="AI152" s="37"/>
      <c r="AJ152" s="37"/>
      <c r="AK152" s="37"/>
      <c r="AL152" s="37"/>
      <c r="AM152" s="37">
        <f>AVERAGE(AM78:AM81)</f>
        <v>0.23558725</v>
      </c>
      <c r="AN152" s="37"/>
      <c r="AO152" s="37"/>
      <c r="AP152" s="37"/>
      <c r="AQ152" s="37"/>
      <c r="AR152" s="37"/>
      <c r="AS152" s="37"/>
      <c r="AT152" s="37"/>
      <c r="AU152" s="37">
        <f t="shared" ref="AU152:AW152" si="40">AVERAGE(AU78:AU81)</f>
        <v>549.65725</v>
      </c>
      <c r="AV152" s="37">
        <f t="shared" si="40"/>
        <v>21537.65</v>
      </c>
      <c r="AW152" s="37">
        <f t="shared" si="40"/>
        <v>0.13981025</v>
      </c>
      <c r="AX152" s="37"/>
      <c r="AY152" s="37"/>
      <c r="AZ152" s="37"/>
      <c r="BA152" s="37"/>
      <c r="BB152" s="37"/>
      <c r="BC152" s="37"/>
      <c r="BD152" s="37">
        <f>AVERAGE(BD78:BD81)</f>
        <v>36.151775</v>
      </c>
      <c r="BE152" s="37"/>
      <c r="BF152" s="37"/>
      <c r="BG152" s="37"/>
      <c r="BH152" s="37"/>
      <c r="BI152" s="37"/>
      <c r="BJ152" s="37"/>
      <c r="BK152" s="37"/>
      <c r="BL152" s="37"/>
    </row>
    <row r="153" ht="15.75" customHeight="1">
      <c r="A153" s="35" t="s">
        <v>94</v>
      </c>
      <c r="B153" s="35" t="s">
        <v>64</v>
      </c>
      <c r="C153" s="37">
        <f>AVERAGE(C82:C85)</f>
        <v>35147.8</v>
      </c>
      <c r="D153" s="37"/>
      <c r="E153" s="37"/>
      <c r="F153" s="37"/>
      <c r="G153" s="37"/>
      <c r="H153" s="37"/>
      <c r="I153" s="37"/>
      <c r="J153" s="37">
        <f t="shared" ref="J153:K153" si="41">AVERAGE(J82:J85)</f>
        <v>20194475</v>
      </c>
      <c r="K153" s="37">
        <f t="shared" si="41"/>
        <v>0.20597975</v>
      </c>
      <c r="L153" s="37"/>
      <c r="M153" s="37"/>
      <c r="N153" s="37"/>
      <c r="O153" s="37"/>
      <c r="P153" s="37"/>
      <c r="Q153" s="37"/>
      <c r="R153" s="37">
        <f>AVERAGE(R82:R85)</f>
        <v>82.84455</v>
      </c>
      <c r="S153" s="37"/>
      <c r="T153" s="37"/>
      <c r="U153" s="37"/>
      <c r="V153" s="37"/>
      <c r="W153" s="37"/>
      <c r="X153" s="37"/>
      <c r="Y153" s="37">
        <f>AVERAGE(Y82:Y85)</f>
        <v>9.9586425</v>
      </c>
      <c r="Z153" s="37"/>
      <c r="AA153" s="37"/>
      <c r="AB153" s="37"/>
      <c r="AC153" s="37"/>
      <c r="AD153" s="37"/>
      <c r="AE153" s="37"/>
      <c r="AF153" s="37">
        <f>AVERAGE(AF82:AF85)</f>
        <v>0.41381425</v>
      </c>
      <c r="AG153" s="37"/>
      <c r="AH153" s="37"/>
      <c r="AI153" s="37"/>
      <c r="AJ153" s="37"/>
      <c r="AK153" s="37"/>
      <c r="AL153" s="37"/>
      <c r="AM153" s="37">
        <f>AVERAGE(AM82:AM85)</f>
        <v>0.242882</v>
      </c>
      <c r="AN153" s="37"/>
      <c r="AO153" s="37"/>
      <c r="AP153" s="37"/>
      <c r="AQ153" s="37"/>
      <c r="AR153" s="37"/>
      <c r="AS153" s="37"/>
      <c r="AT153" s="37"/>
      <c r="AU153" s="37">
        <f t="shared" ref="AU153:AW153" si="42">AVERAGE(AU82:AU85)</f>
        <v>585.172</v>
      </c>
      <c r="AV153" s="37">
        <f t="shared" si="42"/>
        <v>18606.575</v>
      </c>
      <c r="AW153" s="37">
        <f t="shared" si="42"/>
        <v>0.1593915</v>
      </c>
      <c r="AX153" s="37"/>
      <c r="AY153" s="37"/>
      <c r="AZ153" s="37"/>
      <c r="BA153" s="37"/>
      <c r="BB153" s="37"/>
      <c r="BC153" s="37"/>
      <c r="BD153" s="37">
        <f>AVERAGE(BD82:BD85)</f>
        <v>35.667475</v>
      </c>
      <c r="BE153" s="37"/>
      <c r="BF153" s="37"/>
      <c r="BG153" s="37"/>
      <c r="BH153" s="37"/>
      <c r="BI153" s="37"/>
      <c r="BJ153" s="37"/>
      <c r="BK153" s="37"/>
      <c r="BL153" s="37"/>
    </row>
    <row r="154" ht="15.75" customHeight="1">
      <c r="A154" s="35" t="s">
        <v>111</v>
      </c>
      <c r="B154" s="35" t="s">
        <v>64</v>
      </c>
      <c r="C154" s="37">
        <f>AVERAGE(C86:C89)</f>
        <v>38906.75</v>
      </c>
      <c r="D154" s="37"/>
      <c r="E154" s="37"/>
      <c r="F154" s="37"/>
      <c r="G154" s="37"/>
      <c r="H154" s="37"/>
      <c r="I154" s="37"/>
      <c r="J154" s="37">
        <f t="shared" ref="J154:K154" si="43">AVERAGE(J86:J89)</f>
        <v>22044075</v>
      </c>
      <c r="K154" s="37">
        <f t="shared" si="43"/>
        <v>0.2141895</v>
      </c>
      <c r="L154" s="37"/>
      <c r="M154" s="37"/>
      <c r="N154" s="37"/>
      <c r="O154" s="37"/>
      <c r="P154" s="37"/>
      <c r="Q154" s="37"/>
      <c r="R154" s="37">
        <f>AVERAGE(R86:R89)</f>
        <v>83.378275</v>
      </c>
      <c r="S154" s="37"/>
      <c r="T154" s="37"/>
      <c r="U154" s="37"/>
      <c r="V154" s="37"/>
      <c r="W154" s="37"/>
      <c r="X154" s="37"/>
      <c r="Y154" s="37">
        <f>AVERAGE(Y86:Y89)</f>
        <v>9.7297675</v>
      </c>
      <c r="Z154" s="37"/>
      <c r="AA154" s="37"/>
      <c r="AB154" s="37"/>
      <c r="AC154" s="37"/>
      <c r="AD154" s="37"/>
      <c r="AE154" s="37"/>
      <c r="AF154" s="37">
        <f>AVERAGE(AF86:AF89)</f>
        <v>0.43424075</v>
      </c>
      <c r="AG154" s="37"/>
      <c r="AH154" s="37"/>
      <c r="AI154" s="37"/>
      <c r="AJ154" s="37"/>
      <c r="AK154" s="37"/>
      <c r="AL154" s="37"/>
      <c r="AM154" s="37">
        <f>AVERAGE(AM86:AM89)</f>
        <v>0.2502195</v>
      </c>
      <c r="AN154" s="37"/>
      <c r="AO154" s="37"/>
      <c r="AP154" s="37"/>
      <c r="AQ154" s="37"/>
      <c r="AR154" s="37"/>
      <c r="AS154" s="37"/>
      <c r="AT154" s="37"/>
      <c r="AU154" s="37">
        <f t="shared" ref="AU154:AW154" si="44">AVERAGE(AU86:AU89)</f>
        <v>586.833</v>
      </c>
      <c r="AV154" s="37">
        <f t="shared" si="44"/>
        <v>20879.15</v>
      </c>
      <c r="AW154" s="37">
        <f t="shared" si="44"/>
        <v>0.15862625</v>
      </c>
      <c r="AX154" s="37"/>
      <c r="AY154" s="37"/>
      <c r="AZ154" s="37"/>
      <c r="BA154" s="37"/>
      <c r="BB154" s="37"/>
      <c r="BC154" s="37"/>
      <c r="BD154" s="37">
        <f>AVERAGE(BD86:BD89)</f>
        <v>36.597075</v>
      </c>
      <c r="BE154" s="37"/>
      <c r="BF154" s="37"/>
      <c r="BG154" s="37"/>
      <c r="BH154" s="37"/>
      <c r="BI154" s="37"/>
      <c r="BJ154" s="37"/>
      <c r="BK154" s="37"/>
      <c r="BL154" s="37"/>
    </row>
    <row r="155" ht="15.75" customHeight="1">
      <c r="A155" s="35" t="s">
        <v>112</v>
      </c>
      <c r="B155" s="35" t="s">
        <v>64</v>
      </c>
      <c r="C155" s="37">
        <f>AVERAGE(C90:C93)</f>
        <v>33673.05</v>
      </c>
      <c r="D155" s="37"/>
      <c r="E155" s="37"/>
      <c r="F155" s="37"/>
      <c r="G155" s="37"/>
      <c r="H155" s="37"/>
      <c r="I155" s="37"/>
      <c r="J155" s="37">
        <f t="shared" ref="J155:K155" si="45">AVERAGE(J90:J93)</f>
        <v>18608475</v>
      </c>
      <c r="K155" s="37">
        <f t="shared" si="45"/>
        <v>0.21666625</v>
      </c>
      <c r="L155" s="37"/>
      <c r="M155" s="37"/>
      <c r="N155" s="37"/>
      <c r="O155" s="37"/>
      <c r="P155" s="37"/>
      <c r="Q155" s="37"/>
      <c r="R155" s="37">
        <f>AVERAGE(R90:R93)</f>
        <v>86.154725</v>
      </c>
      <c r="S155" s="37"/>
      <c r="T155" s="37"/>
      <c r="U155" s="37"/>
      <c r="V155" s="37"/>
      <c r="W155" s="37"/>
      <c r="X155" s="37"/>
      <c r="Y155" s="37">
        <f>AVERAGE(Y90:Y93)</f>
        <v>9.0043225</v>
      </c>
      <c r="Z155" s="37"/>
      <c r="AA155" s="37"/>
      <c r="AB155" s="37"/>
      <c r="AC155" s="37"/>
      <c r="AD155" s="37"/>
      <c r="AE155" s="37"/>
      <c r="AF155" s="37">
        <f>AVERAGE(AF90:AF93)</f>
        <v>0.46429675</v>
      </c>
      <c r="AG155" s="37"/>
      <c r="AH155" s="37"/>
      <c r="AI155" s="37"/>
      <c r="AJ155" s="37"/>
      <c r="AK155" s="37"/>
      <c r="AL155" s="37"/>
      <c r="AM155" s="37">
        <f>AVERAGE(AM90:AM93)</f>
        <v>0.2280275</v>
      </c>
      <c r="AN155" s="37"/>
      <c r="AO155" s="37"/>
      <c r="AP155" s="37"/>
      <c r="AQ155" s="37"/>
      <c r="AR155" s="37"/>
      <c r="AS155" s="37"/>
      <c r="AT155" s="37"/>
      <c r="AU155" s="37">
        <f t="shared" ref="AU155:AW155" si="46">AVERAGE(AU90:AU93)</f>
        <v>560.1445</v>
      </c>
      <c r="AV155" s="37">
        <f t="shared" si="46"/>
        <v>19497.775</v>
      </c>
      <c r="AW155" s="37">
        <f t="shared" si="46"/>
        <v>0.136269</v>
      </c>
      <c r="AX155" s="37"/>
      <c r="AY155" s="37"/>
      <c r="AZ155" s="37"/>
      <c r="BA155" s="37"/>
      <c r="BB155" s="37"/>
      <c r="BC155" s="37"/>
      <c r="BD155" s="37">
        <f>AVERAGE(BD90:BD93)</f>
        <v>35.532525</v>
      </c>
      <c r="BE155" s="37"/>
      <c r="BF155" s="37"/>
      <c r="BG155" s="37"/>
      <c r="BH155" s="37"/>
      <c r="BI155" s="37"/>
      <c r="BJ155" s="37"/>
      <c r="BK155" s="37"/>
      <c r="BL155" s="37"/>
    </row>
    <row r="156" ht="15.75" customHeight="1">
      <c r="A156" s="35" t="s">
        <v>113</v>
      </c>
      <c r="B156" s="35" t="s">
        <v>64</v>
      </c>
      <c r="C156" s="37">
        <f>AVERAGE(C94:C97)</f>
        <v>37476.625</v>
      </c>
      <c r="D156" s="37"/>
      <c r="E156" s="37"/>
      <c r="F156" s="37"/>
      <c r="G156" s="37"/>
      <c r="H156" s="37"/>
      <c r="I156" s="37"/>
      <c r="J156" s="37">
        <f t="shared" ref="J156:K156" si="47">AVERAGE(J94:J97)</f>
        <v>21189550</v>
      </c>
      <c r="K156" s="37">
        <f t="shared" si="47"/>
        <v>0.22009225</v>
      </c>
      <c r="L156" s="37"/>
      <c r="M156" s="37"/>
      <c r="N156" s="37"/>
      <c r="O156" s="37"/>
      <c r="P156" s="37"/>
      <c r="Q156" s="37"/>
      <c r="R156" s="37">
        <f>AVERAGE(R94:R97)</f>
        <v>85.60595</v>
      </c>
      <c r="S156" s="37"/>
      <c r="T156" s="37"/>
      <c r="U156" s="37"/>
      <c r="V156" s="37"/>
      <c r="W156" s="37"/>
      <c r="X156" s="37"/>
      <c r="Y156" s="37">
        <f>AVERAGE(Y94:Y97)</f>
        <v>9.536405</v>
      </c>
      <c r="Z156" s="37"/>
      <c r="AA156" s="37"/>
      <c r="AB156" s="37"/>
      <c r="AC156" s="37"/>
      <c r="AD156" s="37"/>
      <c r="AE156" s="37"/>
      <c r="AF156" s="37">
        <f>AVERAGE(AF94:AF97)</f>
        <v>0.454645</v>
      </c>
      <c r="AG156" s="37"/>
      <c r="AH156" s="37"/>
      <c r="AI156" s="37"/>
      <c r="AJ156" s="37"/>
      <c r="AK156" s="37"/>
      <c r="AL156" s="37"/>
      <c r="AM156" s="37">
        <f>AVERAGE(AM94:AM97)</f>
        <v>0.23468675</v>
      </c>
      <c r="AN156" s="37"/>
      <c r="AO156" s="37"/>
      <c r="AP156" s="37"/>
      <c r="AQ156" s="37"/>
      <c r="AR156" s="37"/>
      <c r="AS156" s="37"/>
      <c r="AT156" s="37"/>
      <c r="AU156" s="37">
        <f t="shared" ref="AU156:AW156" si="48">AVERAGE(AU94:AU97)</f>
        <v>576.727</v>
      </c>
      <c r="AV156" s="37">
        <f t="shared" si="48"/>
        <v>21075.95</v>
      </c>
      <c r="AW156" s="37">
        <f t="shared" si="48"/>
        <v>0.142271</v>
      </c>
      <c r="AX156" s="37"/>
      <c r="AY156" s="37"/>
      <c r="AZ156" s="37"/>
      <c r="BA156" s="37"/>
      <c r="BB156" s="37"/>
      <c r="BC156" s="37"/>
      <c r="BD156" s="37">
        <f>AVERAGE(BD94:BD97)</f>
        <v>35.96825</v>
      </c>
      <c r="BE156" s="37"/>
      <c r="BF156" s="37"/>
      <c r="BG156" s="37"/>
      <c r="BH156" s="37"/>
      <c r="BI156" s="37"/>
      <c r="BJ156" s="37"/>
      <c r="BK156" s="37"/>
      <c r="BL156" s="37"/>
    </row>
    <row r="157" ht="15.75" customHeight="1">
      <c r="A157" s="35" t="s">
        <v>94</v>
      </c>
      <c r="B157" s="35" t="s">
        <v>66</v>
      </c>
      <c r="C157" s="37">
        <f>AVERAGE(C98:C101)</f>
        <v>52724.5</v>
      </c>
      <c r="D157" s="37"/>
      <c r="E157" s="37"/>
      <c r="F157" s="37"/>
      <c r="G157" s="37"/>
      <c r="H157" s="37"/>
      <c r="I157" s="37"/>
      <c r="J157" s="37">
        <f t="shared" ref="J157:K157" si="49">AVERAGE(J98:J101)</f>
        <v>31585800</v>
      </c>
      <c r="K157" s="37">
        <f t="shared" si="49"/>
        <v>0.2320075</v>
      </c>
      <c r="L157" s="37"/>
      <c r="M157" s="37"/>
      <c r="N157" s="37"/>
      <c r="O157" s="37"/>
      <c r="P157" s="37"/>
      <c r="Q157" s="37"/>
      <c r="R157" s="37">
        <f>AVERAGE(R98:R101)</f>
        <v>86.4708</v>
      </c>
      <c r="S157" s="37"/>
      <c r="T157" s="37"/>
      <c r="U157" s="37"/>
      <c r="V157" s="37"/>
      <c r="W157" s="37"/>
      <c r="X157" s="37"/>
      <c r="Y157" s="37">
        <f>AVERAGE(Y98:Y101)</f>
        <v>9.716925</v>
      </c>
      <c r="Z157" s="37"/>
      <c r="AA157" s="37"/>
      <c r="AB157" s="37"/>
      <c r="AC157" s="37"/>
      <c r="AD157" s="37"/>
      <c r="AE157" s="37"/>
      <c r="AF157" s="37">
        <f>AVERAGE(AF98:AF101)</f>
        <v>0.45884</v>
      </c>
      <c r="AG157" s="37"/>
      <c r="AH157" s="37"/>
      <c r="AI157" s="37"/>
      <c r="AJ157" s="37"/>
      <c r="AK157" s="37"/>
      <c r="AL157" s="37"/>
      <c r="AM157" s="37">
        <f>AVERAGE(AM98:AM101)</f>
        <v>0.2372515</v>
      </c>
      <c r="AN157" s="37"/>
      <c r="AO157" s="37"/>
      <c r="AP157" s="37"/>
      <c r="AQ157" s="37"/>
      <c r="AR157" s="37"/>
      <c r="AS157" s="37"/>
      <c r="AT157" s="37"/>
      <c r="AU157" s="37">
        <f t="shared" ref="AU157:AW157" si="50">AVERAGE(AU98:AU101)</f>
        <v>623.95225</v>
      </c>
      <c r="AV157" s="37">
        <f t="shared" si="50"/>
        <v>29608.85</v>
      </c>
      <c r="AW157" s="37">
        <f t="shared" si="50"/>
        <v>0.142138</v>
      </c>
      <c r="AX157" s="37"/>
      <c r="AY157" s="37"/>
      <c r="AZ157" s="37"/>
      <c r="BA157" s="37"/>
      <c r="BB157" s="37"/>
      <c r="BC157" s="37"/>
      <c r="BD157" s="37">
        <f>AVERAGE(BD98:BD101)</f>
        <v>36.783325</v>
      </c>
      <c r="BE157" s="37"/>
      <c r="BF157" s="37"/>
      <c r="BG157" s="37"/>
      <c r="BH157" s="37"/>
      <c r="BI157" s="37"/>
      <c r="BJ157" s="37"/>
      <c r="BK157" s="37"/>
      <c r="BL157" s="37"/>
    </row>
    <row r="158" ht="15.75" customHeight="1">
      <c r="A158" s="35" t="s">
        <v>111</v>
      </c>
      <c r="B158" s="35" t="s">
        <v>66</v>
      </c>
      <c r="C158" s="37">
        <f>AVERAGE(C102:C105)</f>
        <v>49903.7</v>
      </c>
      <c r="D158" s="37"/>
      <c r="E158" s="37"/>
      <c r="F158" s="37"/>
      <c r="G158" s="37"/>
      <c r="H158" s="37"/>
      <c r="I158" s="37"/>
      <c r="J158" s="37">
        <f t="shared" ref="J158:K158" si="51">AVERAGE(J102:J105)</f>
        <v>28966975</v>
      </c>
      <c r="K158" s="37">
        <f t="shared" si="51"/>
        <v>0.2252865</v>
      </c>
      <c r="L158" s="37"/>
      <c r="M158" s="37"/>
      <c r="N158" s="37"/>
      <c r="O158" s="37"/>
      <c r="P158" s="37"/>
      <c r="Q158" s="37"/>
      <c r="R158" s="37">
        <f>AVERAGE(R102:R105)</f>
        <v>87.3986</v>
      </c>
      <c r="S158" s="37"/>
      <c r="T158" s="37"/>
      <c r="U158" s="37"/>
      <c r="V158" s="37"/>
      <c r="W158" s="37"/>
      <c r="X158" s="37"/>
      <c r="Y158" s="37">
        <f>AVERAGE(Y102:Y105)</f>
        <v>9.3966325</v>
      </c>
      <c r="Z158" s="37"/>
      <c r="AA158" s="37"/>
      <c r="AB158" s="37"/>
      <c r="AC158" s="37"/>
      <c r="AD158" s="37"/>
      <c r="AE158" s="37"/>
      <c r="AF158" s="37">
        <f>AVERAGE(AF102:AF105)</f>
        <v>0.46874625</v>
      </c>
      <c r="AG158" s="37"/>
      <c r="AH158" s="37"/>
      <c r="AI158" s="37"/>
      <c r="AJ158" s="37"/>
      <c r="AK158" s="37"/>
      <c r="AL158" s="37"/>
      <c r="AM158" s="37">
        <f>AVERAGE(AM102:AM105)</f>
        <v>0.22238875</v>
      </c>
      <c r="AN158" s="37"/>
      <c r="AO158" s="37"/>
      <c r="AP158" s="37"/>
      <c r="AQ158" s="37"/>
      <c r="AR158" s="37"/>
      <c r="AS158" s="37"/>
      <c r="AT158" s="37"/>
      <c r="AU158" s="37">
        <f t="shared" ref="AU158:AW158" si="52">AVERAGE(AU102:AU105)</f>
        <v>606.94575</v>
      </c>
      <c r="AV158" s="37">
        <f t="shared" si="52"/>
        <v>28758.275</v>
      </c>
      <c r="AW158" s="37">
        <f t="shared" si="52"/>
        <v>0.13158875</v>
      </c>
      <c r="AX158" s="37"/>
      <c r="AY158" s="37"/>
      <c r="AZ158" s="37"/>
      <c r="BA158" s="37"/>
      <c r="BB158" s="37"/>
      <c r="BC158" s="37"/>
      <c r="BD158" s="37">
        <f>AVERAGE(BD102:BD105)</f>
        <v>35.5936</v>
      </c>
      <c r="BE158" s="37"/>
      <c r="BF158" s="37"/>
      <c r="BG158" s="37"/>
      <c r="BH158" s="37"/>
      <c r="BI158" s="37"/>
      <c r="BJ158" s="37"/>
      <c r="BK158" s="37"/>
      <c r="BL158" s="37"/>
    </row>
    <row r="159" ht="15.75" customHeight="1">
      <c r="A159" s="35" t="s">
        <v>112</v>
      </c>
      <c r="B159" s="35" t="s">
        <v>66</v>
      </c>
      <c r="C159" s="37">
        <f>AVERAGE(C106:C109)</f>
        <v>53601.675</v>
      </c>
      <c r="D159" s="37"/>
      <c r="E159" s="37"/>
      <c r="F159" s="37"/>
      <c r="G159" s="37"/>
      <c r="H159" s="37"/>
      <c r="I159" s="37"/>
      <c r="J159" s="37">
        <f t="shared" ref="J159:K159" si="53">AVERAGE(J106:J109)</f>
        <v>32022350</v>
      </c>
      <c r="K159" s="37">
        <f t="shared" si="53"/>
        <v>0.22338</v>
      </c>
      <c r="L159" s="37"/>
      <c r="M159" s="37"/>
      <c r="N159" s="37"/>
      <c r="O159" s="37"/>
      <c r="P159" s="37"/>
      <c r="Q159" s="37"/>
      <c r="R159" s="37">
        <f>AVERAGE(R106:R109)</f>
        <v>86.40055</v>
      </c>
      <c r="S159" s="37"/>
      <c r="T159" s="37"/>
      <c r="U159" s="37"/>
      <c r="V159" s="37"/>
      <c r="W159" s="37"/>
      <c r="X159" s="37"/>
      <c r="Y159" s="37">
        <f>AVERAGE(Y106:Y109)</f>
        <v>9.93843</v>
      </c>
      <c r="Z159" s="37"/>
      <c r="AA159" s="37"/>
      <c r="AB159" s="37"/>
      <c r="AC159" s="37"/>
      <c r="AD159" s="37"/>
      <c r="AE159" s="37"/>
      <c r="AF159" s="37">
        <f>AVERAGE(AF106:AF109)</f>
        <v>0.442936</v>
      </c>
      <c r="AG159" s="37"/>
      <c r="AH159" s="37"/>
      <c r="AI159" s="37"/>
      <c r="AJ159" s="37"/>
      <c r="AK159" s="37"/>
      <c r="AL159" s="37"/>
      <c r="AM159" s="37">
        <f>AVERAGE(AM106:AM109)</f>
        <v>0.228562</v>
      </c>
      <c r="AN159" s="37"/>
      <c r="AO159" s="37"/>
      <c r="AP159" s="37"/>
      <c r="AQ159" s="37"/>
      <c r="AR159" s="37"/>
      <c r="AS159" s="37"/>
      <c r="AT159" s="37"/>
      <c r="AU159" s="37">
        <f t="shared" ref="AU159:AW159" si="54">AVERAGE(AU106:AU109)</f>
        <v>622.358</v>
      </c>
      <c r="AV159" s="37">
        <f t="shared" si="54"/>
        <v>29102.975</v>
      </c>
      <c r="AW159" s="37">
        <f t="shared" si="54"/>
        <v>0.1412295</v>
      </c>
      <c r="AX159" s="37"/>
      <c r="AY159" s="37"/>
      <c r="AZ159" s="37"/>
      <c r="BA159" s="37"/>
      <c r="BB159" s="37"/>
      <c r="BC159" s="37"/>
      <c r="BD159" s="37">
        <f>AVERAGE(BD106:BD109)</f>
        <v>35.646625</v>
      </c>
      <c r="BE159" s="37"/>
      <c r="BF159" s="37"/>
      <c r="BG159" s="37"/>
      <c r="BH159" s="37"/>
      <c r="BI159" s="37"/>
      <c r="BJ159" s="37"/>
      <c r="BK159" s="37"/>
      <c r="BL159" s="37"/>
    </row>
    <row r="160" ht="15.75" customHeight="1">
      <c r="A160" s="35" t="s">
        <v>113</v>
      </c>
      <c r="B160" s="35" t="s">
        <v>66</v>
      </c>
      <c r="C160" s="37">
        <f>AVERAGE(C110:C113)</f>
        <v>56315.55</v>
      </c>
      <c r="D160" s="37"/>
      <c r="E160" s="37"/>
      <c r="F160" s="37"/>
      <c r="G160" s="37"/>
      <c r="H160" s="37"/>
      <c r="I160" s="37"/>
      <c r="J160" s="37">
        <f t="shared" ref="J160:K160" si="55">AVERAGE(J110:J113)</f>
        <v>34639625</v>
      </c>
      <c r="K160" s="37">
        <f t="shared" si="55"/>
        <v>0.231748</v>
      </c>
      <c r="L160" s="37"/>
      <c r="M160" s="37"/>
      <c r="N160" s="37"/>
      <c r="O160" s="37"/>
      <c r="P160" s="37"/>
      <c r="Q160" s="37"/>
      <c r="R160" s="37">
        <f>AVERAGE(R110:R113)</f>
        <v>87.5925</v>
      </c>
      <c r="S160" s="37"/>
      <c r="T160" s="37"/>
      <c r="U160" s="37"/>
      <c r="V160" s="37"/>
      <c r="W160" s="37"/>
      <c r="X160" s="37"/>
      <c r="Y160" s="37">
        <f>AVERAGE(Y110:Y113)</f>
        <v>9.67099</v>
      </c>
      <c r="Z160" s="37"/>
      <c r="AA160" s="37"/>
      <c r="AB160" s="37"/>
      <c r="AC160" s="37"/>
      <c r="AD160" s="37"/>
      <c r="AE160" s="37"/>
      <c r="AF160" s="37">
        <f>AVERAGE(AF110:AF113)</f>
        <v>0.46397925</v>
      </c>
      <c r="AG160" s="37"/>
      <c r="AH160" s="37"/>
      <c r="AI160" s="37"/>
      <c r="AJ160" s="37"/>
      <c r="AK160" s="37"/>
      <c r="AL160" s="37"/>
      <c r="AM160" s="37">
        <f>AVERAGE(AM110:AM113)</f>
        <v>0.22791825</v>
      </c>
      <c r="AN160" s="37"/>
      <c r="AO160" s="37"/>
      <c r="AP160" s="37"/>
      <c r="AQ160" s="37"/>
      <c r="AR160" s="37"/>
      <c r="AS160" s="37"/>
      <c r="AT160" s="37"/>
      <c r="AU160" s="37">
        <f t="shared" ref="AU160:AW160" si="56">AVERAGE(AU110:AU113)</f>
        <v>641.035</v>
      </c>
      <c r="AV160" s="37">
        <f t="shared" si="56"/>
        <v>31058.975</v>
      </c>
      <c r="AW160" s="37">
        <f t="shared" si="56"/>
        <v>0.13424625</v>
      </c>
      <c r="AX160" s="37"/>
      <c r="AY160" s="37"/>
      <c r="AZ160" s="37"/>
      <c r="BA160" s="37"/>
      <c r="BB160" s="37"/>
      <c r="BC160" s="37"/>
      <c r="BD160" s="37">
        <f>AVERAGE(BD110:BD113)</f>
        <v>36.339725</v>
      </c>
      <c r="BE160" s="37"/>
      <c r="BF160" s="37"/>
      <c r="BG160" s="37"/>
      <c r="BH160" s="37"/>
      <c r="BI160" s="37"/>
      <c r="BJ160" s="37"/>
      <c r="BK160" s="37"/>
      <c r="BL160" s="37"/>
    </row>
    <row r="161" ht="15.75" customHeight="1">
      <c r="A161" s="35" t="s">
        <v>94</v>
      </c>
      <c r="B161" s="35" t="s">
        <v>67</v>
      </c>
      <c r="C161" s="37">
        <f>AVERAGE(C114:C117)</f>
        <v>39055.275</v>
      </c>
      <c r="D161" s="37"/>
      <c r="E161" s="37"/>
      <c r="F161" s="37"/>
      <c r="G161" s="37"/>
      <c r="H161" s="37"/>
      <c r="I161" s="37"/>
      <c r="J161" s="37">
        <f t="shared" ref="J161:K161" si="57">AVERAGE(J114:J117)</f>
        <v>21953775</v>
      </c>
      <c r="K161" s="37">
        <f t="shared" si="57"/>
        <v>0.2121105</v>
      </c>
      <c r="L161" s="37"/>
      <c r="M161" s="37"/>
      <c r="N161" s="37"/>
      <c r="O161" s="37"/>
      <c r="P161" s="37"/>
      <c r="Q161" s="37"/>
      <c r="R161" s="37">
        <f>AVERAGE(R114:R117)</f>
        <v>86.24925</v>
      </c>
      <c r="S161" s="37"/>
      <c r="T161" s="37"/>
      <c r="U161" s="37"/>
      <c r="V161" s="37"/>
      <c r="W161" s="37"/>
      <c r="X161" s="37"/>
      <c r="Y161" s="37">
        <f>AVERAGE(Y114:Y117)</f>
        <v>9.08418</v>
      </c>
      <c r="Z161" s="37"/>
      <c r="AA161" s="37"/>
      <c r="AB161" s="37"/>
      <c r="AC161" s="37"/>
      <c r="AD161" s="37"/>
      <c r="AE161" s="37"/>
      <c r="AF161" s="37">
        <f>AVERAGE(AF114:AF117)</f>
        <v>0.4524995</v>
      </c>
      <c r="AG161" s="37"/>
      <c r="AH161" s="37"/>
      <c r="AI161" s="37"/>
      <c r="AJ161" s="37"/>
      <c r="AK161" s="37"/>
      <c r="AL161" s="37"/>
      <c r="AM161" s="37">
        <f>AVERAGE(AM114:AM117)</f>
        <v>0.21458775</v>
      </c>
      <c r="AN161" s="37"/>
      <c r="AO161" s="37"/>
      <c r="AP161" s="37"/>
      <c r="AQ161" s="37"/>
      <c r="AR161" s="37"/>
      <c r="AS161" s="37"/>
      <c r="AT161" s="37"/>
      <c r="AU161" s="37">
        <f t="shared" ref="AU161:AW161" si="58">AVERAGE(AU114:AU117)</f>
        <v>582.15</v>
      </c>
      <c r="AV161" s="37">
        <f t="shared" si="58"/>
        <v>21402.6</v>
      </c>
      <c r="AW161" s="37">
        <f t="shared" si="58"/>
        <v>0.13407725</v>
      </c>
      <c r="AX161" s="37"/>
      <c r="AY161" s="37"/>
      <c r="AZ161" s="37"/>
      <c r="BA161" s="37"/>
      <c r="BB161" s="37"/>
      <c r="BC161" s="37"/>
      <c r="BD161" s="37">
        <f>AVERAGE(BD114:BD117)</f>
        <v>34.00955</v>
      </c>
      <c r="BE161" s="37"/>
      <c r="BF161" s="37"/>
      <c r="BG161" s="37"/>
      <c r="BH161" s="37"/>
      <c r="BI161" s="37"/>
      <c r="BJ161" s="37"/>
      <c r="BK161" s="37"/>
      <c r="BL161" s="37"/>
    </row>
    <row r="162" ht="15.75" customHeight="1">
      <c r="A162" s="35" t="s">
        <v>111</v>
      </c>
      <c r="B162" s="35" t="s">
        <v>67</v>
      </c>
      <c r="C162" s="37">
        <f>AVERAGE(C118:C121)</f>
        <v>39631.45</v>
      </c>
      <c r="D162" s="37"/>
      <c r="E162" s="37"/>
      <c r="F162" s="37"/>
      <c r="G162" s="37"/>
      <c r="H162" s="37"/>
      <c r="I162" s="37"/>
      <c r="J162" s="37">
        <f t="shared" ref="J162:K162" si="59">AVERAGE(J118:J121)</f>
        <v>21126375</v>
      </c>
      <c r="K162" s="37">
        <f t="shared" si="59"/>
        <v>0.20367625</v>
      </c>
      <c r="L162" s="37"/>
      <c r="M162" s="37"/>
      <c r="N162" s="37"/>
      <c r="O162" s="37"/>
      <c r="P162" s="37"/>
      <c r="Q162" s="37"/>
      <c r="R162" s="37">
        <f>AVERAGE(R118:R121)</f>
        <v>82.795575</v>
      </c>
      <c r="S162" s="37"/>
      <c r="T162" s="37"/>
      <c r="U162" s="37"/>
      <c r="V162" s="37"/>
      <c r="W162" s="37"/>
      <c r="X162" s="37"/>
      <c r="Y162" s="37">
        <f>AVERAGE(Y118:Y121)</f>
        <v>10.5555325</v>
      </c>
      <c r="Z162" s="37"/>
      <c r="AA162" s="37"/>
      <c r="AB162" s="37"/>
      <c r="AC162" s="37"/>
      <c r="AD162" s="37"/>
      <c r="AE162" s="37"/>
      <c r="AF162" s="37">
        <f>AVERAGE(AF118:AF121)</f>
        <v>0.4049985</v>
      </c>
      <c r="AG162" s="37"/>
      <c r="AH162" s="37"/>
      <c r="AI162" s="37"/>
      <c r="AJ162" s="37"/>
      <c r="AK162" s="37"/>
      <c r="AL162" s="37"/>
      <c r="AM162" s="37">
        <f>AVERAGE(AM118:AM121)</f>
        <v>0.2357335</v>
      </c>
      <c r="AN162" s="37"/>
      <c r="AO162" s="37"/>
      <c r="AP162" s="37"/>
      <c r="AQ162" s="37"/>
      <c r="AR162" s="37"/>
      <c r="AS162" s="37"/>
      <c r="AT162" s="37"/>
      <c r="AU162" s="37">
        <f t="shared" ref="AU162:AW162" si="60">AVERAGE(AU118:AU121)</f>
        <v>545.725</v>
      </c>
      <c r="AV162" s="37">
        <f t="shared" si="60"/>
        <v>21197.1</v>
      </c>
      <c r="AW162" s="37">
        <f t="shared" si="60"/>
        <v>0.159204</v>
      </c>
      <c r="AX162" s="37"/>
      <c r="AY162" s="37"/>
      <c r="AZ162" s="37"/>
      <c r="BA162" s="37"/>
      <c r="BB162" s="37"/>
      <c r="BC162" s="37"/>
      <c r="BD162" s="37">
        <f>AVERAGE(BD118:BD121)</f>
        <v>34.4774</v>
      </c>
      <c r="BE162" s="37"/>
      <c r="BF162" s="37"/>
      <c r="BG162" s="37"/>
      <c r="BH162" s="37"/>
      <c r="BI162" s="37"/>
      <c r="BJ162" s="37"/>
      <c r="BK162" s="37"/>
      <c r="BL162" s="37"/>
    </row>
    <row r="163" ht="15.75" customHeight="1">
      <c r="A163" s="35" t="s">
        <v>112</v>
      </c>
      <c r="B163" s="35" t="s">
        <v>67</v>
      </c>
      <c r="C163" s="37">
        <f>AVERAGE(C122:C125)</f>
        <v>42350.15</v>
      </c>
      <c r="D163" s="37"/>
      <c r="E163" s="37"/>
      <c r="F163" s="37"/>
      <c r="G163" s="37"/>
      <c r="H163" s="37"/>
      <c r="I163" s="37"/>
      <c r="J163" s="37">
        <f t="shared" ref="J163:K163" si="61">AVERAGE(J122:J125)</f>
        <v>23927575</v>
      </c>
      <c r="K163" s="37">
        <f t="shared" si="61"/>
        <v>0.21865475</v>
      </c>
      <c r="L163" s="37"/>
      <c r="M163" s="37"/>
      <c r="N163" s="37"/>
      <c r="O163" s="37"/>
      <c r="P163" s="37"/>
      <c r="Q163" s="37"/>
      <c r="R163" s="37">
        <f>AVERAGE(R122:R125)</f>
        <v>85.336625</v>
      </c>
      <c r="S163" s="37"/>
      <c r="T163" s="37"/>
      <c r="U163" s="37"/>
      <c r="V163" s="37"/>
      <c r="W163" s="37"/>
      <c r="X163" s="37"/>
      <c r="Y163" s="37">
        <f>AVERAGE(Y122:Y125)</f>
        <v>9.56652</v>
      </c>
      <c r="Z163" s="37"/>
      <c r="AA163" s="37"/>
      <c r="AB163" s="37"/>
      <c r="AC163" s="37"/>
      <c r="AD163" s="37"/>
      <c r="AE163" s="37"/>
      <c r="AF163" s="37">
        <f>AVERAGE(AF122:AF125)</f>
        <v>0.4491515</v>
      </c>
      <c r="AG163" s="37"/>
      <c r="AH163" s="37"/>
      <c r="AI163" s="37"/>
      <c r="AJ163" s="37"/>
      <c r="AK163" s="37"/>
      <c r="AL163" s="37"/>
      <c r="AM163" s="37">
        <f>AVERAGE(AM122:AM125)</f>
        <v>0.2347765</v>
      </c>
      <c r="AN163" s="37"/>
      <c r="AO163" s="37"/>
      <c r="AP163" s="37"/>
      <c r="AQ163" s="37"/>
      <c r="AR163" s="37"/>
      <c r="AS163" s="37"/>
      <c r="AT163" s="37"/>
      <c r="AU163" s="37">
        <f t="shared" ref="AU163:AW163" si="62">AVERAGE(AU122:AU125)</f>
        <v>578.2435</v>
      </c>
      <c r="AV163" s="37">
        <f t="shared" si="62"/>
        <v>23717</v>
      </c>
      <c r="AW163" s="37">
        <f t="shared" si="62"/>
        <v>0.1458305</v>
      </c>
      <c r="AX163" s="37"/>
      <c r="AY163" s="37"/>
      <c r="AZ163" s="37"/>
      <c r="BA163" s="37"/>
      <c r="BB163" s="37"/>
      <c r="BC163" s="37"/>
      <c r="BD163" s="37">
        <f>AVERAGE(BD122:BD125)</f>
        <v>35.8255</v>
      </c>
      <c r="BE163" s="37"/>
      <c r="BF163" s="37"/>
      <c r="BG163" s="37"/>
      <c r="BH163" s="37"/>
      <c r="BI163" s="37"/>
      <c r="BJ163" s="37"/>
      <c r="BK163" s="37"/>
      <c r="BL163" s="37"/>
    </row>
    <row r="164" ht="15.75" customHeight="1">
      <c r="A164" s="35" t="s">
        <v>113</v>
      </c>
      <c r="B164" s="35" t="s">
        <v>67</v>
      </c>
      <c r="C164" s="37">
        <f>AVERAGE(C126:C129)</f>
        <v>43843.775</v>
      </c>
      <c r="D164" s="37"/>
      <c r="E164" s="37"/>
      <c r="F164" s="37"/>
      <c r="G164" s="37"/>
      <c r="H164" s="37"/>
      <c r="I164" s="37"/>
      <c r="J164" s="37">
        <f t="shared" ref="J164:K164" si="63">AVERAGE(J126:J129)</f>
        <v>27009600</v>
      </c>
      <c r="K164" s="37">
        <f t="shared" si="63"/>
        <v>0.2182205</v>
      </c>
      <c r="L164" s="37"/>
      <c r="M164" s="37"/>
      <c r="N164" s="37"/>
      <c r="O164" s="37"/>
      <c r="P164" s="37"/>
      <c r="Q164" s="37"/>
      <c r="R164" s="37">
        <f>AVERAGE(R126:R129)</f>
        <v>85.29655</v>
      </c>
      <c r="S164" s="37"/>
      <c r="T164" s="37"/>
      <c r="U164" s="37"/>
      <c r="V164" s="37"/>
      <c r="W164" s="37"/>
      <c r="X164" s="37"/>
      <c r="Y164" s="37">
        <f>AVERAGE(Y126:Y129)</f>
        <v>9.42823</v>
      </c>
      <c r="Z164" s="37"/>
      <c r="AA164" s="37"/>
      <c r="AB164" s="37"/>
      <c r="AC164" s="37"/>
      <c r="AD164" s="37"/>
      <c r="AE164" s="37"/>
      <c r="AF164" s="37">
        <f>AVERAGE(AF126:AF129)</f>
        <v>0.444956</v>
      </c>
      <c r="AG164" s="37"/>
      <c r="AH164" s="37"/>
      <c r="AI164" s="37"/>
      <c r="AJ164" s="37"/>
      <c r="AK164" s="37"/>
      <c r="AL164" s="37"/>
      <c r="AM164" s="37">
        <f>AVERAGE(AM126:AM129)</f>
        <v>0.23176275</v>
      </c>
      <c r="AN164" s="37"/>
      <c r="AO164" s="37"/>
      <c r="AP164" s="37"/>
      <c r="AQ164" s="37"/>
      <c r="AR164" s="37"/>
      <c r="AS164" s="37"/>
      <c r="AT164" s="37"/>
      <c r="AU164" s="37">
        <f t="shared" ref="AU164:AW164" si="64">AVERAGE(AU126:AU129)</f>
        <v>645.258</v>
      </c>
      <c r="AV164" s="37">
        <f t="shared" si="64"/>
        <v>24027.6</v>
      </c>
      <c r="AW164" s="37">
        <f t="shared" si="64"/>
        <v>0.1441675</v>
      </c>
      <c r="AX164" s="37"/>
      <c r="AY164" s="37"/>
      <c r="AZ164" s="37"/>
      <c r="BA164" s="37"/>
      <c r="BB164" s="37"/>
      <c r="BC164" s="37"/>
      <c r="BD164" s="37">
        <f>AVERAGE(BD126:BD129)</f>
        <v>35.466425</v>
      </c>
      <c r="BE164" s="37"/>
      <c r="BF164" s="37"/>
      <c r="BG164" s="37"/>
      <c r="BH164" s="37"/>
      <c r="BI164" s="37"/>
      <c r="BJ164" s="37"/>
      <c r="BK164" s="37"/>
      <c r="BL164" s="37"/>
    </row>
    <row r="165" ht="15.75" customHeight="1">
      <c r="A165" s="35"/>
      <c r="B165" s="35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</row>
    <row r="166" ht="15.75" customHeight="1">
      <c r="A166" s="35"/>
      <c r="B166" s="35" t="s">
        <v>53</v>
      </c>
      <c r="C166" s="37">
        <f>(AVERAGE(C133:C136))</f>
        <v>6298.260625</v>
      </c>
      <c r="D166" s="37"/>
      <c r="E166" s="37"/>
      <c r="F166" s="37"/>
      <c r="G166" s="37"/>
      <c r="H166" s="37"/>
      <c r="I166" s="37"/>
      <c r="J166" s="37">
        <f t="shared" ref="J166:K166" si="65">(AVERAGE(J133:J136))</f>
        <v>1930323.75</v>
      </c>
      <c r="K166" s="37">
        <f t="shared" si="65"/>
        <v>0.167466875</v>
      </c>
      <c r="L166" s="37"/>
      <c r="M166" s="37"/>
      <c r="N166" s="37"/>
      <c r="O166" s="37"/>
      <c r="P166" s="37"/>
      <c r="Q166" s="37"/>
      <c r="R166" s="37">
        <f>(AVERAGE(R133:R136))</f>
        <v>63.6921</v>
      </c>
      <c r="S166" s="37"/>
      <c r="T166" s="37"/>
      <c r="U166" s="37"/>
      <c r="V166" s="37"/>
      <c r="W166" s="37"/>
      <c r="X166" s="37"/>
      <c r="Y166" s="37">
        <f>(AVERAGE(Y133:Y136))</f>
        <v>13.17524375</v>
      </c>
      <c r="Z166" s="37"/>
      <c r="AA166" s="37"/>
      <c r="AB166" s="37"/>
      <c r="AC166" s="37"/>
      <c r="AD166" s="37"/>
      <c r="AE166" s="37"/>
      <c r="AF166" s="37">
        <f>(AVERAGE(AF133:AF136))</f>
        <v>0.2549315</v>
      </c>
      <c r="AG166" s="37"/>
      <c r="AH166" s="37"/>
      <c r="AI166" s="37"/>
      <c r="AJ166" s="37"/>
      <c r="AK166" s="37"/>
      <c r="AL166" s="37"/>
      <c r="AM166" s="37">
        <f>(AVERAGE(AM133:AM136))</f>
        <v>0.3927631875</v>
      </c>
      <c r="AN166" s="37"/>
      <c r="AO166" s="37"/>
      <c r="AP166" s="37"/>
      <c r="AQ166" s="37"/>
      <c r="AR166" s="37"/>
      <c r="AS166" s="37"/>
      <c r="AT166" s="37"/>
      <c r="AU166" s="37">
        <f t="shared" ref="AU166:AW166" si="66">(AVERAGE(AU133:AU136))</f>
        <v>312.7845625</v>
      </c>
      <c r="AV166" s="37">
        <f t="shared" si="66"/>
        <v>3728.904375</v>
      </c>
      <c r="AW166" s="37">
        <f t="shared" si="66"/>
        <v>0.33225075</v>
      </c>
      <c r="AX166" s="37"/>
      <c r="AY166" s="37"/>
      <c r="AZ166" s="37"/>
      <c r="BA166" s="37"/>
      <c r="BB166" s="37"/>
      <c r="BC166" s="37"/>
      <c r="BD166" s="37">
        <f>(AVERAGE(BD133:BD136))</f>
        <v>43.652675</v>
      </c>
      <c r="BE166" s="37"/>
      <c r="BF166" s="37"/>
      <c r="BG166" s="37"/>
      <c r="BH166" s="37"/>
      <c r="BI166" s="37"/>
      <c r="BJ166" s="37"/>
      <c r="BK166" s="37"/>
      <c r="BL166" s="37"/>
    </row>
    <row r="167" ht="15.75" customHeight="1">
      <c r="A167" s="35"/>
      <c r="B167" s="35" t="s">
        <v>57</v>
      </c>
      <c r="C167" s="37">
        <f>AVERAGE(C137:C140)</f>
        <v>14867.96875</v>
      </c>
      <c r="D167" s="37"/>
      <c r="E167" s="37"/>
      <c r="F167" s="37"/>
      <c r="G167" s="37"/>
      <c r="H167" s="37"/>
      <c r="I167" s="37"/>
      <c r="J167" s="37">
        <f t="shared" ref="J167:K167" si="67">AVERAGE(J137:J140)</f>
        <v>5933313.75</v>
      </c>
      <c r="K167" s="37">
        <f t="shared" si="67"/>
        <v>0.2195899375</v>
      </c>
      <c r="L167" s="37"/>
      <c r="M167" s="37"/>
      <c r="N167" s="37"/>
      <c r="O167" s="37"/>
      <c r="P167" s="37"/>
      <c r="Q167" s="37"/>
      <c r="R167" s="37">
        <f>AVERAGE(R137:R140)</f>
        <v>78.8613875</v>
      </c>
      <c r="S167" s="37"/>
      <c r="T167" s="37"/>
      <c r="U167" s="37"/>
      <c r="V167" s="37"/>
      <c r="W167" s="37"/>
      <c r="X167" s="37"/>
      <c r="Y167" s="37">
        <f>AVERAGE(Y137:Y140)</f>
        <v>11.23940063</v>
      </c>
      <c r="Z167" s="37"/>
      <c r="AA167" s="37"/>
      <c r="AB167" s="37"/>
      <c r="AC167" s="37"/>
      <c r="AD167" s="37"/>
      <c r="AE167" s="37"/>
      <c r="AF167" s="37">
        <f>AVERAGE(AF137:AF140)</f>
        <v>0.3803724375</v>
      </c>
      <c r="AG167" s="37"/>
      <c r="AH167" s="37"/>
      <c r="AI167" s="37"/>
      <c r="AJ167" s="37"/>
      <c r="AK167" s="37"/>
      <c r="AL167" s="37"/>
      <c r="AM167" s="37">
        <f>AVERAGE(AM137:AM140)</f>
        <v>0.2994926875</v>
      </c>
      <c r="AN167" s="37"/>
      <c r="AO167" s="37"/>
      <c r="AP167" s="37"/>
      <c r="AQ167" s="37"/>
      <c r="AR167" s="37"/>
      <c r="AS167" s="37"/>
      <c r="AT167" s="37"/>
      <c r="AU167" s="37">
        <f t="shared" ref="AU167:AW167" si="68">AVERAGE(AU137:AU140)</f>
        <v>397.533875</v>
      </c>
      <c r="AV167" s="37">
        <f t="shared" si="68"/>
        <v>8940.36875</v>
      </c>
      <c r="AW167" s="37">
        <f t="shared" si="68"/>
        <v>0.2022903125</v>
      </c>
      <c r="AX167" s="37"/>
      <c r="AY167" s="37"/>
      <c r="AZ167" s="37"/>
      <c r="BA167" s="37"/>
      <c r="BB167" s="37"/>
      <c r="BC167" s="37"/>
      <c r="BD167" s="37">
        <f>AVERAGE(BD137:BD140)</f>
        <v>39.73355</v>
      </c>
      <c r="BE167" s="37"/>
      <c r="BF167" s="37"/>
      <c r="BG167" s="37"/>
      <c r="BH167" s="37"/>
      <c r="BI167" s="37"/>
      <c r="BJ167" s="37"/>
      <c r="BK167" s="37"/>
      <c r="BL167" s="37"/>
    </row>
    <row r="168" ht="15.75" customHeight="1">
      <c r="A168" s="35"/>
      <c r="B168" s="35" t="s">
        <v>59</v>
      </c>
      <c r="C168" s="37">
        <f>AVERAGE(C141:C144)</f>
        <v>34003.2625</v>
      </c>
      <c r="D168" s="37"/>
      <c r="E168" s="37"/>
      <c r="F168" s="37"/>
      <c r="G168" s="37"/>
      <c r="H168" s="37"/>
      <c r="I168" s="37"/>
      <c r="J168" s="37">
        <f t="shared" ref="J168:K168" si="69">AVERAGE(J141:J144)</f>
        <v>18413306.25</v>
      </c>
      <c r="K168" s="37">
        <f t="shared" si="69"/>
        <v>0.21747925</v>
      </c>
      <c r="L168" s="37"/>
      <c r="M168" s="37"/>
      <c r="N168" s="37"/>
      <c r="O168" s="37"/>
      <c r="P168" s="37"/>
      <c r="Q168" s="37"/>
      <c r="R168" s="37">
        <f>AVERAGE(R141:R144)</f>
        <v>85.8626875</v>
      </c>
      <c r="S168" s="37"/>
      <c r="T168" s="37"/>
      <c r="U168" s="37"/>
      <c r="V168" s="37"/>
      <c r="W168" s="37"/>
      <c r="X168" s="37"/>
      <c r="Y168" s="37">
        <f>AVERAGE(Y141:Y144)</f>
        <v>8.662564375</v>
      </c>
      <c r="Z168" s="37"/>
      <c r="AA168" s="37"/>
      <c r="AB168" s="37"/>
      <c r="AC168" s="37"/>
      <c r="AD168" s="37"/>
      <c r="AE168" s="37"/>
      <c r="AF168" s="37">
        <f>AVERAGE(AF141:AF144)</f>
        <v>0.4664355625</v>
      </c>
      <c r="AG168" s="37"/>
      <c r="AH168" s="37"/>
      <c r="AI168" s="37"/>
      <c r="AJ168" s="37"/>
      <c r="AK168" s="37"/>
      <c r="AL168" s="37"/>
      <c r="AM168" s="37">
        <f>AVERAGE(AM141:AM144)</f>
        <v>0.229972625</v>
      </c>
      <c r="AN168" s="37"/>
      <c r="AO168" s="37"/>
      <c r="AP168" s="37"/>
      <c r="AQ168" s="37"/>
      <c r="AR168" s="37"/>
      <c r="AS168" s="37"/>
      <c r="AT168" s="37"/>
      <c r="AU168" s="37">
        <f t="shared" ref="AU168:AW168" si="70">AVERAGE(AU141:AU144)</f>
        <v>556.774</v>
      </c>
      <c r="AV168" s="37">
        <f t="shared" si="70"/>
        <v>18624.125</v>
      </c>
      <c r="AW168" s="37">
        <f t="shared" si="70"/>
        <v>0.135696125</v>
      </c>
      <c r="AX168" s="37"/>
      <c r="AY168" s="37"/>
      <c r="AZ168" s="37"/>
      <c r="BA168" s="37"/>
      <c r="BB168" s="37"/>
      <c r="BC168" s="37"/>
      <c r="BD168" s="37">
        <f>AVERAGE(BD141:BD144)</f>
        <v>35.8835</v>
      </c>
      <c r="BE168" s="37"/>
      <c r="BF168" s="37"/>
      <c r="BG168" s="37"/>
      <c r="BH168" s="37"/>
      <c r="BI168" s="37"/>
      <c r="BJ168" s="37"/>
      <c r="BK168" s="37"/>
      <c r="BL168" s="37"/>
    </row>
    <row r="169" ht="15.75" customHeight="1">
      <c r="A169" s="35"/>
      <c r="B169" s="35" t="s">
        <v>61</v>
      </c>
      <c r="C169" s="37">
        <f>AVERAGE(C145:C148)</f>
        <v>41356.53125</v>
      </c>
      <c r="D169" s="37"/>
      <c r="E169" s="37"/>
      <c r="F169" s="37"/>
      <c r="G169" s="37"/>
      <c r="H169" s="37"/>
      <c r="I169" s="37"/>
      <c r="J169" s="37">
        <f t="shared" ref="J169:K169" si="71">AVERAGE(J145:J148)</f>
        <v>23247543.75</v>
      </c>
      <c r="K169" s="37">
        <f t="shared" si="71"/>
        <v>0.2263226875</v>
      </c>
      <c r="L169" s="37"/>
      <c r="M169" s="37"/>
      <c r="N169" s="37"/>
      <c r="O169" s="37"/>
      <c r="P169" s="37"/>
      <c r="Q169" s="37"/>
      <c r="R169" s="37">
        <f>AVERAGE(R145:R148)</f>
        <v>87.4288875</v>
      </c>
      <c r="S169" s="37"/>
      <c r="T169" s="37"/>
      <c r="U169" s="37"/>
      <c r="V169" s="37"/>
      <c r="W169" s="37"/>
      <c r="X169" s="37"/>
      <c r="Y169" s="37">
        <f>AVERAGE(Y145:Y148)</f>
        <v>9.225015625</v>
      </c>
      <c r="Z169" s="37"/>
      <c r="AA169" s="37"/>
      <c r="AB169" s="37"/>
      <c r="AC169" s="37"/>
      <c r="AD169" s="37"/>
      <c r="AE169" s="37"/>
      <c r="AF169" s="37">
        <f>AVERAGE(AF145:AF148)</f>
        <v>0.4672873125</v>
      </c>
      <c r="AG169" s="37"/>
      <c r="AH169" s="37"/>
      <c r="AI169" s="37"/>
      <c r="AJ169" s="37"/>
      <c r="AK169" s="37"/>
      <c r="AL169" s="37"/>
      <c r="AM169" s="37">
        <f>AVERAGE(AM145:AM148)</f>
        <v>0.22209775</v>
      </c>
      <c r="AN169" s="37"/>
      <c r="AO169" s="37"/>
      <c r="AP169" s="37"/>
      <c r="AQ169" s="37"/>
      <c r="AR169" s="37"/>
      <c r="AS169" s="37"/>
      <c r="AT169" s="37"/>
      <c r="AU169" s="37">
        <f t="shared" ref="AU169:AW169" si="72">AVERAGE(AU145:AU148)</f>
        <v>577.6495</v>
      </c>
      <c r="AV169" s="37">
        <f t="shared" si="72"/>
        <v>23566.7</v>
      </c>
      <c r="AW169" s="37">
        <f t="shared" si="72"/>
        <v>0.13045525</v>
      </c>
      <c r="AX169" s="37"/>
      <c r="AY169" s="37"/>
      <c r="AZ169" s="37"/>
      <c r="BA169" s="37"/>
      <c r="BB169" s="37"/>
      <c r="BC169" s="37"/>
      <c r="BD169" s="37">
        <f>AVERAGE(BD145:BD148)</f>
        <v>35.72101875</v>
      </c>
      <c r="BE169" s="37"/>
      <c r="BF169" s="37"/>
      <c r="BG169" s="37"/>
      <c r="BH169" s="37"/>
      <c r="BI169" s="37"/>
      <c r="BJ169" s="37"/>
      <c r="BK169" s="37"/>
      <c r="BL169" s="37"/>
    </row>
    <row r="170" ht="15.75" customHeight="1">
      <c r="A170" s="35"/>
      <c r="B170" s="35" t="s">
        <v>62</v>
      </c>
      <c r="C170" s="37">
        <f>AVERAGE(C149:C152)</f>
        <v>37022.4375</v>
      </c>
      <c r="D170" s="37"/>
      <c r="E170" s="37"/>
      <c r="F170" s="37"/>
      <c r="G170" s="37"/>
      <c r="H170" s="37"/>
      <c r="I170" s="37"/>
      <c r="J170" s="37">
        <f t="shared" ref="J170:K170" si="73">AVERAGE(J149:J152)</f>
        <v>20240987.5</v>
      </c>
      <c r="K170" s="37">
        <f t="shared" si="73"/>
        <v>0.217888</v>
      </c>
      <c r="L170" s="37"/>
      <c r="M170" s="37"/>
      <c r="N170" s="37"/>
      <c r="O170" s="37"/>
      <c r="P170" s="37"/>
      <c r="Q170" s="37"/>
      <c r="R170" s="37">
        <f>AVERAGE(R149:R152)</f>
        <v>85.526525</v>
      </c>
      <c r="S170" s="37"/>
      <c r="T170" s="37"/>
      <c r="U170" s="37"/>
      <c r="V170" s="37"/>
      <c r="W170" s="37"/>
      <c r="X170" s="37"/>
      <c r="Y170" s="37">
        <f>AVERAGE(Y149:Y152)</f>
        <v>8.911081875</v>
      </c>
      <c r="Z170" s="37"/>
      <c r="AA170" s="37"/>
      <c r="AB170" s="37"/>
      <c r="AC170" s="37"/>
      <c r="AD170" s="37"/>
      <c r="AE170" s="37"/>
      <c r="AF170" s="37">
        <f>AVERAGE(AF149:AF152)</f>
        <v>0.465227</v>
      </c>
      <c r="AG170" s="37"/>
      <c r="AH170" s="37"/>
      <c r="AI170" s="37"/>
      <c r="AJ170" s="37"/>
      <c r="AK170" s="37"/>
      <c r="AL170" s="37"/>
      <c r="AM170" s="37">
        <f>AVERAGE(AM149:AM152)</f>
        <v>0.2364590625</v>
      </c>
      <c r="AN170" s="37"/>
      <c r="AO170" s="37"/>
      <c r="AP170" s="37"/>
      <c r="AQ170" s="37"/>
      <c r="AR170" s="37"/>
      <c r="AS170" s="37"/>
      <c r="AT170" s="37"/>
      <c r="AU170" s="37">
        <f t="shared" ref="AU170:AW170" si="74">AVERAGE(AU149:AU152)</f>
        <v>560.4275</v>
      </c>
      <c r="AV170" s="37">
        <f t="shared" si="74"/>
        <v>20527.45</v>
      </c>
      <c r="AW170" s="37">
        <f t="shared" si="74"/>
        <v>0.1389815625</v>
      </c>
      <c r="AX170" s="37"/>
      <c r="AY170" s="37"/>
      <c r="AZ170" s="37"/>
      <c r="BA170" s="37"/>
      <c r="BB170" s="37"/>
      <c r="BC170" s="37"/>
      <c r="BD170" s="37">
        <f>AVERAGE(BD149:BD152)</f>
        <v>36.213775</v>
      </c>
      <c r="BE170" s="37"/>
      <c r="BF170" s="37"/>
      <c r="BG170" s="37"/>
      <c r="BH170" s="37"/>
      <c r="BI170" s="37"/>
      <c r="BJ170" s="37"/>
      <c r="BK170" s="37"/>
      <c r="BL170" s="37"/>
    </row>
    <row r="171" ht="15.75" customHeight="1">
      <c r="A171" s="35"/>
      <c r="B171" s="35" t="s">
        <v>64</v>
      </c>
      <c r="C171" s="37">
        <f>AVERAGE(C153:C156)</f>
        <v>36301.05625</v>
      </c>
      <c r="D171" s="37"/>
      <c r="E171" s="37"/>
      <c r="F171" s="37"/>
      <c r="G171" s="37"/>
      <c r="H171" s="37"/>
      <c r="I171" s="37"/>
      <c r="J171" s="37">
        <f t="shared" ref="J171:K171" si="75">AVERAGE(J153:J156)</f>
        <v>20509143.75</v>
      </c>
      <c r="K171" s="37">
        <f t="shared" si="75"/>
        <v>0.2142319375</v>
      </c>
      <c r="L171" s="37"/>
      <c r="M171" s="37"/>
      <c r="N171" s="37"/>
      <c r="O171" s="37"/>
      <c r="P171" s="37"/>
      <c r="Q171" s="37"/>
      <c r="R171" s="37">
        <f>AVERAGE(R153:R156)</f>
        <v>84.495875</v>
      </c>
      <c r="S171" s="37"/>
      <c r="T171" s="37"/>
      <c r="U171" s="37"/>
      <c r="V171" s="37"/>
      <c r="W171" s="37"/>
      <c r="X171" s="37"/>
      <c r="Y171" s="37">
        <f>AVERAGE(Y153:Y156)</f>
        <v>9.557284375</v>
      </c>
      <c r="Z171" s="37"/>
      <c r="AA171" s="37"/>
      <c r="AB171" s="37"/>
      <c r="AC171" s="37"/>
      <c r="AD171" s="37"/>
      <c r="AE171" s="37"/>
      <c r="AF171" s="37">
        <f>AVERAGE(AF153:AF156)</f>
        <v>0.4417491875</v>
      </c>
      <c r="AG171" s="37"/>
      <c r="AH171" s="37"/>
      <c r="AI171" s="37"/>
      <c r="AJ171" s="37"/>
      <c r="AK171" s="37"/>
      <c r="AL171" s="37"/>
      <c r="AM171" s="37">
        <f>AVERAGE(AM153:AM156)</f>
        <v>0.2389539375</v>
      </c>
      <c r="AN171" s="37"/>
      <c r="AO171" s="37"/>
      <c r="AP171" s="37"/>
      <c r="AQ171" s="37"/>
      <c r="AR171" s="37"/>
      <c r="AS171" s="37"/>
      <c r="AT171" s="37"/>
      <c r="AU171" s="37">
        <f t="shared" ref="AU171:AW171" si="76">AVERAGE(AU153:AU156)</f>
        <v>577.219125</v>
      </c>
      <c r="AV171" s="37">
        <f t="shared" si="76"/>
        <v>20014.8625</v>
      </c>
      <c r="AW171" s="37">
        <f t="shared" si="76"/>
        <v>0.1491394375</v>
      </c>
      <c r="AX171" s="37"/>
      <c r="AY171" s="37"/>
      <c r="AZ171" s="37"/>
      <c r="BA171" s="37"/>
      <c r="BB171" s="37"/>
      <c r="BC171" s="37"/>
      <c r="BD171" s="37">
        <f>AVERAGE(BD153:BD156)</f>
        <v>35.94133125</v>
      </c>
      <c r="BE171" s="37"/>
      <c r="BF171" s="37"/>
      <c r="BG171" s="37"/>
      <c r="BH171" s="37"/>
      <c r="BI171" s="37"/>
      <c r="BJ171" s="37"/>
      <c r="BK171" s="37"/>
      <c r="BL171" s="37"/>
    </row>
    <row r="172" ht="15.75" customHeight="1">
      <c r="A172" s="35"/>
      <c r="B172" s="35" t="s">
        <v>66</v>
      </c>
      <c r="C172" s="37">
        <f>AVERAGE(C157:C160)</f>
        <v>53136.35625</v>
      </c>
      <c r="D172" s="37"/>
      <c r="E172" s="37"/>
      <c r="F172" s="37"/>
      <c r="G172" s="37"/>
      <c r="H172" s="37"/>
      <c r="I172" s="37"/>
      <c r="J172" s="37">
        <f t="shared" ref="J172:K172" si="77">AVERAGE(J157:J160)</f>
        <v>31803687.5</v>
      </c>
      <c r="K172" s="37">
        <f t="shared" si="77"/>
        <v>0.2281055</v>
      </c>
      <c r="L172" s="37"/>
      <c r="M172" s="37"/>
      <c r="N172" s="37"/>
      <c r="O172" s="37"/>
      <c r="P172" s="37"/>
      <c r="Q172" s="37"/>
      <c r="R172" s="37">
        <f>AVERAGE(R157:R160)</f>
        <v>86.9656125</v>
      </c>
      <c r="S172" s="37"/>
      <c r="T172" s="37"/>
      <c r="U172" s="37"/>
      <c r="V172" s="37"/>
      <c r="W172" s="37"/>
      <c r="X172" s="37"/>
      <c r="Y172" s="37">
        <f>AVERAGE(Y157:Y160)</f>
        <v>9.680744375</v>
      </c>
      <c r="Z172" s="37"/>
      <c r="AA172" s="37"/>
      <c r="AB172" s="37"/>
      <c r="AC172" s="37"/>
      <c r="AD172" s="37"/>
      <c r="AE172" s="37"/>
      <c r="AF172" s="37">
        <f>AVERAGE(AF157:AF160)</f>
        <v>0.458625375</v>
      </c>
      <c r="AG172" s="37"/>
      <c r="AH172" s="37"/>
      <c r="AI172" s="37"/>
      <c r="AJ172" s="37"/>
      <c r="AK172" s="37"/>
      <c r="AL172" s="37"/>
      <c r="AM172" s="37">
        <f>AVERAGE(AM157:AM160)</f>
        <v>0.229030125</v>
      </c>
      <c r="AN172" s="37"/>
      <c r="AO172" s="37"/>
      <c r="AP172" s="37"/>
      <c r="AQ172" s="37"/>
      <c r="AR172" s="37"/>
      <c r="AS172" s="37"/>
      <c r="AT172" s="37"/>
      <c r="AU172" s="37">
        <f t="shared" ref="AU172:AW172" si="78">AVERAGE(AU157:AU160)</f>
        <v>623.57275</v>
      </c>
      <c r="AV172" s="37">
        <f t="shared" si="78"/>
        <v>29632.26875</v>
      </c>
      <c r="AW172" s="37">
        <f t="shared" si="78"/>
        <v>0.137300625</v>
      </c>
      <c r="AX172" s="37"/>
      <c r="AY172" s="37"/>
      <c r="AZ172" s="37"/>
      <c r="BA172" s="37"/>
      <c r="BB172" s="37"/>
      <c r="BC172" s="37"/>
      <c r="BD172" s="37">
        <f>AVERAGE(BD157:BD160)</f>
        <v>36.09081875</v>
      </c>
      <c r="BE172" s="37"/>
      <c r="BF172" s="37"/>
      <c r="BG172" s="37"/>
      <c r="BH172" s="37"/>
      <c r="BI172" s="37"/>
      <c r="BJ172" s="37"/>
      <c r="BK172" s="37"/>
      <c r="BL172" s="37"/>
    </row>
    <row r="173" ht="15.75" customHeight="1">
      <c r="A173" s="35"/>
      <c r="B173" s="35" t="s">
        <v>67</v>
      </c>
      <c r="C173" s="37">
        <f>AVERAGE(C161:C164)</f>
        <v>41220.1625</v>
      </c>
      <c r="D173" s="37"/>
      <c r="E173" s="37"/>
      <c r="F173" s="37"/>
      <c r="G173" s="37"/>
      <c r="H173" s="37"/>
      <c r="I173" s="37"/>
      <c r="J173" s="37">
        <f t="shared" ref="J173:K173" si="79">AVERAGE(J161:J164)</f>
        <v>23504331.25</v>
      </c>
      <c r="K173" s="37">
        <f t="shared" si="79"/>
        <v>0.2131655</v>
      </c>
      <c r="L173" s="37"/>
      <c r="M173" s="37"/>
      <c r="N173" s="37"/>
      <c r="O173" s="37"/>
      <c r="P173" s="37"/>
      <c r="Q173" s="37"/>
      <c r="R173" s="37">
        <f>AVERAGE(R161:R164)</f>
        <v>84.9195</v>
      </c>
      <c r="S173" s="37"/>
      <c r="T173" s="37"/>
      <c r="U173" s="37"/>
      <c r="V173" s="37"/>
      <c r="W173" s="37"/>
      <c r="X173" s="37"/>
      <c r="Y173" s="37">
        <f>AVERAGE(Y161:Y164)</f>
        <v>9.658615625</v>
      </c>
      <c r="Z173" s="37"/>
      <c r="AA173" s="37"/>
      <c r="AB173" s="37"/>
      <c r="AC173" s="37"/>
      <c r="AD173" s="37"/>
      <c r="AE173" s="37"/>
      <c r="AF173" s="37">
        <f>AVERAGE(AF161:AF164)</f>
        <v>0.437901375</v>
      </c>
      <c r="AG173" s="37"/>
      <c r="AH173" s="37"/>
      <c r="AI173" s="37"/>
      <c r="AJ173" s="37"/>
      <c r="AK173" s="37"/>
      <c r="AL173" s="37"/>
      <c r="AM173" s="37">
        <f>AVERAGE(AM161:AM164)</f>
        <v>0.229215125</v>
      </c>
      <c r="AN173" s="37"/>
      <c r="AO173" s="37"/>
      <c r="AP173" s="37"/>
      <c r="AQ173" s="37"/>
      <c r="AR173" s="37"/>
      <c r="AS173" s="37"/>
      <c r="AT173" s="37"/>
      <c r="AU173" s="37">
        <f t="shared" ref="AU173:AW173" si="80">AVERAGE(AU161:AU164)</f>
        <v>587.844125</v>
      </c>
      <c r="AV173" s="37">
        <f t="shared" si="80"/>
        <v>22586.075</v>
      </c>
      <c r="AW173" s="37">
        <f t="shared" si="80"/>
        <v>0.1458198125</v>
      </c>
      <c r="AX173" s="37"/>
      <c r="AY173" s="37"/>
      <c r="AZ173" s="37"/>
      <c r="BA173" s="37"/>
      <c r="BB173" s="37"/>
      <c r="BC173" s="37"/>
      <c r="BD173" s="37">
        <f>AVERAGE(BD161:BD164)</f>
        <v>34.94471875</v>
      </c>
      <c r="BE173" s="37"/>
      <c r="BF173" s="37"/>
      <c r="BG173" s="37"/>
      <c r="BH173" s="37"/>
      <c r="BI173" s="37"/>
      <c r="BJ173" s="37"/>
      <c r="BK173" s="37"/>
      <c r="BL173" s="37"/>
    </row>
    <row r="174" ht="15.75" customHeight="1">
      <c r="A174" s="35"/>
      <c r="B174" s="35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</row>
    <row r="175" ht="15.75" customHeight="1">
      <c r="A175" s="35"/>
      <c r="B175" s="35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</row>
    <row r="176" ht="15.75" customHeight="1">
      <c r="A176" s="35"/>
      <c r="B176" s="35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</row>
    <row r="177" ht="15.75" customHeight="1">
      <c r="A177" s="35"/>
      <c r="B177" s="35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</row>
    <row r="178" ht="15.75" customHeight="1">
      <c r="A178" s="35"/>
      <c r="B178" s="35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</row>
    <row r="179" ht="15.75" customHeight="1">
      <c r="A179" s="35"/>
      <c r="B179" s="35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</row>
    <row r="180" ht="15.75" customHeight="1">
      <c r="A180" s="35"/>
      <c r="B180" s="35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</row>
    <row r="181" ht="15.75" customHeight="1">
      <c r="A181" s="35"/>
      <c r="B181" s="35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</row>
    <row r="182" ht="15.75" customHeight="1">
      <c r="A182" s="35"/>
      <c r="B182" s="35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</row>
    <row r="183" ht="15.75" customHeight="1">
      <c r="A183" s="35"/>
      <c r="B183" s="35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</row>
    <row r="184" ht="15.75" customHeight="1">
      <c r="A184" s="35"/>
      <c r="B184" s="35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</row>
    <row r="185" ht="15.75" customHeight="1">
      <c r="A185" s="35"/>
      <c r="B185" s="35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</row>
    <row r="186" ht="15.75" customHeight="1">
      <c r="A186" s="35"/>
      <c r="B186" s="35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</row>
    <row r="187" ht="15.75" customHeight="1">
      <c r="A187" s="35"/>
      <c r="B187" s="35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</row>
    <row r="188" ht="15.75" customHeight="1">
      <c r="A188" s="35"/>
      <c r="B188" s="35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</row>
    <row r="189" ht="15.75" customHeight="1">
      <c r="A189" s="35"/>
      <c r="B189" s="35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</row>
    <row r="190" ht="15.75" customHeight="1">
      <c r="A190" s="35"/>
      <c r="B190" s="35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</row>
    <row r="191" ht="15.75" customHeight="1">
      <c r="A191" s="35"/>
      <c r="B191" s="35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</row>
    <row r="192" ht="15.75" customHeight="1">
      <c r="A192" s="35"/>
      <c r="B192" s="35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</row>
    <row r="193" ht="15.75" customHeight="1">
      <c r="A193" s="35"/>
      <c r="B193" s="35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</row>
    <row r="194" ht="15.75" customHeight="1">
      <c r="A194" s="35"/>
      <c r="B194" s="35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</row>
    <row r="195" ht="15.75" customHeight="1">
      <c r="A195" s="35"/>
      <c r="B195" s="35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</row>
    <row r="196" ht="15.75" customHeight="1">
      <c r="A196" s="35"/>
      <c r="B196" s="35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</row>
    <row r="197" ht="15.75" customHeight="1">
      <c r="A197" s="35"/>
      <c r="B197" s="35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</row>
    <row r="198" ht="15.75" customHeight="1">
      <c r="A198" s="35"/>
      <c r="B198" s="35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</row>
    <row r="199" ht="15.75" customHeight="1">
      <c r="A199" s="35"/>
      <c r="B199" s="35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</row>
    <row r="200" ht="15.75" customHeight="1">
      <c r="A200" s="35"/>
      <c r="B200" s="35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</row>
    <row r="201" ht="15.75" customHeight="1">
      <c r="A201" s="35"/>
      <c r="B201" s="35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</row>
    <row r="202" ht="15.75" customHeight="1">
      <c r="A202" s="35"/>
      <c r="B202" s="35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</row>
    <row r="203" ht="15.75" customHeight="1">
      <c r="A203" s="35"/>
      <c r="B203" s="35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</row>
    <row r="204" ht="15.75" customHeight="1">
      <c r="A204" s="35"/>
      <c r="B204" s="35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</row>
    <row r="205" ht="15.75" customHeight="1">
      <c r="A205" s="35"/>
      <c r="B205" s="35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</row>
    <row r="206" ht="15.75" customHeight="1">
      <c r="A206" s="35"/>
      <c r="B206" s="35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</row>
    <row r="207" ht="15.75" customHeight="1">
      <c r="A207" s="35"/>
      <c r="B207" s="35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</row>
    <row r="208" ht="15.75" customHeight="1">
      <c r="A208" s="35"/>
      <c r="B208" s="35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</row>
    <row r="209" ht="15.75" customHeight="1">
      <c r="A209" s="35"/>
      <c r="B209" s="35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</row>
    <row r="210" ht="15.75" customHeight="1">
      <c r="A210" s="35"/>
      <c r="B210" s="35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</row>
    <row r="211" ht="15.75" customHeight="1">
      <c r="A211" s="35"/>
      <c r="B211" s="35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</row>
    <row r="212" ht="15.75" customHeight="1">
      <c r="A212" s="35"/>
      <c r="B212" s="35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</row>
    <row r="213" ht="15.75" customHeight="1">
      <c r="A213" s="35"/>
      <c r="B213" s="35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</row>
    <row r="214" ht="15.75" customHeight="1">
      <c r="A214" s="35"/>
      <c r="B214" s="35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</row>
    <row r="215" ht="15.75" customHeight="1">
      <c r="A215" s="35"/>
      <c r="B215" s="35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</row>
    <row r="216" ht="15.75" customHeight="1">
      <c r="A216" s="35"/>
      <c r="B216" s="35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</row>
    <row r="217" ht="15.75" customHeight="1">
      <c r="A217" s="35"/>
      <c r="B217" s="35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</row>
    <row r="218" ht="15.75" customHeight="1">
      <c r="A218" s="35"/>
      <c r="B218" s="35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</row>
    <row r="219" ht="15.75" customHeight="1">
      <c r="A219" s="35"/>
      <c r="B219" s="35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</row>
    <row r="220" ht="15.75" customHeight="1">
      <c r="A220" s="35"/>
      <c r="B220" s="35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</row>
    <row r="221" ht="15.75" customHeight="1">
      <c r="A221" s="35"/>
      <c r="B221" s="35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</row>
    <row r="222" ht="15.75" customHeight="1">
      <c r="A222" s="35"/>
      <c r="B222" s="35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</row>
    <row r="223" ht="15.75" customHeight="1">
      <c r="A223" s="35"/>
      <c r="B223" s="35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</row>
    <row r="224" ht="15.75" customHeight="1">
      <c r="A224" s="35"/>
      <c r="B224" s="35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</row>
    <row r="225" ht="15.75" customHeight="1">
      <c r="A225" s="35"/>
      <c r="B225" s="35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</row>
    <row r="226" ht="15.75" customHeight="1">
      <c r="A226" s="35"/>
      <c r="B226" s="35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</row>
    <row r="227" ht="15.75" customHeight="1">
      <c r="A227" s="35"/>
      <c r="B227" s="35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</row>
    <row r="228" ht="15.75" customHeight="1">
      <c r="A228" s="35"/>
      <c r="B228" s="35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</row>
    <row r="229" ht="15.75" customHeight="1">
      <c r="A229" s="35"/>
      <c r="B229" s="35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</row>
    <row r="230" ht="15.75" customHeight="1">
      <c r="A230" s="35"/>
      <c r="B230" s="35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</row>
    <row r="231" ht="15.75" customHeight="1">
      <c r="A231" s="35"/>
      <c r="B231" s="35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</row>
    <row r="232" ht="15.75" customHeight="1">
      <c r="A232" s="35"/>
      <c r="B232" s="35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</row>
    <row r="233" ht="15.75" customHeight="1">
      <c r="A233" s="35"/>
      <c r="B233" s="35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</row>
    <row r="234" ht="15.75" customHeight="1">
      <c r="A234" s="35"/>
      <c r="B234" s="35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</row>
    <row r="235" ht="15.75" customHeight="1">
      <c r="A235" s="35"/>
      <c r="B235" s="35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</row>
    <row r="236" ht="15.75" customHeight="1">
      <c r="A236" s="35"/>
      <c r="B236" s="35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</row>
    <row r="237" ht="15.75" customHeight="1">
      <c r="A237" s="35"/>
      <c r="B237" s="35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</row>
    <row r="238" ht="15.75" customHeight="1">
      <c r="A238" s="35"/>
      <c r="B238" s="35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</row>
    <row r="239" ht="15.75" customHeight="1">
      <c r="A239" s="35"/>
      <c r="B239" s="35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</row>
    <row r="240" ht="15.75" customHeight="1">
      <c r="A240" s="35"/>
      <c r="B240" s="35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</row>
    <row r="241" ht="15.75" customHeight="1">
      <c r="A241" s="35"/>
      <c r="B241" s="35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</row>
    <row r="242" ht="15.75" customHeight="1">
      <c r="A242" s="35"/>
      <c r="B242" s="35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</row>
    <row r="243" ht="15.75" customHeight="1">
      <c r="A243" s="35"/>
      <c r="B243" s="35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</row>
    <row r="244" ht="15.75" customHeight="1">
      <c r="A244" s="35"/>
      <c r="B244" s="35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</row>
    <row r="245" ht="15.75" customHeight="1">
      <c r="A245" s="35"/>
      <c r="B245" s="35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</row>
    <row r="246" ht="15.75" customHeight="1">
      <c r="A246" s="35"/>
      <c r="B246" s="35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</row>
    <row r="247" ht="15.75" customHeight="1">
      <c r="A247" s="35"/>
      <c r="B247" s="35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</row>
    <row r="248" ht="15.75" customHeight="1">
      <c r="A248" s="35"/>
      <c r="B248" s="35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</row>
    <row r="249" ht="15.75" customHeight="1">
      <c r="A249" s="35"/>
      <c r="B249" s="35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</row>
    <row r="250" ht="15.75" customHeight="1">
      <c r="A250" s="35"/>
      <c r="B250" s="35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</row>
    <row r="251" ht="15.75" customHeight="1">
      <c r="A251" s="35"/>
      <c r="B251" s="35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</row>
    <row r="252" ht="15.75" customHeight="1">
      <c r="A252" s="35"/>
      <c r="B252" s="35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</row>
    <row r="253" ht="15.75" customHeight="1">
      <c r="A253" s="35"/>
      <c r="B253" s="35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</row>
    <row r="254" ht="15.75" customHeight="1">
      <c r="A254" s="35"/>
      <c r="B254" s="35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</row>
    <row r="255" ht="15.75" customHeight="1">
      <c r="A255" s="35"/>
      <c r="B255" s="35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</row>
    <row r="256" ht="15.75" customHeight="1">
      <c r="A256" s="35"/>
      <c r="B256" s="35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</row>
    <row r="257" ht="15.75" customHeight="1">
      <c r="A257" s="35"/>
      <c r="B257" s="35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</row>
    <row r="258" ht="15.75" customHeight="1">
      <c r="A258" s="35"/>
      <c r="B258" s="35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</row>
    <row r="259" ht="15.75" customHeight="1">
      <c r="A259" s="35"/>
      <c r="B259" s="35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</row>
    <row r="260" ht="15.75" customHeight="1">
      <c r="A260" s="35"/>
      <c r="B260" s="35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</row>
    <row r="261" ht="15.75" customHeight="1">
      <c r="A261" s="35"/>
      <c r="B261" s="35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4" width="6.63"/>
  </cols>
  <sheetData>
    <row r="1" ht="14.25" customHeight="1">
      <c r="A1" s="31"/>
      <c r="B1" s="31"/>
      <c r="C1" s="39"/>
      <c r="D1" s="31" t="s">
        <v>200</v>
      </c>
      <c r="E1" s="31" t="s">
        <v>200</v>
      </c>
      <c r="F1" s="31" t="s">
        <v>200</v>
      </c>
      <c r="G1" s="31" t="s">
        <v>200</v>
      </c>
      <c r="H1" s="31" t="s">
        <v>200</v>
      </c>
      <c r="I1" s="31" t="s">
        <v>200</v>
      </c>
      <c r="J1" s="31" t="s">
        <v>201</v>
      </c>
      <c r="K1" s="31" t="s">
        <v>201</v>
      </c>
      <c r="L1" s="31" t="s">
        <v>201</v>
      </c>
      <c r="M1" s="31" t="s">
        <v>201</v>
      </c>
      <c r="N1" s="31" t="s">
        <v>201</v>
      </c>
      <c r="O1" s="31" t="s">
        <v>201</v>
      </c>
      <c r="P1" s="31" t="s">
        <v>201</v>
      </c>
      <c r="Q1" s="31" t="s">
        <v>201</v>
      </c>
      <c r="R1" s="31" t="s">
        <v>201</v>
      </c>
      <c r="S1" s="31" t="s">
        <v>201</v>
      </c>
      <c r="T1" s="31" t="s">
        <v>201</v>
      </c>
      <c r="U1" s="31" t="s">
        <v>201</v>
      </c>
      <c r="V1" s="31" t="s">
        <v>201</v>
      </c>
      <c r="W1" s="31" t="s">
        <v>201</v>
      </c>
      <c r="X1" s="31" t="s">
        <v>201</v>
      </c>
      <c r="Y1" s="31" t="s">
        <v>201</v>
      </c>
      <c r="Z1" s="31" t="s">
        <v>201</v>
      </c>
      <c r="AA1" s="31" t="s">
        <v>201</v>
      </c>
      <c r="AB1" s="31" t="s">
        <v>201</v>
      </c>
      <c r="AC1" s="31" t="s">
        <v>201</v>
      </c>
      <c r="AD1" s="31" t="s">
        <v>201</v>
      </c>
      <c r="AE1" s="31" t="s">
        <v>201</v>
      </c>
      <c r="AF1" s="31" t="s">
        <v>201</v>
      </c>
      <c r="AG1" s="31" t="s">
        <v>201</v>
      </c>
      <c r="AH1" s="31" t="s">
        <v>202</v>
      </c>
      <c r="AI1" s="31" t="s">
        <v>202</v>
      </c>
      <c r="AJ1" s="31" t="s">
        <v>202</v>
      </c>
      <c r="AK1" s="31" t="s">
        <v>202</v>
      </c>
      <c r="AL1" s="31" t="s">
        <v>202</v>
      </c>
      <c r="AM1" s="31" t="s">
        <v>203</v>
      </c>
      <c r="AN1" s="31" t="s">
        <v>203</v>
      </c>
      <c r="AO1" s="31" t="s">
        <v>203</v>
      </c>
      <c r="AP1" s="31" t="s">
        <v>203</v>
      </c>
      <c r="AQ1" s="31" t="s">
        <v>203</v>
      </c>
      <c r="AR1" s="31" t="s">
        <v>203</v>
      </c>
      <c r="AS1" s="31" t="s">
        <v>203</v>
      </c>
      <c r="AT1" s="31" t="s">
        <v>203</v>
      </c>
      <c r="AU1" s="31" t="s">
        <v>203</v>
      </c>
      <c r="AV1" s="31" t="s">
        <v>203</v>
      </c>
      <c r="AW1" s="31" t="s">
        <v>203</v>
      </c>
      <c r="AX1" s="31" t="s">
        <v>203</v>
      </c>
      <c r="AY1" s="31" t="s">
        <v>203</v>
      </c>
      <c r="AZ1" s="31" t="s">
        <v>203</v>
      </c>
      <c r="BA1" s="31" t="s">
        <v>203</v>
      </c>
      <c r="BB1" s="31" t="s">
        <v>203</v>
      </c>
      <c r="BC1" s="31" t="s">
        <v>203</v>
      </c>
      <c r="BD1" s="31" t="s">
        <v>203</v>
      </c>
      <c r="BE1" s="31" t="s">
        <v>203</v>
      </c>
      <c r="BF1" s="31" t="s">
        <v>203</v>
      </c>
      <c r="BG1" s="31" t="s">
        <v>203</v>
      </c>
      <c r="BH1" s="31" t="s">
        <v>203</v>
      </c>
      <c r="BI1" s="31" t="s">
        <v>203</v>
      </c>
      <c r="BJ1" s="31" t="s">
        <v>203</v>
      </c>
      <c r="BK1" s="31" t="s">
        <v>203</v>
      </c>
      <c r="BL1" s="31" t="s">
        <v>203</v>
      </c>
      <c r="BM1" s="31" t="s">
        <v>203</v>
      </c>
      <c r="BN1" s="31" t="s">
        <v>203</v>
      </c>
      <c r="BO1" s="31" t="s">
        <v>204</v>
      </c>
      <c r="BP1" s="31" t="s">
        <v>204</v>
      </c>
      <c r="BQ1" s="31" t="s">
        <v>204</v>
      </c>
      <c r="BR1" s="31" t="s">
        <v>204</v>
      </c>
      <c r="BS1" s="31" t="s">
        <v>204</v>
      </c>
      <c r="BT1" s="31" t="s">
        <v>204</v>
      </c>
      <c r="BU1" s="31" t="s">
        <v>204</v>
      </c>
      <c r="BV1" s="31" t="s">
        <v>204</v>
      </c>
      <c r="BW1" s="31" t="s">
        <v>204</v>
      </c>
      <c r="BX1" s="31" t="s">
        <v>204</v>
      </c>
      <c r="BY1" s="31" t="s">
        <v>204</v>
      </c>
      <c r="BZ1" s="31" t="s">
        <v>204</v>
      </c>
      <c r="CA1" s="31" t="s">
        <v>204</v>
      </c>
      <c r="CB1" s="31" t="s">
        <v>204</v>
      </c>
      <c r="CC1" s="31" t="s">
        <v>204</v>
      </c>
      <c r="CD1" s="31" t="s">
        <v>204</v>
      </c>
      <c r="CE1" s="31" t="s">
        <v>204</v>
      </c>
      <c r="CF1" s="31" t="s">
        <v>204</v>
      </c>
      <c r="CG1" s="31" t="s">
        <v>204</v>
      </c>
      <c r="CH1" s="31" t="s">
        <v>204</v>
      </c>
      <c r="CI1" s="31" t="s">
        <v>204</v>
      </c>
      <c r="CJ1" s="31" t="s">
        <v>205</v>
      </c>
      <c r="CK1" s="31" t="s">
        <v>205</v>
      </c>
      <c r="CL1" s="31" t="s">
        <v>205</v>
      </c>
      <c r="CM1" s="31" t="s">
        <v>205</v>
      </c>
      <c r="CN1" s="31" t="s">
        <v>205</v>
      </c>
      <c r="CO1" s="31" t="s">
        <v>205</v>
      </c>
      <c r="CP1" s="31" t="s">
        <v>205</v>
      </c>
      <c r="CQ1" s="31" t="s">
        <v>205</v>
      </c>
      <c r="CR1" s="31" t="s">
        <v>205</v>
      </c>
      <c r="CS1" s="31" t="s">
        <v>205</v>
      </c>
      <c r="CT1" s="31" t="s">
        <v>205</v>
      </c>
      <c r="CU1" s="31" t="s">
        <v>205</v>
      </c>
      <c r="CV1" s="31" t="s">
        <v>205</v>
      </c>
      <c r="CW1" s="31" t="s">
        <v>206</v>
      </c>
      <c r="CX1" s="31" t="s">
        <v>206</v>
      </c>
      <c r="CY1" s="31" t="s">
        <v>206</v>
      </c>
      <c r="CZ1" s="31" t="s">
        <v>206</v>
      </c>
      <c r="DA1" s="31" t="s">
        <v>207</v>
      </c>
      <c r="DB1" s="31" t="s">
        <v>207</v>
      </c>
      <c r="DC1" s="31" t="s">
        <v>207</v>
      </c>
      <c r="DD1" s="31" t="s">
        <v>207</v>
      </c>
      <c r="DE1" s="31" t="s">
        <v>208</v>
      </c>
      <c r="DF1" s="31" t="s">
        <v>208</v>
      </c>
      <c r="DG1" s="31" t="s">
        <v>208</v>
      </c>
      <c r="DH1" s="31" t="s">
        <v>208</v>
      </c>
      <c r="DI1" s="31" t="s">
        <v>208</v>
      </c>
      <c r="DJ1" s="31" t="s">
        <v>208</v>
      </c>
      <c r="DK1" s="31" t="s">
        <v>208</v>
      </c>
      <c r="DL1" s="31" t="s">
        <v>208</v>
      </c>
      <c r="DM1" s="31" t="s">
        <v>208</v>
      </c>
      <c r="DN1" s="31" t="s">
        <v>208</v>
      </c>
      <c r="DO1" s="31" t="s">
        <v>208</v>
      </c>
      <c r="DP1" s="31" t="s">
        <v>208</v>
      </c>
      <c r="DQ1" s="31" t="s">
        <v>208</v>
      </c>
      <c r="DR1" s="31" t="s">
        <v>208</v>
      </c>
      <c r="DS1" s="31" t="s">
        <v>208</v>
      </c>
      <c r="DT1" s="31" t="s">
        <v>208</v>
      </c>
      <c r="DU1" s="31" t="s">
        <v>208</v>
      </c>
      <c r="DV1" s="31" t="s">
        <v>208</v>
      </c>
      <c r="DW1" s="31" t="s">
        <v>209</v>
      </c>
      <c r="DX1" s="31" t="s">
        <v>209</v>
      </c>
      <c r="DY1" s="31" t="s">
        <v>209</v>
      </c>
      <c r="DZ1" s="31" t="s">
        <v>209</v>
      </c>
      <c r="EA1" s="31" t="s">
        <v>209</v>
      </c>
      <c r="EB1" s="31" t="s">
        <v>209</v>
      </c>
      <c r="EC1" s="31" t="s">
        <v>209</v>
      </c>
      <c r="ED1" s="31" t="s">
        <v>209</v>
      </c>
      <c r="EE1" s="31" t="s">
        <v>209</v>
      </c>
      <c r="EF1" s="31" t="s">
        <v>209</v>
      </c>
      <c r="EG1" s="31" t="s">
        <v>209</v>
      </c>
      <c r="EH1" s="31" t="s">
        <v>209</v>
      </c>
      <c r="EI1" s="31" t="s">
        <v>209</v>
      </c>
      <c r="EJ1" s="31" t="s">
        <v>209</v>
      </c>
      <c r="EK1" s="31" t="s">
        <v>209</v>
      </c>
      <c r="EL1" s="31" t="s">
        <v>209</v>
      </c>
      <c r="EM1" s="31" t="s">
        <v>209</v>
      </c>
      <c r="EN1" s="31" t="s">
        <v>209</v>
      </c>
      <c r="EO1" s="31" t="s">
        <v>210</v>
      </c>
      <c r="EP1" s="31" t="s">
        <v>210</v>
      </c>
      <c r="EQ1" s="31" t="s">
        <v>210</v>
      </c>
      <c r="ER1" s="31" t="s">
        <v>210</v>
      </c>
      <c r="ES1" s="31" t="s">
        <v>210</v>
      </c>
      <c r="ET1" s="31" t="s">
        <v>211</v>
      </c>
      <c r="EU1" s="31" t="s">
        <v>211</v>
      </c>
      <c r="EV1" s="31" t="s">
        <v>211</v>
      </c>
      <c r="EW1" s="31" t="s">
        <v>211</v>
      </c>
      <c r="EX1" s="31" t="s">
        <v>211</v>
      </c>
      <c r="EY1" s="31" t="s">
        <v>211</v>
      </c>
      <c r="EZ1" s="31" t="s">
        <v>211</v>
      </c>
      <c r="FA1" s="31" t="s">
        <v>211</v>
      </c>
      <c r="FB1" s="31" t="s">
        <v>211</v>
      </c>
      <c r="FC1" s="31" t="s">
        <v>211</v>
      </c>
      <c r="FD1" s="31" t="s">
        <v>211</v>
      </c>
      <c r="FE1" s="31" t="s">
        <v>211</v>
      </c>
      <c r="FF1" s="31" t="s">
        <v>211</v>
      </c>
      <c r="FG1" s="31" t="s">
        <v>212</v>
      </c>
      <c r="FH1" s="31" t="s">
        <v>212</v>
      </c>
      <c r="FI1" s="31" t="s">
        <v>212</v>
      </c>
      <c r="FJ1" s="31" t="s">
        <v>212</v>
      </c>
      <c r="FK1" s="31" t="s">
        <v>212</v>
      </c>
      <c r="FL1" s="31" t="s">
        <v>212</v>
      </c>
      <c r="FM1" s="31" t="s">
        <v>212</v>
      </c>
      <c r="FN1" s="31" t="s">
        <v>212</v>
      </c>
      <c r="FO1" s="31" t="s">
        <v>212</v>
      </c>
      <c r="FP1" s="31" t="s">
        <v>212</v>
      </c>
      <c r="FQ1" s="31" t="s">
        <v>212</v>
      </c>
      <c r="FR1" s="31" t="s">
        <v>212</v>
      </c>
      <c r="FS1" s="31" t="s">
        <v>212</v>
      </c>
      <c r="FT1" s="31" t="s">
        <v>212</v>
      </c>
      <c r="FU1" s="31" t="s">
        <v>212</v>
      </c>
      <c r="FV1" s="31" t="s">
        <v>212</v>
      </c>
      <c r="FW1" s="31" t="s">
        <v>212</v>
      </c>
      <c r="FX1" s="31" t="s">
        <v>212</v>
      </c>
      <c r="FY1" s="31" t="s">
        <v>213</v>
      </c>
      <c r="FZ1" s="31" t="s">
        <v>213</v>
      </c>
      <c r="GA1" s="31" t="s">
        <v>213</v>
      </c>
      <c r="GB1" s="31" t="s">
        <v>213</v>
      </c>
      <c r="GC1" s="31" t="s">
        <v>213</v>
      </c>
      <c r="GD1" s="31" t="s">
        <v>213</v>
      </c>
      <c r="GE1" s="31" t="s">
        <v>213</v>
      </c>
      <c r="GF1" s="31" t="s">
        <v>213</v>
      </c>
      <c r="GG1" s="31" t="s">
        <v>214</v>
      </c>
      <c r="GH1" s="31" t="s">
        <v>214</v>
      </c>
      <c r="GI1" s="31" t="s">
        <v>214</v>
      </c>
      <c r="GJ1" s="31" t="s">
        <v>214</v>
      </c>
      <c r="GK1" s="31" t="s">
        <v>214</v>
      </c>
      <c r="GL1" s="31" t="s">
        <v>214</v>
      </c>
      <c r="GM1" s="31" t="s">
        <v>214</v>
      </c>
      <c r="GN1" s="31" t="s">
        <v>214</v>
      </c>
      <c r="GO1" s="31" t="s">
        <v>214</v>
      </c>
      <c r="GP1" s="31" t="s">
        <v>214</v>
      </c>
      <c r="GQ1" s="31" t="s">
        <v>214</v>
      </c>
      <c r="GR1" s="31" t="s">
        <v>214</v>
      </c>
      <c r="GS1" s="31" t="s">
        <v>214</v>
      </c>
      <c r="GT1" s="31" t="s">
        <v>214</v>
      </c>
      <c r="GU1" s="31" t="s">
        <v>214</v>
      </c>
      <c r="GV1" s="31" t="s">
        <v>214</v>
      </c>
    </row>
    <row r="2" ht="14.25" customHeight="1">
      <c r="A2" s="31"/>
      <c r="B2" s="31"/>
      <c r="C2" s="39"/>
      <c r="D2" s="31" t="s">
        <v>215</v>
      </c>
      <c r="E2" s="31" t="s">
        <v>216</v>
      </c>
      <c r="F2" s="31" t="s">
        <v>217</v>
      </c>
      <c r="G2" s="31" t="s">
        <v>137</v>
      </c>
      <c r="H2" s="31" t="s">
        <v>218</v>
      </c>
      <c r="I2" s="31" t="s">
        <v>219</v>
      </c>
      <c r="J2" s="31" t="s">
        <v>220</v>
      </c>
      <c r="K2" s="31" t="s">
        <v>221</v>
      </c>
      <c r="L2" s="31" t="s">
        <v>222</v>
      </c>
      <c r="M2" s="31" t="s">
        <v>223</v>
      </c>
      <c r="N2" s="31" t="s">
        <v>10</v>
      </c>
      <c r="O2" s="31" t="s">
        <v>224</v>
      </c>
      <c r="P2" s="31" t="s">
        <v>225</v>
      </c>
      <c r="Q2" s="31" t="s">
        <v>226</v>
      </c>
      <c r="R2" s="31" t="s">
        <v>227</v>
      </c>
      <c r="S2" s="31" t="s">
        <v>228</v>
      </c>
      <c r="T2" s="31" t="s">
        <v>229</v>
      </c>
      <c r="U2" s="31" t="s">
        <v>230</v>
      </c>
      <c r="V2" s="31" t="s">
        <v>231</v>
      </c>
      <c r="W2" s="31" t="s">
        <v>232</v>
      </c>
      <c r="X2" s="31" t="s">
        <v>233</v>
      </c>
      <c r="Y2" s="31" t="s">
        <v>234</v>
      </c>
      <c r="Z2" s="31" t="s">
        <v>235</v>
      </c>
      <c r="AA2" s="31" t="s">
        <v>236</v>
      </c>
      <c r="AB2" s="31" t="s">
        <v>237</v>
      </c>
      <c r="AC2" s="31" t="s">
        <v>238</v>
      </c>
      <c r="AD2" s="31" t="s">
        <v>239</v>
      </c>
      <c r="AE2" s="31" t="s">
        <v>240</v>
      </c>
      <c r="AF2" s="31" t="s">
        <v>241</v>
      </c>
      <c r="AG2" s="31" t="s">
        <v>242</v>
      </c>
      <c r="AH2" s="31" t="s">
        <v>202</v>
      </c>
      <c r="AI2" s="31" t="s">
        <v>243</v>
      </c>
      <c r="AJ2" s="31" t="s">
        <v>244</v>
      </c>
      <c r="AK2" s="31" t="s">
        <v>245</v>
      </c>
      <c r="AL2" s="31" t="s">
        <v>246</v>
      </c>
      <c r="AM2" s="31" t="s">
        <v>247</v>
      </c>
      <c r="AN2" s="31" t="s">
        <v>248</v>
      </c>
      <c r="AO2" s="31" t="s">
        <v>249</v>
      </c>
      <c r="AP2" s="31" t="s">
        <v>250</v>
      </c>
      <c r="AQ2" s="31" t="s">
        <v>251</v>
      </c>
      <c r="AR2" s="31" t="s">
        <v>252</v>
      </c>
      <c r="AS2" s="31" t="s">
        <v>253</v>
      </c>
      <c r="AT2" s="31" t="s">
        <v>254</v>
      </c>
      <c r="AU2" s="31" t="s">
        <v>255</v>
      </c>
      <c r="AV2" s="31" t="s">
        <v>256</v>
      </c>
      <c r="AW2" s="31" t="s">
        <v>257</v>
      </c>
      <c r="AX2" s="31" t="s">
        <v>258</v>
      </c>
      <c r="AY2" s="31" t="s">
        <v>259</v>
      </c>
      <c r="AZ2" s="31" t="s">
        <v>260</v>
      </c>
      <c r="BA2" s="31" t="s">
        <v>261</v>
      </c>
      <c r="BB2" s="31" t="s">
        <v>262</v>
      </c>
      <c r="BC2" s="31" t="s">
        <v>263</v>
      </c>
      <c r="BD2" s="31" t="s">
        <v>264</v>
      </c>
      <c r="BE2" s="31" t="s">
        <v>265</v>
      </c>
      <c r="BF2" s="31" t="s">
        <v>266</v>
      </c>
      <c r="BG2" s="31" t="s">
        <v>267</v>
      </c>
      <c r="BH2" s="31" t="s">
        <v>268</v>
      </c>
      <c r="BI2" s="31" t="s">
        <v>269</v>
      </c>
      <c r="BJ2" s="31" t="s">
        <v>270</v>
      </c>
      <c r="BK2" s="31" t="s">
        <v>271</v>
      </c>
      <c r="BL2" s="31" t="s">
        <v>272</v>
      </c>
      <c r="BM2" s="31" t="s">
        <v>273</v>
      </c>
      <c r="BN2" s="31" t="s">
        <v>274</v>
      </c>
      <c r="BO2" s="31" t="s">
        <v>275</v>
      </c>
      <c r="BP2" s="31" t="s">
        <v>276</v>
      </c>
      <c r="BQ2" s="31" t="s">
        <v>277</v>
      </c>
      <c r="BR2" s="31" t="s">
        <v>278</v>
      </c>
      <c r="BS2" s="31" t="s">
        <v>279</v>
      </c>
      <c r="BT2" s="31" t="s">
        <v>280</v>
      </c>
      <c r="BU2" s="31" t="s">
        <v>281</v>
      </c>
      <c r="BV2" s="31" t="s">
        <v>282</v>
      </c>
      <c r="BW2" s="31" t="s">
        <v>283</v>
      </c>
      <c r="BX2" s="31" t="s">
        <v>284</v>
      </c>
      <c r="BY2" s="31" t="s">
        <v>285</v>
      </c>
      <c r="BZ2" s="31" t="s">
        <v>286</v>
      </c>
      <c r="CA2" s="31" t="s">
        <v>287</v>
      </c>
      <c r="CB2" s="31" t="s">
        <v>288</v>
      </c>
      <c r="CC2" s="31" t="s">
        <v>289</v>
      </c>
      <c r="CD2" s="31" t="s">
        <v>290</v>
      </c>
      <c r="CE2" s="31" t="s">
        <v>291</v>
      </c>
      <c r="CF2" s="31" t="s">
        <v>292</v>
      </c>
      <c r="CG2" s="31" t="s">
        <v>293</v>
      </c>
      <c r="CH2" s="31" t="s">
        <v>294</v>
      </c>
      <c r="CI2" s="31" t="s">
        <v>295</v>
      </c>
      <c r="CJ2" s="31" t="s">
        <v>275</v>
      </c>
      <c r="CK2" s="31" t="s">
        <v>296</v>
      </c>
      <c r="CL2" s="31" t="s">
        <v>297</v>
      </c>
      <c r="CM2" s="31" t="s">
        <v>298</v>
      </c>
      <c r="CN2" s="31" t="s">
        <v>249</v>
      </c>
      <c r="CO2" s="31" t="s">
        <v>299</v>
      </c>
      <c r="CP2" s="31" t="s">
        <v>300</v>
      </c>
      <c r="CQ2" s="31" t="s">
        <v>301</v>
      </c>
      <c r="CR2" s="31" t="s">
        <v>302</v>
      </c>
      <c r="CS2" s="31" t="s">
        <v>303</v>
      </c>
      <c r="CT2" s="31" t="s">
        <v>304</v>
      </c>
      <c r="CU2" s="31" t="s">
        <v>305</v>
      </c>
      <c r="CV2" s="31" t="s">
        <v>306</v>
      </c>
      <c r="CW2" s="31" t="s">
        <v>307</v>
      </c>
      <c r="CX2" s="31" t="s">
        <v>308</v>
      </c>
      <c r="CY2" s="31" t="s">
        <v>309</v>
      </c>
      <c r="CZ2" s="31" t="s">
        <v>310</v>
      </c>
      <c r="DA2" s="31" t="s">
        <v>311</v>
      </c>
      <c r="DB2" s="31" t="s">
        <v>9</v>
      </c>
      <c r="DC2" s="31" t="s">
        <v>312</v>
      </c>
      <c r="DD2" s="31" t="s">
        <v>313</v>
      </c>
      <c r="DE2" s="31" t="s">
        <v>220</v>
      </c>
      <c r="DF2" s="31" t="s">
        <v>314</v>
      </c>
      <c r="DG2" s="31" t="s">
        <v>315</v>
      </c>
      <c r="DH2" s="31" t="s">
        <v>316</v>
      </c>
      <c r="DI2" s="31" t="s">
        <v>317</v>
      </c>
      <c r="DJ2" s="31" t="s">
        <v>318</v>
      </c>
      <c r="DK2" s="31" t="s">
        <v>319</v>
      </c>
      <c r="DL2" s="31" t="s">
        <v>320</v>
      </c>
      <c r="DM2" s="31" t="s">
        <v>321</v>
      </c>
      <c r="DN2" s="31" t="s">
        <v>322</v>
      </c>
      <c r="DO2" s="31" t="s">
        <v>323</v>
      </c>
      <c r="DP2" s="31" t="s">
        <v>324</v>
      </c>
      <c r="DQ2" s="31" t="s">
        <v>325</v>
      </c>
      <c r="DR2" s="31" t="s">
        <v>326</v>
      </c>
      <c r="DS2" s="31" t="s">
        <v>327</v>
      </c>
      <c r="DT2" s="31" t="s">
        <v>328</v>
      </c>
      <c r="DU2" s="31" t="s">
        <v>329</v>
      </c>
      <c r="DV2" s="31" t="s">
        <v>330</v>
      </c>
      <c r="DW2" s="31" t="s">
        <v>331</v>
      </c>
      <c r="DX2" s="31" t="s">
        <v>332</v>
      </c>
      <c r="DY2" s="31" t="s">
        <v>333</v>
      </c>
      <c r="DZ2" s="31" t="s">
        <v>334</v>
      </c>
      <c r="EA2" s="31" t="s">
        <v>335</v>
      </c>
      <c r="EB2" s="31" t="s">
        <v>336</v>
      </c>
      <c r="EC2" s="31" t="s">
        <v>337</v>
      </c>
      <c r="ED2" s="31" t="s">
        <v>338</v>
      </c>
      <c r="EE2" s="31" t="s">
        <v>339</v>
      </c>
      <c r="EF2" s="31" t="s">
        <v>340</v>
      </c>
      <c r="EG2" s="31" t="s">
        <v>341</v>
      </c>
      <c r="EH2" s="31" t="s">
        <v>342</v>
      </c>
      <c r="EI2" s="31" t="s">
        <v>343</v>
      </c>
      <c r="EJ2" s="31" t="s">
        <v>344</v>
      </c>
      <c r="EK2" s="31" t="s">
        <v>345</v>
      </c>
      <c r="EL2" s="31" t="s">
        <v>346</v>
      </c>
      <c r="EM2" s="31" t="s">
        <v>347</v>
      </c>
      <c r="EN2" s="31" t="s">
        <v>348</v>
      </c>
      <c r="EO2" s="31" t="s">
        <v>349</v>
      </c>
      <c r="EP2" s="31" t="s">
        <v>350</v>
      </c>
      <c r="EQ2" s="31" t="s">
        <v>351</v>
      </c>
      <c r="ER2" s="31" t="s">
        <v>352</v>
      </c>
      <c r="ES2" s="31" t="s">
        <v>353</v>
      </c>
      <c r="ET2" s="31" t="s">
        <v>216</v>
      </c>
      <c r="EU2" s="31" t="s">
        <v>218</v>
      </c>
      <c r="EV2" s="31" t="s">
        <v>354</v>
      </c>
      <c r="EW2" s="31" t="s">
        <v>355</v>
      </c>
      <c r="EX2" s="31" t="s">
        <v>356</v>
      </c>
      <c r="EY2" s="31" t="s">
        <v>357</v>
      </c>
      <c r="EZ2" s="31" t="s">
        <v>358</v>
      </c>
      <c r="FA2" s="31" t="s">
        <v>359</v>
      </c>
      <c r="FB2" s="31" t="s">
        <v>360</v>
      </c>
      <c r="FC2" s="31" t="s">
        <v>361</v>
      </c>
      <c r="FD2" s="31" t="s">
        <v>362</v>
      </c>
      <c r="FE2" s="31" t="s">
        <v>363</v>
      </c>
      <c r="FF2" s="31" t="s">
        <v>364</v>
      </c>
      <c r="FG2" s="31" t="s">
        <v>365</v>
      </c>
      <c r="FH2" s="31" t="s">
        <v>366</v>
      </c>
      <c r="FI2" s="31" t="s">
        <v>367</v>
      </c>
      <c r="FJ2" s="31" t="s">
        <v>368</v>
      </c>
      <c r="FK2" s="31" t="s">
        <v>369</v>
      </c>
      <c r="FL2" s="31" t="s">
        <v>370</v>
      </c>
      <c r="FM2" s="31" t="s">
        <v>371</v>
      </c>
      <c r="FN2" s="31" t="s">
        <v>372</v>
      </c>
      <c r="FO2" s="31" t="s">
        <v>373</v>
      </c>
      <c r="FP2" s="31" t="s">
        <v>374</v>
      </c>
      <c r="FQ2" s="31" t="s">
        <v>375</v>
      </c>
      <c r="FR2" s="31" t="s">
        <v>376</v>
      </c>
      <c r="FS2" s="31" t="s">
        <v>377</v>
      </c>
      <c r="FT2" s="31" t="s">
        <v>378</v>
      </c>
      <c r="FU2" s="31" t="s">
        <v>379</v>
      </c>
      <c r="FV2" s="31" t="s">
        <v>380</v>
      </c>
      <c r="FW2" s="31" t="s">
        <v>381</v>
      </c>
      <c r="FX2" s="31" t="s">
        <v>382</v>
      </c>
      <c r="FY2" s="31" t="s">
        <v>383</v>
      </c>
      <c r="FZ2" s="31" t="s">
        <v>384</v>
      </c>
      <c r="GA2" s="31" t="s">
        <v>385</v>
      </c>
      <c r="GB2" s="31" t="s">
        <v>386</v>
      </c>
      <c r="GC2" s="31" t="s">
        <v>387</v>
      </c>
      <c r="GD2" s="31" t="s">
        <v>388</v>
      </c>
      <c r="GE2" s="31" t="s">
        <v>389</v>
      </c>
      <c r="GF2" s="31" t="s">
        <v>390</v>
      </c>
      <c r="GG2" s="31" t="s">
        <v>391</v>
      </c>
      <c r="GH2" s="31" t="s">
        <v>392</v>
      </c>
      <c r="GI2" s="31" t="s">
        <v>393</v>
      </c>
      <c r="GJ2" s="31" t="s">
        <v>394</v>
      </c>
      <c r="GK2" s="31" t="s">
        <v>395</v>
      </c>
      <c r="GL2" s="31" t="s">
        <v>396</v>
      </c>
      <c r="GM2" s="31" t="s">
        <v>397</v>
      </c>
      <c r="GN2" s="31" t="s">
        <v>398</v>
      </c>
      <c r="GO2" s="31" t="s">
        <v>399</v>
      </c>
      <c r="GP2" s="31" t="s">
        <v>400</v>
      </c>
      <c r="GQ2" s="31" t="s">
        <v>401</v>
      </c>
      <c r="GR2" s="31" t="s">
        <v>402</v>
      </c>
      <c r="GS2" s="31" t="s">
        <v>403</v>
      </c>
      <c r="GT2" s="31" t="s">
        <v>404</v>
      </c>
      <c r="GU2" s="31" t="s">
        <v>405</v>
      </c>
      <c r="GV2" s="31" t="s">
        <v>406</v>
      </c>
    </row>
    <row r="3" ht="15.75" customHeight="1">
      <c r="A3" s="40" t="s">
        <v>84</v>
      </c>
      <c r="B3" s="40" t="s">
        <v>85</v>
      </c>
      <c r="C3" s="40" t="s">
        <v>407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</row>
    <row r="4" ht="14.25" customHeight="1">
      <c r="A4" s="41" t="s">
        <v>94</v>
      </c>
      <c r="B4" s="41" t="s">
        <v>53</v>
      </c>
      <c r="C4" s="41" t="s">
        <v>86</v>
      </c>
      <c r="D4" s="31">
        <v>32.0</v>
      </c>
      <c r="E4" s="31">
        <v>1.7548822676E9</v>
      </c>
      <c r="F4" s="31">
        <v>4749.59999990463</v>
      </c>
      <c r="G4" s="31" t="s">
        <v>408</v>
      </c>
      <c r="H4" s="42">
        <v>0.4706828703703704</v>
      </c>
      <c r="I4" s="31" t="s">
        <v>409</v>
      </c>
      <c r="J4" s="31">
        <v>1.7548822676E9</v>
      </c>
      <c r="K4" s="31">
        <v>0.00125346370407769</v>
      </c>
      <c r="L4" s="31">
        <v>1.25346370407769</v>
      </c>
      <c r="M4" s="31">
        <v>0.0896266787646265</v>
      </c>
      <c r="N4" s="31">
        <v>459.135999872258</v>
      </c>
      <c r="O4" s="31">
        <v>439.59440163083</v>
      </c>
      <c r="P4" s="31">
        <v>44.3989661198655</v>
      </c>
      <c r="Q4" s="31">
        <v>46.3726644996229</v>
      </c>
      <c r="R4" s="31">
        <v>0.0539525236799909</v>
      </c>
      <c r="S4" s="31">
        <v>2.76329113288498</v>
      </c>
      <c r="T4" s="31">
        <v>0.0533740692575214</v>
      </c>
      <c r="U4" s="31">
        <v>0.0334102482159392</v>
      </c>
      <c r="V4" s="31">
        <v>31.4207670156091</v>
      </c>
      <c r="W4" s="31">
        <v>35.7385379144855</v>
      </c>
      <c r="X4" s="31">
        <v>35.9597</v>
      </c>
      <c r="Y4" s="31">
        <v>5.95557688681882</v>
      </c>
      <c r="Z4" s="31">
        <v>62.3279026794537</v>
      </c>
      <c r="AA4" s="31">
        <v>3.69698820077277</v>
      </c>
      <c r="AB4" s="31">
        <v>5.93151388357477</v>
      </c>
      <c r="AC4" s="31">
        <v>2.25858868604605</v>
      </c>
      <c r="AD4" s="31">
        <v>-55.2777493498263</v>
      </c>
      <c r="AE4" s="31">
        <v>-10.9645269945284</v>
      </c>
      <c r="AF4" s="31">
        <v>-0.935028354602724</v>
      </c>
      <c r="AG4" s="31">
        <v>-35.7565376833483</v>
      </c>
      <c r="AH4" s="31">
        <v>0.0</v>
      </c>
      <c r="AI4" s="31">
        <v>0.0</v>
      </c>
      <c r="AJ4" s="31">
        <v>1.0</v>
      </c>
      <c r="AK4" s="31">
        <v>0.0</v>
      </c>
      <c r="AL4" s="31">
        <v>46775.0</v>
      </c>
      <c r="AM4" s="31" t="s">
        <v>410</v>
      </c>
      <c r="AN4" s="31">
        <v>8173.37</v>
      </c>
      <c r="AO4" s="31">
        <v>559.295999999999</v>
      </c>
      <c r="AP4" s="31">
        <v>2893.93</v>
      </c>
      <c r="AQ4" s="31">
        <v>0.806734786259515</v>
      </c>
      <c r="AR4" s="31">
        <v>-2.38169762951563</v>
      </c>
      <c r="AS4" s="31" t="s">
        <v>411</v>
      </c>
      <c r="AT4" s="31">
        <v>8159.39</v>
      </c>
      <c r="AU4" s="31">
        <v>189.972799999999</v>
      </c>
      <c r="AV4" s="31">
        <v>389.59</v>
      </c>
      <c r="AW4" s="31">
        <v>0.512377627762519</v>
      </c>
      <c r="AX4" s="31">
        <v>0.5</v>
      </c>
      <c r="AY4" s="31">
        <v>160.160700008087</v>
      </c>
      <c r="AZ4" s="31">
        <v>0.0896266787646265</v>
      </c>
      <c r="BA4" s="31">
        <v>41.0313797654642</v>
      </c>
      <c r="BB4" s="31">
        <v>0.015430279139361</v>
      </c>
      <c r="BC4" s="31">
        <v>6.42814240611925</v>
      </c>
      <c r="BD4" s="31">
        <v>249.425563859892</v>
      </c>
      <c r="BE4" s="31" t="s">
        <v>412</v>
      </c>
      <c r="BF4" s="31">
        <v>-744.13</v>
      </c>
      <c r="BG4" s="31">
        <v>-744.13</v>
      </c>
      <c r="BH4" s="31">
        <v>2.91003362509304</v>
      </c>
      <c r="BI4" s="31">
        <v>0.176072751649437</v>
      </c>
      <c r="BJ4" s="31">
        <v>0.688372374287394</v>
      </c>
      <c r="BK4" s="31">
        <v>-1.1762530493913</v>
      </c>
      <c r="BL4" s="31">
        <v>1.07269062302699</v>
      </c>
      <c r="BM4" s="31">
        <v>-0.689683031912441</v>
      </c>
      <c r="BN4" s="31">
        <v>1.68968303191244</v>
      </c>
      <c r="BO4" s="31" t="s">
        <v>413</v>
      </c>
      <c r="BP4" s="31" t="s">
        <v>413</v>
      </c>
      <c r="BQ4" s="31" t="s">
        <v>413</v>
      </c>
      <c r="BR4" s="31" t="s">
        <v>413</v>
      </c>
      <c r="BS4" s="31" t="s">
        <v>413</v>
      </c>
      <c r="BT4" s="31" t="s">
        <v>413</v>
      </c>
      <c r="BU4" s="31" t="s">
        <v>413</v>
      </c>
      <c r="BV4" s="31" t="s">
        <v>413</v>
      </c>
      <c r="BW4" s="31" t="s">
        <v>413</v>
      </c>
      <c r="BX4" s="31" t="s">
        <v>413</v>
      </c>
      <c r="BY4" s="31" t="s">
        <v>413</v>
      </c>
      <c r="BZ4" s="31" t="s">
        <v>413</v>
      </c>
      <c r="CA4" s="31" t="s">
        <v>413</v>
      </c>
      <c r="CB4" s="31" t="s">
        <v>413</v>
      </c>
      <c r="CC4" s="31" t="s">
        <v>413</v>
      </c>
      <c r="CD4" s="31" t="s">
        <v>413</v>
      </c>
      <c r="CE4" s="31" t="s">
        <v>413</v>
      </c>
      <c r="CF4" s="31" t="s">
        <v>413</v>
      </c>
      <c r="CG4" s="31" t="s">
        <v>413</v>
      </c>
      <c r="CH4" s="31" t="s">
        <v>413</v>
      </c>
      <c r="CI4" s="31" t="s">
        <v>413</v>
      </c>
      <c r="CJ4" s="31" t="s">
        <v>413</v>
      </c>
      <c r="CK4" s="31" t="s">
        <v>413</v>
      </c>
      <c r="CL4" s="31" t="s">
        <v>413</v>
      </c>
      <c r="CM4" s="31" t="s">
        <v>413</v>
      </c>
      <c r="CN4" s="31" t="s">
        <v>413</v>
      </c>
      <c r="CO4" s="31" t="s">
        <v>413</v>
      </c>
      <c r="CP4" s="31" t="s">
        <v>413</v>
      </c>
      <c r="CQ4" s="31" t="s">
        <v>413</v>
      </c>
      <c r="CR4" s="31" t="s">
        <v>413</v>
      </c>
      <c r="CS4" s="31" t="s">
        <v>413</v>
      </c>
      <c r="CT4" s="31" t="s">
        <v>413</v>
      </c>
      <c r="CU4" s="31" t="s">
        <v>413</v>
      </c>
      <c r="CV4" s="31" t="s">
        <v>413</v>
      </c>
      <c r="CW4" s="31">
        <v>189.99</v>
      </c>
      <c r="CX4" s="31">
        <v>160.160700008087</v>
      </c>
      <c r="CY4" s="31">
        <v>0.84299542085419</v>
      </c>
      <c r="CZ4" s="31">
        <v>0.165381162248587</v>
      </c>
      <c r="DA4" s="31">
        <v>6.0</v>
      </c>
      <c r="DB4" s="31">
        <v>0.5</v>
      </c>
      <c r="DC4" s="31" t="s">
        <v>414</v>
      </c>
      <c r="DD4" s="31">
        <v>2.0</v>
      </c>
      <c r="DE4" s="31">
        <v>1.7548822676E9</v>
      </c>
      <c r="DF4" s="31">
        <v>459.135999999999</v>
      </c>
      <c r="DG4" s="31">
        <v>459.934</v>
      </c>
      <c r="DH4" s="31">
        <v>36.6039</v>
      </c>
      <c r="DI4" s="31">
        <v>35.1551</v>
      </c>
      <c r="DJ4" s="31">
        <v>456.368</v>
      </c>
      <c r="DK4" s="31">
        <v>36.052</v>
      </c>
      <c r="DL4" s="31">
        <v>500.103</v>
      </c>
      <c r="DM4" s="31">
        <v>100.9</v>
      </c>
      <c r="DN4" s="31">
        <v>0.0998443</v>
      </c>
      <c r="DO4" s="31">
        <v>35.8861</v>
      </c>
      <c r="DP4" s="31">
        <v>35.9597</v>
      </c>
      <c r="DQ4" s="31">
        <v>999.9</v>
      </c>
      <c r="DR4" s="31">
        <v>0.0</v>
      </c>
      <c r="DS4" s="31">
        <v>0.0</v>
      </c>
      <c r="DT4" s="31">
        <v>9000.0</v>
      </c>
      <c r="DU4" s="31">
        <v>0.0</v>
      </c>
      <c r="DV4" s="31">
        <v>458.692</v>
      </c>
      <c r="DW4" s="31">
        <v>189.99</v>
      </c>
      <c r="DX4" s="31">
        <v>0.900092</v>
      </c>
      <c r="DY4" s="31">
        <v>0.0999081</v>
      </c>
      <c r="DZ4" s="31">
        <v>0.0</v>
      </c>
      <c r="EA4" s="31">
        <v>188.9</v>
      </c>
      <c r="EB4" s="31">
        <v>0.0999973</v>
      </c>
      <c r="EC4" s="31">
        <v>845.77</v>
      </c>
      <c r="ED4" s="31">
        <v>1684.03</v>
      </c>
      <c r="EE4" s="31">
        <v>40.75</v>
      </c>
      <c r="EF4" s="31">
        <v>43.937</v>
      </c>
      <c r="EG4" s="31">
        <v>42.25</v>
      </c>
      <c r="EH4" s="31">
        <v>43.75</v>
      </c>
      <c r="EI4" s="31">
        <v>43.375</v>
      </c>
      <c r="EJ4" s="31">
        <v>170.92</v>
      </c>
      <c r="EK4" s="31">
        <v>18.97</v>
      </c>
      <c r="EL4" s="31">
        <v>0.0</v>
      </c>
      <c r="EM4" s="31">
        <v>172.200000047683</v>
      </c>
      <c r="EN4" s="31">
        <v>0.0</v>
      </c>
      <c r="EO4" s="31">
        <v>189.972799999999</v>
      </c>
      <c r="EP4" s="31">
        <v>7.07500014104918</v>
      </c>
      <c r="EQ4" s="31">
        <v>-200.038076783015</v>
      </c>
      <c r="ER4" s="31">
        <v>877.2062</v>
      </c>
      <c r="ES4" s="31">
        <v>15.0</v>
      </c>
      <c r="ET4" s="31">
        <v>1.7548822846E9</v>
      </c>
      <c r="EU4" s="42">
        <v>0.47087962962962965</v>
      </c>
      <c r="EV4" s="31">
        <v>1.7548822846E9</v>
      </c>
      <c r="EW4" s="31">
        <v>1.7548765351E9</v>
      </c>
      <c r="EX4" s="31">
        <v>11.0</v>
      </c>
      <c r="EY4" s="31">
        <v>-0.02</v>
      </c>
      <c r="EZ4" s="31">
        <v>-0.002</v>
      </c>
      <c r="FA4" s="31">
        <v>2.768</v>
      </c>
      <c r="FB4" s="31">
        <v>0.297</v>
      </c>
      <c r="FC4" s="31">
        <v>460.0</v>
      </c>
      <c r="FD4" s="31">
        <v>20.0</v>
      </c>
      <c r="FE4" s="31">
        <v>0.23</v>
      </c>
      <c r="FF4" s="31">
        <v>0.06</v>
      </c>
      <c r="FG4" s="31">
        <v>100.0</v>
      </c>
      <c r="FH4" s="31">
        <v>100.0</v>
      </c>
      <c r="FI4" s="31">
        <v>2.768</v>
      </c>
      <c r="FJ4" s="31">
        <v>0.5519</v>
      </c>
      <c r="FK4" s="31">
        <v>2.89071154982083</v>
      </c>
      <c r="FL4" s="31">
        <v>-2.2595428698806E-4</v>
      </c>
      <c r="FM4" s="43">
        <v>5.20417301097471E-9</v>
      </c>
      <c r="FN4" s="43">
        <v>1.17243702350096E-12</v>
      </c>
      <c r="FO4" s="31">
        <v>0.551873338452037</v>
      </c>
      <c r="FP4" s="31">
        <v>0.0</v>
      </c>
      <c r="FQ4" s="31">
        <v>0.0</v>
      </c>
      <c r="FR4" s="31">
        <v>0.0</v>
      </c>
      <c r="FS4" s="31">
        <v>1.0</v>
      </c>
      <c r="FT4" s="31">
        <v>2266.0</v>
      </c>
      <c r="FU4" s="31">
        <v>1.0</v>
      </c>
      <c r="FV4" s="31">
        <v>26.0</v>
      </c>
      <c r="FW4" s="31">
        <v>5.0</v>
      </c>
      <c r="FX4" s="31">
        <v>95.5</v>
      </c>
      <c r="FY4" s="31">
        <v>1.12427</v>
      </c>
      <c r="FZ4" s="31">
        <v>2.55493</v>
      </c>
      <c r="GA4" s="31">
        <v>1.59546</v>
      </c>
      <c r="GB4" s="31">
        <v>2.31689</v>
      </c>
      <c r="GC4" s="31">
        <v>1.5979</v>
      </c>
      <c r="GD4" s="31">
        <v>2.38037</v>
      </c>
      <c r="GE4" s="31">
        <v>44.0571</v>
      </c>
      <c r="GF4" s="31">
        <v>15.498</v>
      </c>
      <c r="GG4" s="31">
        <v>18.0</v>
      </c>
      <c r="GH4" s="31">
        <v>505.661</v>
      </c>
      <c r="GI4" s="31">
        <v>462.773</v>
      </c>
      <c r="GJ4" s="31">
        <v>35.8764</v>
      </c>
      <c r="GK4" s="31">
        <v>36.1834</v>
      </c>
      <c r="GL4" s="31">
        <v>29.9994</v>
      </c>
      <c r="GM4" s="31">
        <v>36.1404</v>
      </c>
      <c r="GN4" s="31">
        <v>36.0576</v>
      </c>
      <c r="GO4" s="31">
        <v>22.5506</v>
      </c>
      <c r="GP4" s="31">
        <v>100.0</v>
      </c>
      <c r="GQ4" s="31">
        <v>0.0</v>
      </c>
      <c r="GR4" s="31">
        <v>-999.9</v>
      </c>
      <c r="GS4" s="31">
        <v>460.0</v>
      </c>
      <c r="GT4" s="31">
        <v>0.0</v>
      </c>
      <c r="GU4" s="31">
        <v>102.479</v>
      </c>
      <c r="GV4" s="31">
        <v>99.5732</v>
      </c>
    </row>
    <row r="5" ht="14.25" customHeight="1">
      <c r="A5" s="41" t="s">
        <v>94</v>
      </c>
      <c r="B5" s="41" t="s">
        <v>53</v>
      </c>
      <c r="C5" s="41" t="s">
        <v>87</v>
      </c>
      <c r="D5" s="31">
        <v>33.0</v>
      </c>
      <c r="E5" s="31">
        <v>1.7548824051E9</v>
      </c>
      <c r="F5" s="31">
        <v>4887.09999990463</v>
      </c>
      <c r="G5" s="31" t="s">
        <v>415</v>
      </c>
      <c r="H5" s="42">
        <v>0.47228009259259257</v>
      </c>
      <c r="I5" s="31" t="s">
        <v>409</v>
      </c>
      <c r="J5" s="31">
        <v>1.7548824051E9</v>
      </c>
      <c r="K5" s="31">
        <v>0.00113319452929908</v>
      </c>
      <c r="L5" s="31">
        <v>1.13319452929908</v>
      </c>
      <c r="M5" s="31">
        <v>0.453282446761</v>
      </c>
      <c r="N5" s="31">
        <v>458.824999356901</v>
      </c>
      <c r="O5" s="31">
        <v>428.735586153586</v>
      </c>
      <c r="P5" s="31">
        <v>43.3006242764041</v>
      </c>
      <c r="Q5" s="31">
        <v>46.3395378116745</v>
      </c>
      <c r="R5" s="31">
        <v>0.0512925394696504</v>
      </c>
      <c r="S5" s="31">
        <v>2.76569054246885</v>
      </c>
      <c r="T5" s="31">
        <v>0.0507698678118536</v>
      </c>
      <c r="U5" s="31">
        <v>0.0317776834084838</v>
      </c>
      <c r="V5" s="31">
        <v>31.4334277858714</v>
      </c>
      <c r="W5" s="31">
        <v>35.2357670934867</v>
      </c>
      <c r="X5" s="31">
        <v>35.4621</v>
      </c>
      <c r="Y5" s="31">
        <v>5.79452805727509</v>
      </c>
      <c r="Z5" s="31">
        <v>63.3041999884376</v>
      </c>
      <c r="AA5" s="31">
        <v>3.64562610335349</v>
      </c>
      <c r="AB5" s="31">
        <v>5.75890083757375</v>
      </c>
      <c r="AC5" s="31">
        <v>2.14890195392159</v>
      </c>
      <c r="AD5" s="31">
        <v>-49.9738787420894</v>
      </c>
      <c r="AE5" s="31">
        <v>-16.6549065823072</v>
      </c>
      <c r="AF5" s="31">
        <v>-1.41195010646813</v>
      </c>
      <c r="AG5" s="31">
        <v>-36.6073076449933</v>
      </c>
      <c r="AH5" s="31">
        <v>0.0</v>
      </c>
      <c r="AI5" s="31">
        <v>0.0</v>
      </c>
      <c r="AJ5" s="31">
        <v>1.0</v>
      </c>
      <c r="AK5" s="31">
        <v>0.0</v>
      </c>
      <c r="AL5" s="31">
        <v>46921.0</v>
      </c>
      <c r="AM5" s="31" t="s">
        <v>410</v>
      </c>
      <c r="AN5" s="31">
        <v>8173.37</v>
      </c>
      <c r="AO5" s="31">
        <v>559.295999999999</v>
      </c>
      <c r="AP5" s="31">
        <v>2893.93</v>
      </c>
      <c r="AQ5" s="31">
        <v>0.806734786259515</v>
      </c>
      <c r="AR5" s="31">
        <v>-2.38169762951563</v>
      </c>
      <c r="AS5" s="31" t="s">
        <v>416</v>
      </c>
      <c r="AT5" s="31">
        <v>8189.46</v>
      </c>
      <c r="AU5" s="31">
        <v>182.549</v>
      </c>
      <c r="AV5" s="31">
        <v>386.4</v>
      </c>
      <c r="AW5" s="31">
        <v>0.52756469979296</v>
      </c>
      <c r="AX5" s="31">
        <v>0.5</v>
      </c>
      <c r="AY5" s="31">
        <v>160.221786003042</v>
      </c>
      <c r="AZ5" s="31">
        <v>0.453282446761</v>
      </c>
      <c r="BA5" s="31">
        <v>42.2636792164934</v>
      </c>
      <c r="BB5" s="31">
        <v>0.017694098580469</v>
      </c>
      <c r="BC5" s="31">
        <v>6.489466873706</v>
      </c>
      <c r="BD5" s="31">
        <v>248.114154533501</v>
      </c>
      <c r="BE5" s="31" t="s">
        <v>417</v>
      </c>
      <c r="BF5" s="31">
        <v>-249.6</v>
      </c>
      <c r="BG5" s="31">
        <v>-249.6</v>
      </c>
      <c r="BH5" s="31">
        <v>1.64596273291925</v>
      </c>
      <c r="BI5" s="31">
        <v>0.320520440251572</v>
      </c>
      <c r="BJ5" s="31">
        <v>0.797679678577904</v>
      </c>
      <c r="BK5" s="31">
        <v>-1.17903826577827</v>
      </c>
      <c r="BL5" s="31">
        <v>1.07405700422421</v>
      </c>
      <c r="BM5" s="31">
        <v>-0.438248918848048</v>
      </c>
      <c r="BN5" s="31">
        <v>1.43824891884804</v>
      </c>
      <c r="BO5" s="31" t="s">
        <v>413</v>
      </c>
      <c r="BP5" s="31" t="s">
        <v>413</v>
      </c>
      <c r="BQ5" s="31" t="s">
        <v>413</v>
      </c>
      <c r="BR5" s="31" t="s">
        <v>413</v>
      </c>
      <c r="BS5" s="31" t="s">
        <v>413</v>
      </c>
      <c r="BT5" s="31" t="s">
        <v>413</v>
      </c>
      <c r="BU5" s="31" t="s">
        <v>413</v>
      </c>
      <c r="BV5" s="31" t="s">
        <v>413</v>
      </c>
      <c r="BW5" s="31" t="s">
        <v>413</v>
      </c>
      <c r="BX5" s="31" t="s">
        <v>413</v>
      </c>
      <c r="BY5" s="31" t="s">
        <v>413</v>
      </c>
      <c r="BZ5" s="31" t="s">
        <v>413</v>
      </c>
      <c r="CA5" s="31" t="s">
        <v>413</v>
      </c>
      <c r="CB5" s="31" t="s">
        <v>413</v>
      </c>
      <c r="CC5" s="31" t="s">
        <v>413</v>
      </c>
      <c r="CD5" s="31" t="s">
        <v>413</v>
      </c>
      <c r="CE5" s="31" t="s">
        <v>413</v>
      </c>
      <c r="CF5" s="31" t="s">
        <v>413</v>
      </c>
      <c r="CG5" s="31" t="s">
        <v>413</v>
      </c>
      <c r="CH5" s="31" t="s">
        <v>413</v>
      </c>
      <c r="CI5" s="31" t="s">
        <v>413</v>
      </c>
      <c r="CJ5" s="31" t="s">
        <v>413</v>
      </c>
      <c r="CK5" s="31" t="s">
        <v>413</v>
      </c>
      <c r="CL5" s="31" t="s">
        <v>413</v>
      </c>
      <c r="CM5" s="31" t="s">
        <v>413</v>
      </c>
      <c r="CN5" s="31" t="s">
        <v>413</v>
      </c>
      <c r="CO5" s="31" t="s">
        <v>413</v>
      </c>
      <c r="CP5" s="31" t="s">
        <v>413</v>
      </c>
      <c r="CQ5" s="31" t="s">
        <v>413</v>
      </c>
      <c r="CR5" s="31" t="s">
        <v>413</v>
      </c>
      <c r="CS5" s="31" t="s">
        <v>413</v>
      </c>
      <c r="CT5" s="31" t="s">
        <v>413</v>
      </c>
      <c r="CU5" s="31" t="s">
        <v>413</v>
      </c>
      <c r="CV5" s="31" t="s">
        <v>413</v>
      </c>
      <c r="CW5" s="31">
        <v>190.062</v>
      </c>
      <c r="CX5" s="31">
        <v>160.221786003042</v>
      </c>
      <c r="CY5" s="31">
        <v>0.842997474524324</v>
      </c>
      <c r="CZ5" s="31">
        <v>0.165385125831946</v>
      </c>
      <c r="DA5" s="31">
        <v>6.0</v>
      </c>
      <c r="DB5" s="31">
        <v>0.5</v>
      </c>
      <c r="DC5" s="31" t="s">
        <v>414</v>
      </c>
      <c r="DD5" s="31">
        <v>2.0</v>
      </c>
      <c r="DE5" s="31">
        <v>1.7548824051E9</v>
      </c>
      <c r="DF5" s="31">
        <v>458.825</v>
      </c>
      <c r="DG5" s="31">
        <v>459.993</v>
      </c>
      <c r="DH5" s="31">
        <v>36.0967</v>
      </c>
      <c r="DI5" s="31">
        <v>34.7858</v>
      </c>
      <c r="DJ5" s="31">
        <v>456.056</v>
      </c>
      <c r="DK5" s="31">
        <v>35.5448</v>
      </c>
      <c r="DL5" s="31">
        <v>499.942</v>
      </c>
      <c r="DM5" s="31">
        <v>100.896</v>
      </c>
      <c r="DN5" s="31">
        <v>0.100105</v>
      </c>
      <c r="DO5" s="31">
        <v>35.3504</v>
      </c>
      <c r="DP5" s="31">
        <v>35.4621</v>
      </c>
      <c r="DQ5" s="31">
        <v>999.9</v>
      </c>
      <c r="DR5" s="31">
        <v>0.0</v>
      </c>
      <c r="DS5" s="31">
        <v>0.0</v>
      </c>
      <c r="DT5" s="31">
        <v>9013.12</v>
      </c>
      <c r="DU5" s="31">
        <v>0.0</v>
      </c>
      <c r="DV5" s="31">
        <v>712.928</v>
      </c>
      <c r="DW5" s="31">
        <v>190.062</v>
      </c>
      <c r="DX5" s="31">
        <v>0.900023</v>
      </c>
      <c r="DY5" s="31">
        <v>0.0999769</v>
      </c>
      <c r="DZ5" s="31">
        <v>0.0</v>
      </c>
      <c r="EA5" s="31">
        <v>181.55</v>
      </c>
      <c r="EB5" s="31">
        <v>0.0999973</v>
      </c>
      <c r="EC5" s="31">
        <v>1459.37</v>
      </c>
      <c r="ED5" s="31">
        <v>1684.62</v>
      </c>
      <c r="EE5" s="31">
        <v>40.437</v>
      </c>
      <c r="EF5" s="31">
        <v>43.562</v>
      </c>
      <c r="EG5" s="31">
        <v>41.875</v>
      </c>
      <c r="EH5" s="31">
        <v>43.437</v>
      </c>
      <c r="EI5" s="31">
        <v>43.062</v>
      </c>
      <c r="EJ5" s="31">
        <v>170.97</v>
      </c>
      <c r="EK5" s="31">
        <v>18.99</v>
      </c>
      <c r="EL5" s="31">
        <v>0.0</v>
      </c>
      <c r="EM5" s="31">
        <v>135.0</v>
      </c>
      <c r="EN5" s="31">
        <v>0.0</v>
      </c>
      <c r="EO5" s="31">
        <v>182.549</v>
      </c>
      <c r="EP5" s="31">
        <v>0.704230708953483</v>
      </c>
      <c r="EQ5" s="31">
        <v>-35.823846062939</v>
      </c>
      <c r="ER5" s="31">
        <v>1461.4232</v>
      </c>
      <c r="ES5" s="31">
        <v>15.0</v>
      </c>
      <c r="ET5" s="31">
        <v>1.7548822846E9</v>
      </c>
      <c r="EU5" s="42">
        <v>0.47087962962962965</v>
      </c>
      <c r="EV5" s="31">
        <v>1.7548822846E9</v>
      </c>
      <c r="EW5" s="31">
        <v>1.7548765351E9</v>
      </c>
      <c r="EX5" s="31">
        <v>11.0</v>
      </c>
      <c r="EY5" s="31">
        <v>-0.02</v>
      </c>
      <c r="EZ5" s="31">
        <v>-0.002</v>
      </c>
      <c r="FA5" s="31">
        <v>2.768</v>
      </c>
      <c r="FB5" s="31">
        <v>0.297</v>
      </c>
      <c r="FC5" s="31">
        <v>460.0</v>
      </c>
      <c r="FD5" s="31">
        <v>20.0</v>
      </c>
      <c r="FE5" s="31">
        <v>0.23</v>
      </c>
      <c r="FF5" s="31">
        <v>0.06</v>
      </c>
      <c r="FG5" s="31">
        <v>100.0</v>
      </c>
      <c r="FH5" s="31">
        <v>100.0</v>
      </c>
      <c r="FI5" s="31">
        <v>2.769</v>
      </c>
      <c r="FJ5" s="31">
        <v>0.5519</v>
      </c>
      <c r="FK5" s="31">
        <v>2.8706141843172</v>
      </c>
      <c r="FL5" s="31">
        <v>-2.2595428698806E-4</v>
      </c>
      <c r="FM5" s="43">
        <v>5.20417301097471E-9</v>
      </c>
      <c r="FN5" s="43">
        <v>1.17243702350096E-12</v>
      </c>
      <c r="FO5" s="31">
        <v>0.551873338452037</v>
      </c>
      <c r="FP5" s="31">
        <v>0.0</v>
      </c>
      <c r="FQ5" s="31">
        <v>0.0</v>
      </c>
      <c r="FR5" s="31">
        <v>0.0</v>
      </c>
      <c r="FS5" s="31">
        <v>1.0</v>
      </c>
      <c r="FT5" s="31">
        <v>2266.0</v>
      </c>
      <c r="FU5" s="31">
        <v>1.0</v>
      </c>
      <c r="FV5" s="31">
        <v>26.0</v>
      </c>
      <c r="FW5" s="31">
        <v>2.0</v>
      </c>
      <c r="FX5" s="31">
        <v>97.8</v>
      </c>
      <c r="FY5" s="31">
        <v>1.12427</v>
      </c>
      <c r="FZ5" s="31">
        <v>2.55859</v>
      </c>
      <c r="GA5" s="31">
        <v>1.59546</v>
      </c>
      <c r="GB5" s="31">
        <v>2.31567</v>
      </c>
      <c r="GC5" s="31">
        <v>1.5979</v>
      </c>
      <c r="GD5" s="31">
        <v>2.38525</v>
      </c>
      <c r="GE5" s="31">
        <v>43.7817</v>
      </c>
      <c r="GF5" s="31">
        <v>15.4804</v>
      </c>
      <c r="GG5" s="31">
        <v>18.0</v>
      </c>
      <c r="GH5" s="31">
        <v>507.155</v>
      </c>
      <c r="GI5" s="31">
        <v>462.888</v>
      </c>
      <c r="GJ5" s="31">
        <v>35.6233</v>
      </c>
      <c r="GK5" s="31">
        <v>36.0594</v>
      </c>
      <c r="GL5" s="31">
        <v>30.0</v>
      </c>
      <c r="GM5" s="31">
        <v>36.0495</v>
      </c>
      <c r="GN5" s="31">
        <v>35.9858</v>
      </c>
      <c r="GO5" s="31">
        <v>22.5586</v>
      </c>
      <c r="GP5" s="31">
        <v>100.0</v>
      </c>
      <c r="GQ5" s="31">
        <v>0.0</v>
      </c>
      <c r="GR5" s="31">
        <v>-999.9</v>
      </c>
      <c r="GS5" s="31">
        <v>460.0</v>
      </c>
      <c r="GT5" s="31">
        <v>0.0</v>
      </c>
      <c r="GU5" s="31">
        <v>102.477</v>
      </c>
      <c r="GV5" s="31">
        <v>99.587</v>
      </c>
    </row>
    <row r="6" ht="14.25" customHeight="1">
      <c r="A6" s="41" t="s">
        <v>94</v>
      </c>
      <c r="B6" s="41" t="s">
        <v>57</v>
      </c>
      <c r="C6" s="41" t="s">
        <v>86</v>
      </c>
      <c r="D6" s="31">
        <v>46.0</v>
      </c>
      <c r="E6" s="31">
        <v>1.7548842125E9</v>
      </c>
      <c r="F6" s="31">
        <v>6694.5</v>
      </c>
      <c r="G6" s="31" t="s">
        <v>418</v>
      </c>
      <c r="H6" s="42">
        <v>0.49319444444444444</v>
      </c>
      <c r="I6" s="31" t="s">
        <v>409</v>
      </c>
      <c r="J6" s="31">
        <v>1.7548842125E9</v>
      </c>
      <c r="K6" s="31">
        <v>0.0051701327646627</v>
      </c>
      <c r="L6" s="31">
        <v>5.1701327646627</v>
      </c>
      <c r="M6" s="31">
        <v>2.92282329307938</v>
      </c>
      <c r="N6" s="31">
        <v>453.7119958367</v>
      </c>
      <c r="O6" s="31">
        <v>425.863046925715</v>
      </c>
      <c r="P6" s="31">
        <v>42.9990234765538</v>
      </c>
      <c r="Q6" s="31">
        <v>45.8109077587552</v>
      </c>
      <c r="R6" s="31">
        <v>0.3146667375532</v>
      </c>
      <c r="S6" s="31">
        <v>2.7627710252249</v>
      </c>
      <c r="T6" s="31">
        <v>0.296025892428586</v>
      </c>
      <c r="U6" s="31">
        <v>0.186598897627057</v>
      </c>
      <c r="V6" s="31">
        <v>31.4302357870908</v>
      </c>
      <c r="W6" s="31">
        <v>34.3872706978052</v>
      </c>
      <c r="X6" s="31">
        <v>35.0801</v>
      </c>
      <c r="Y6" s="31">
        <v>5.67347402106424</v>
      </c>
      <c r="Z6" s="31">
        <v>68.3990516859</v>
      </c>
      <c r="AA6" s="31">
        <v>3.99446014356199</v>
      </c>
      <c r="AB6" s="31">
        <v>5.83993497732282</v>
      </c>
      <c r="AC6" s="31">
        <v>1.67901387750224</v>
      </c>
      <c r="AD6" s="31">
        <v>-228.002854921625</v>
      </c>
      <c r="AE6" s="31">
        <v>77.9734987764926</v>
      </c>
      <c r="AF6" s="31">
        <v>6.61319108269846</v>
      </c>
      <c r="AG6" s="31">
        <v>-111.985929275343</v>
      </c>
      <c r="AH6" s="31">
        <v>0.0</v>
      </c>
      <c r="AI6" s="31">
        <v>0.0</v>
      </c>
      <c r="AJ6" s="31">
        <v>1.0</v>
      </c>
      <c r="AK6" s="31">
        <v>0.0</v>
      </c>
      <c r="AL6" s="31">
        <v>46803.0</v>
      </c>
      <c r="AM6" s="31" t="s">
        <v>410</v>
      </c>
      <c r="AN6" s="31">
        <v>8173.37</v>
      </c>
      <c r="AO6" s="31">
        <v>559.295999999999</v>
      </c>
      <c r="AP6" s="31">
        <v>2893.93</v>
      </c>
      <c r="AQ6" s="31">
        <v>0.806734786259515</v>
      </c>
      <c r="AR6" s="31">
        <v>-2.38169762951563</v>
      </c>
      <c r="AS6" s="31" t="s">
        <v>419</v>
      </c>
      <c r="AT6" s="31">
        <v>8139.63</v>
      </c>
      <c r="AU6" s="31">
        <v>464.724423076923</v>
      </c>
      <c r="AV6" s="31">
        <v>1217.7</v>
      </c>
      <c r="AW6" s="31">
        <v>0.618358854334464</v>
      </c>
      <c r="AX6" s="31">
        <v>0.5</v>
      </c>
      <c r="AY6" s="31">
        <v>160.204986003673</v>
      </c>
      <c r="AZ6" s="31">
        <v>2.92282329307938</v>
      </c>
      <c r="BA6" s="31">
        <v>49.5320858019503</v>
      </c>
      <c r="BB6" s="31">
        <v>0.0331108354047942</v>
      </c>
      <c r="BC6" s="31">
        <v>1.37655415948098</v>
      </c>
      <c r="BD6" s="31">
        <v>441.768020791493</v>
      </c>
      <c r="BE6" s="31" t="s">
        <v>420</v>
      </c>
      <c r="BF6" s="31">
        <v>-211.73</v>
      </c>
      <c r="BG6" s="31">
        <v>-211.73</v>
      </c>
      <c r="BH6" s="31">
        <v>1.17387698119405</v>
      </c>
      <c r="BI6" s="31">
        <v>0.526766317289462</v>
      </c>
      <c r="BJ6" s="31">
        <v>0.539733905192455</v>
      </c>
      <c r="BK6" s="31">
        <v>1.14363760992198</v>
      </c>
      <c r="BL6" s="31">
        <v>0.717984060884918</v>
      </c>
      <c r="BM6" s="31">
        <v>-0.23999649431215</v>
      </c>
      <c r="BN6" s="31">
        <v>1.23999649431215</v>
      </c>
      <c r="BO6" s="31" t="s">
        <v>413</v>
      </c>
      <c r="BP6" s="31" t="s">
        <v>413</v>
      </c>
      <c r="BQ6" s="31" t="s">
        <v>413</v>
      </c>
      <c r="BR6" s="31" t="s">
        <v>413</v>
      </c>
      <c r="BS6" s="31" t="s">
        <v>413</v>
      </c>
      <c r="BT6" s="31" t="s">
        <v>413</v>
      </c>
      <c r="BU6" s="31" t="s">
        <v>413</v>
      </c>
      <c r="BV6" s="31" t="s">
        <v>413</v>
      </c>
      <c r="BW6" s="31" t="s">
        <v>413</v>
      </c>
      <c r="BX6" s="31" t="s">
        <v>413</v>
      </c>
      <c r="BY6" s="31" t="s">
        <v>413</v>
      </c>
      <c r="BZ6" s="31" t="s">
        <v>413</v>
      </c>
      <c r="CA6" s="31" t="s">
        <v>413</v>
      </c>
      <c r="CB6" s="31" t="s">
        <v>413</v>
      </c>
      <c r="CC6" s="31" t="s">
        <v>413</v>
      </c>
      <c r="CD6" s="31" t="s">
        <v>413</v>
      </c>
      <c r="CE6" s="31" t="s">
        <v>413</v>
      </c>
      <c r="CF6" s="31" t="s">
        <v>413</v>
      </c>
      <c r="CG6" s="31" t="s">
        <v>413</v>
      </c>
      <c r="CH6" s="31" t="s">
        <v>413</v>
      </c>
      <c r="CI6" s="31" t="s">
        <v>413</v>
      </c>
      <c r="CJ6" s="31" t="s">
        <v>413</v>
      </c>
      <c r="CK6" s="31" t="s">
        <v>413</v>
      </c>
      <c r="CL6" s="31" t="s">
        <v>413</v>
      </c>
      <c r="CM6" s="31" t="s">
        <v>413</v>
      </c>
      <c r="CN6" s="31" t="s">
        <v>413</v>
      </c>
      <c r="CO6" s="31" t="s">
        <v>413</v>
      </c>
      <c r="CP6" s="31" t="s">
        <v>413</v>
      </c>
      <c r="CQ6" s="31" t="s">
        <v>413</v>
      </c>
      <c r="CR6" s="31" t="s">
        <v>413</v>
      </c>
      <c r="CS6" s="31" t="s">
        <v>413</v>
      </c>
      <c r="CT6" s="31" t="s">
        <v>413</v>
      </c>
      <c r="CU6" s="31" t="s">
        <v>413</v>
      </c>
      <c r="CV6" s="31" t="s">
        <v>413</v>
      </c>
      <c r="CW6" s="31">
        <v>190.042</v>
      </c>
      <c r="CX6" s="31">
        <v>160.204986003673</v>
      </c>
      <c r="CY6" s="31">
        <v>0.842997789981551</v>
      </c>
      <c r="CZ6" s="31">
        <v>0.165385734664394</v>
      </c>
      <c r="DA6" s="31">
        <v>6.0</v>
      </c>
      <c r="DB6" s="31">
        <v>0.5</v>
      </c>
      <c r="DC6" s="31" t="s">
        <v>414</v>
      </c>
      <c r="DD6" s="31">
        <v>2.0</v>
      </c>
      <c r="DE6" s="31">
        <v>1.7548842125E9</v>
      </c>
      <c r="DF6" s="31">
        <v>453.712</v>
      </c>
      <c r="DG6" s="31">
        <v>460.033</v>
      </c>
      <c r="DH6" s="31">
        <v>39.5612</v>
      </c>
      <c r="DI6" s="31">
        <v>33.6037</v>
      </c>
      <c r="DJ6" s="31">
        <v>450.734</v>
      </c>
      <c r="DK6" s="31">
        <v>39.0093</v>
      </c>
      <c r="DL6" s="31">
        <v>500.102</v>
      </c>
      <c r="DM6" s="31">
        <v>100.869</v>
      </c>
      <c r="DN6" s="31">
        <v>0.100135</v>
      </c>
      <c r="DO6" s="31">
        <v>35.6036</v>
      </c>
      <c r="DP6" s="31">
        <v>35.0801</v>
      </c>
      <c r="DQ6" s="31">
        <v>999.9</v>
      </c>
      <c r="DR6" s="31">
        <v>0.0</v>
      </c>
      <c r="DS6" s="31">
        <v>0.0</v>
      </c>
      <c r="DT6" s="31">
        <v>9000.0</v>
      </c>
      <c r="DU6" s="31">
        <v>0.0</v>
      </c>
      <c r="DV6" s="31">
        <v>1696.87</v>
      </c>
      <c r="DW6" s="31">
        <v>190.042</v>
      </c>
      <c r="DX6" s="31">
        <v>0.900016</v>
      </c>
      <c r="DY6" s="31">
        <v>0.0999838</v>
      </c>
      <c r="DZ6" s="31">
        <v>0.0</v>
      </c>
      <c r="EA6" s="31">
        <v>464.465</v>
      </c>
      <c r="EB6" s="31">
        <v>0.0999973</v>
      </c>
      <c r="EC6" s="31">
        <v>3221.04</v>
      </c>
      <c r="ED6" s="31">
        <v>1684.44</v>
      </c>
      <c r="EE6" s="31">
        <v>40.625</v>
      </c>
      <c r="EF6" s="31">
        <v>44.5</v>
      </c>
      <c r="EG6" s="31">
        <v>42.187</v>
      </c>
      <c r="EH6" s="31">
        <v>44.0</v>
      </c>
      <c r="EI6" s="31">
        <v>43.25</v>
      </c>
      <c r="EJ6" s="31">
        <v>170.95</v>
      </c>
      <c r="EK6" s="31">
        <v>18.99</v>
      </c>
      <c r="EL6" s="31">
        <v>0.0</v>
      </c>
      <c r="EM6" s="31">
        <v>133.799999952316</v>
      </c>
      <c r="EN6" s="31">
        <v>0.0</v>
      </c>
      <c r="EO6" s="31">
        <v>464.724423076923</v>
      </c>
      <c r="EP6" s="31">
        <v>-18.8025641620474</v>
      </c>
      <c r="EQ6" s="31">
        <v>-878.364787322889</v>
      </c>
      <c r="ER6" s="31">
        <v>3276.43192307692</v>
      </c>
      <c r="ES6" s="31">
        <v>15.0</v>
      </c>
      <c r="ET6" s="31">
        <v>1.754883664E9</v>
      </c>
      <c r="EU6" s="42">
        <v>0.48685185185185187</v>
      </c>
      <c r="EV6" s="31">
        <v>1.754883664E9</v>
      </c>
      <c r="EW6" s="31">
        <v>1.7548765351E9</v>
      </c>
      <c r="EX6" s="31">
        <v>13.0</v>
      </c>
      <c r="EY6" s="31">
        <v>0.084</v>
      </c>
      <c r="EZ6" s="31">
        <v>-0.002</v>
      </c>
      <c r="FA6" s="31">
        <v>2.977</v>
      </c>
      <c r="FB6" s="31">
        <v>0.297</v>
      </c>
      <c r="FC6" s="31">
        <v>460.0</v>
      </c>
      <c r="FD6" s="31">
        <v>20.0</v>
      </c>
      <c r="FE6" s="31">
        <v>0.35</v>
      </c>
      <c r="FF6" s="31">
        <v>0.06</v>
      </c>
      <c r="FG6" s="31">
        <v>100.0</v>
      </c>
      <c r="FH6" s="31">
        <v>100.0</v>
      </c>
      <c r="FI6" s="31">
        <v>2.978</v>
      </c>
      <c r="FJ6" s="31">
        <v>0.5519</v>
      </c>
      <c r="FK6" s="31">
        <v>3.07863359537776</v>
      </c>
      <c r="FL6" s="31">
        <v>-2.2595428698806E-4</v>
      </c>
      <c r="FM6" s="43">
        <v>5.20417301097471E-9</v>
      </c>
      <c r="FN6" s="43">
        <v>1.17243702350096E-12</v>
      </c>
      <c r="FO6" s="31">
        <v>0.551873338452037</v>
      </c>
      <c r="FP6" s="31">
        <v>0.0</v>
      </c>
      <c r="FQ6" s="31">
        <v>0.0</v>
      </c>
      <c r="FR6" s="31">
        <v>0.0</v>
      </c>
      <c r="FS6" s="31">
        <v>1.0</v>
      </c>
      <c r="FT6" s="31">
        <v>2266.0</v>
      </c>
      <c r="FU6" s="31">
        <v>1.0</v>
      </c>
      <c r="FV6" s="31">
        <v>26.0</v>
      </c>
      <c r="FW6" s="31">
        <v>9.1</v>
      </c>
      <c r="FX6" s="31">
        <v>128.0</v>
      </c>
      <c r="FY6" s="31">
        <v>1.12427</v>
      </c>
      <c r="FZ6" s="31">
        <v>2.55615</v>
      </c>
      <c r="GA6" s="31">
        <v>1.59668</v>
      </c>
      <c r="GB6" s="31">
        <v>2.31812</v>
      </c>
      <c r="GC6" s="31">
        <v>1.5979</v>
      </c>
      <c r="GD6" s="31">
        <v>2.3877</v>
      </c>
      <c r="GE6" s="31">
        <v>43.5081</v>
      </c>
      <c r="GF6" s="31">
        <v>15.2353</v>
      </c>
      <c r="GG6" s="31">
        <v>18.0</v>
      </c>
      <c r="GH6" s="31">
        <v>508.993</v>
      </c>
      <c r="GI6" s="31">
        <v>464.963</v>
      </c>
      <c r="GJ6" s="31">
        <v>35.4379</v>
      </c>
      <c r="GK6" s="31">
        <v>35.3083</v>
      </c>
      <c r="GL6" s="31">
        <v>30.0004</v>
      </c>
      <c r="GM6" s="31">
        <v>35.247</v>
      </c>
      <c r="GN6" s="31">
        <v>35.1805</v>
      </c>
      <c r="GO6" s="31">
        <v>22.5513</v>
      </c>
      <c r="GP6" s="31">
        <v>100.0</v>
      </c>
      <c r="GQ6" s="31">
        <v>0.0</v>
      </c>
      <c r="GR6" s="31">
        <v>-999.9</v>
      </c>
      <c r="GS6" s="31">
        <v>460.0</v>
      </c>
      <c r="GT6" s="31">
        <v>0.0</v>
      </c>
      <c r="GU6" s="31">
        <v>102.576</v>
      </c>
      <c r="GV6" s="31">
        <v>99.7402</v>
      </c>
    </row>
    <row r="7" ht="14.25" customHeight="1">
      <c r="A7" s="41" t="s">
        <v>94</v>
      </c>
      <c r="B7" s="41" t="s">
        <v>57</v>
      </c>
      <c r="C7" s="41" t="s">
        <v>87</v>
      </c>
      <c r="D7" s="31">
        <v>47.0</v>
      </c>
      <c r="E7" s="31">
        <v>1.7548843415E9</v>
      </c>
      <c r="F7" s="31">
        <v>6823.5</v>
      </c>
      <c r="G7" s="31" t="s">
        <v>421</v>
      </c>
      <c r="H7" s="42">
        <v>0.4946875</v>
      </c>
      <c r="I7" s="31" t="s">
        <v>409</v>
      </c>
      <c r="J7" s="31">
        <v>1.7548843415E9</v>
      </c>
      <c r="K7" s="31">
        <v>0.00303275448831333</v>
      </c>
      <c r="L7" s="31">
        <v>3.03275448831333</v>
      </c>
      <c r="M7" s="31">
        <v>0.248777841697979</v>
      </c>
      <c r="N7" s="31">
        <v>458.052999644286</v>
      </c>
      <c r="O7" s="31">
        <v>438.461443992855</v>
      </c>
      <c r="P7" s="31">
        <v>44.2732146149634</v>
      </c>
      <c r="Q7" s="31">
        <v>46.2514527471421</v>
      </c>
      <c r="R7" s="31">
        <v>0.134376623017347</v>
      </c>
      <c r="S7" s="31">
        <v>2.76050323012684</v>
      </c>
      <c r="T7" s="31">
        <v>0.13084559313583</v>
      </c>
      <c r="U7" s="31">
        <v>0.0820880164750771</v>
      </c>
      <c r="V7" s="31">
        <v>31.4239346256329</v>
      </c>
      <c r="W7" s="31">
        <v>35.3096576175546</v>
      </c>
      <c r="X7" s="31">
        <v>35.96</v>
      </c>
      <c r="Y7" s="31">
        <v>5.95567514297928</v>
      </c>
      <c r="Z7" s="31">
        <v>62.6456693786132</v>
      </c>
      <c r="AA7" s="31">
        <v>3.72750643531</v>
      </c>
      <c r="AB7" s="31">
        <v>5.95014224013151</v>
      </c>
      <c r="AC7" s="31">
        <v>2.22816870766928</v>
      </c>
      <c r="AD7" s="31">
        <v>-133.744472934617</v>
      </c>
      <c r="AE7" s="31">
        <v>-2.51512982740986</v>
      </c>
      <c r="AF7" s="31">
        <v>-0.214760541982477</v>
      </c>
      <c r="AG7" s="31">
        <v>-105.050428678377</v>
      </c>
      <c r="AH7" s="31">
        <v>0.0</v>
      </c>
      <c r="AI7" s="31">
        <v>0.0</v>
      </c>
      <c r="AJ7" s="31">
        <v>1.0</v>
      </c>
      <c r="AK7" s="31">
        <v>0.0</v>
      </c>
      <c r="AL7" s="31">
        <v>46690.0</v>
      </c>
      <c r="AM7" s="31" t="s">
        <v>410</v>
      </c>
      <c r="AN7" s="31">
        <v>8173.37</v>
      </c>
      <c r="AO7" s="31">
        <v>559.295999999999</v>
      </c>
      <c r="AP7" s="31">
        <v>2893.93</v>
      </c>
      <c r="AQ7" s="31">
        <v>0.806734786259515</v>
      </c>
      <c r="AR7" s="31">
        <v>-2.38169762951563</v>
      </c>
      <c r="AS7" s="31" t="s">
        <v>422</v>
      </c>
      <c r="AT7" s="31">
        <v>8157.43</v>
      </c>
      <c r="AU7" s="31">
        <v>138.928461538461</v>
      </c>
      <c r="AV7" s="31">
        <v>332.7</v>
      </c>
      <c r="AW7" s="31">
        <v>0.582421215694434</v>
      </c>
      <c r="AX7" s="31">
        <v>0.5</v>
      </c>
      <c r="AY7" s="31">
        <v>160.169157008099</v>
      </c>
      <c r="AZ7" s="31">
        <v>0.248777841697979</v>
      </c>
      <c r="BA7" s="31">
        <v>46.6429575707052</v>
      </c>
      <c r="BB7" s="31">
        <v>0.016423108670545</v>
      </c>
      <c r="BC7" s="31">
        <v>7.69831680192365</v>
      </c>
      <c r="BD7" s="31">
        <v>224.813977669317</v>
      </c>
      <c r="BE7" s="31" t="s">
        <v>423</v>
      </c>
      <c r="BF7" s="31">
        <v>-496.93</v>
      </c>
      <c r="BG7" s="31">
        <v>-496.93</v>
      </c>
      <c r="BH7" s="31">
        <v>2.49362789299669</v>
      </c>
      <c r="BI7" s="31">
        <v>0.233563803697477</v>
      </c>
      <c r="BJ7" s="31">
        <v>0.755333455229646</v>
      </c>
      <c r="BK7" s="31">
        <v>-0.855141037183085</v>
      </c>
      <c r="BL7" s="31">
        <v>1.09705846826526</v>
      </c>
      <c r="BM7" s="31">
        <v>-0.835428966002446</v>
      </c>
      <c r="BN7" s="31">
        <v>1.83542896600244</v>
      </c>
      <c r="BO7" s="31" t="s">
        <v>413</v>
      </c>
      <c r="BP7" s="31" t="s">
        <v>413</v>
      </c>
      <c r="BQ7" s="31" t="s">
        <v>413</v>
      </c>
      <c r="BR7" s="31" t="s">
        <v>413</v>
      </c>
      <c r="BS7" s="31" t="s">
        <v>413</v>
      </c>
      <c r="BT7" s="31" t="s">
        <v>413</v>
      </c>
      <c r="BU7" s="31" t="s">
        <v>413</v>
      </c>
      <c r="BV7" s="31" t="s">
        <v>413</v>
      </c>
      <c r="BW7" s="31" t="s">
        <v>413</v>
      </c>
      <c r="BX7" s="31" t="s">
        <v>413</v>
      </c>
      <c r="BY7" s="31" t="s">
        <v>413</v>
      </c>
      <c r="BZ7" s="31" t="s">
        <v>413</v>
      </c>
      <c r="CA7" s="31" t="s">
        <v>413</v>
      </c>
      <c r="CB7" s="31" t="s">
        <v>413</v>
      </c>
      <c r="CC7" s="31" t="s">
        <v>413</v>
      </c>
      <c r="CD7" s="31" t="s">
        <v>413</v>
      </c>
      <c r="CE7" s="31" t="s">
        <v>413</v>
      </c>
      <c r="CF7" s="31" t="s">
        <v>413</v>
      </c>
      <c r="CG7" s="31" t="s">
        <v>413</v>
      </c>
      <c r="CH7" s="31" t="s">
        <v>413</v>
      </c>
      <c r="CI7" s="31" t="s">
        <v>413</v>
      </c>
      <c r="CJ7" s="31" t="s">
        <v>413</v>
      </c>
      <c r="CK7" s="31" t="s">
        <v>413</v>
      </c>
      <c r="CL7" s="31" t="s">
        <v>413</v>
      </c>
      <c r="CM7" s="31" t="s">
        <v>413</v>
      </c>
      <c r="CN7" s="31" t="s">
        <v>413</v>
      </c>
      <c r="CO7" s="31" t="s">
        <v>413</v>
      </c>
      <c r="CP7" s="31" t="s">
        <v>413</v>
      </c>
      <c r="CQ7" s="31" t="s">
        <v>413</v>
      </c>
      <c r="CR7" s="31" t="s">
        <v>413</v>
      </c>
      <c r="CS7" s="31" t="s">
        <v>413</v>
      </c>
      <c r="CT7" s="31" t="s">
        <v>413</v>
      </c>
      <c r="CU7" s="31" t="s">
        <v>413</v>
      </c>
      <c r="CV7" s="31" t="s">
        <v>413</v>
      </c>
      <c r="CW7" s="31">
        <v>189.999</v>
      </c>
      <c r="CX7" s="31">
        <v>160.169157008099</v>
      </c>
      <c r="CY7" s="31">
        <v>0.843000000042631</v>
      </c>
      <c r="CZ7" s="31">
        <v>0.165390000082278</v>
      </c>
      <c r="DA7" s="31">
        <v>6.0</v>
      </c>
      <c r="DB7" s="31">
        <v>0.5</v>
      </c>
      <c r="DC7" s="31" t="s">
        <v>414</v>
      </c>
      <c r="DD7" s="31">
        <v>2.0</v>
      </c>
      <c r="DE7" s="31">
        <v>1.7548843415E9</v>
      </c>
      <c r="DF7" s="31">
        <v>458.053</v>
      </c>
      <c r="DG7" s="31">
        <v>460.019</v>
      </c>
      <c r="DH7" s="31">
        <v>36.9155</v>
      </c>
      <c r="DI7" s="31">
        <v>33.4097</v>
      </c>
      <c r="DJ7" s="31">
        <v>455.162</v>
      </c>
      <c r="DK7" s="31">
        <v>36.3637</v>
      </c>
      <c r="DL7" s="31">
        <v>499.88</v>
      </c>
      <c r="DM7" s="31">
        <v>100.874</v>
      </c>
      <c r="DN7" s="31">
        <v>0.10002</v>
      </c>
      <c r="DO7" s="31">
        <v>35.9431</v>
      </c>
      <c r="DP7" s="31">
        <v>35.96</v>
      </c>
      <c r="DQ7" s="31">
        <v>999.9</v>
      </c>
      <c r="DR7" s="31">
        <v>0.0</v>
      </c>
      <c r="DS7" s="31">
        <v>0.0</v>
      </c>
      <c r="DT7" s="31">
        <v>8987.5</v>
      </c>
      <c r="DU7" s="31">
        <v>0.0</v>
      </c>
      <c r="DV7" s="31">
        <v>421.69</v>
      </c>
      <c r="DW7" s="31">
        <v>189.999</v>
      </c>
      <c r="DX7" s="31">
        <v>0.899932</v>
      </c>
      <c r="DY7" s="31">
        <v>0.100068</v>
      </c>
      <c r="DZ7" s="31">
        <v>0.0</v>
      </c>
      <c r="EA7" s="31">
        <v>144.045</v>
      </c>
      <c r="EB7" s="31">
        <v>0.0999973</v>
      </c>
      <c r="EC7" s="31">
        <v>1815.69</v>
      </c>
      <c r="ED7" s="31">
        <v>1684.01</v>
      </c>
      <c r="EE7" s="31">
        <v>40.812</v>
      </c>
      <c r="EF7" s="31">
        <v>44.75</v>
      </c>
      <c r="EG7" s="31">
        <v>42.437</v>
      </c>
      <c r="EH7" s="31">
        <v>44.187</v>
      </c>
      <c r="EI7" s="31">
        <v>43.5</v>
      </c>
      <c r="EJ7" s="31">
        <v>170.9</v>
      </c>
      <c r="EK7" s="31">
        <v>19.0</v>
      </c>
      <c r="EL7" s="31">
        <v>0.0</v>
      </c>
      <c r="EM7" s="31">
        <v>126.799999952316</v>
      </c>
      <c r="EN7" s="31">
        <v>0.0</v>
      </c>
      <c r="EO7" s="31">
        <v>138.928461538461</v>
      </c>
      <c r="EP7" s="31">
        <v>47.2642734616867</v>
      </c>
      <c r="EQ7" s="31">
        <v>-261.941880674595</v>
      </c>
      <c r="ER7" s="31">
        <v>1852.85384615384</v>
      </c>
      <c r="ES7" s="31">
        <v>15.0</v>
      </c>
      <c r="ET7" s="31">
        <v>1.754884367E9</v>
      </c>
      <c r="EU7" s="42">
        <v>0.4949884259259259</v>
      </c>
      <c r="EV7" s="31">
        <v>1.754884367E9</v>
      </c>
      <c r="EW7" s="31">
        <v>1.7548765351E9</v>
      </c>
      <c r="EX7" s="31">
        <v>14.0</v>
      </c>
      <c r="EY7" s="31">
        <v>-0.085</v>
      </c>
      <c r="EZ7" s="31">
        <v>-0.002</v>
      </c>
      <c r="FA7" s="31">
        <v>2.891</v>
      </c>
      <c r="FB7" s="31">
        <v>0.297</v>
      </c>
      <c r="FC7" s="31">
        <v>460.0</v>
      </c>
      <c r="FD7" s="31">
        <v>20.0</v>
      </c>
      <c r="FE7" s="31">
        <v>0.64</v>
      </c>
      <c r="FF7" s="31">
        <v>0.06</v>
      </c>
      <c r="FG7" s="31">
        <v>100.0</v>
      </c>
      <c r="FH7" s="31">
        <v>100.0</v>
      </c>
      <c r="FI7" s="31">
        <v>2.891</v>
      </c>
      <c r="FJ7" s="31">
        <v>0.5518</v>
      </c>
      <c r="FK7" s="31">
        <v>3.07863359537776</v>
      </c>
      <c r="FL7" s="31">
        <v>-2.2595428698806E-4</v>
      </c>
      <c r="FM7" s="43">
        <v>5.20417301097471E-9</v>
      </c>
      <c r="FN7" s="43">
        <v>1.17243702350096E-12</v>
      </c>
      <c r="FO7" s="31">
        <v>0.551873338452037</v>
      </c>
      <c r="FP7" s="31">
        <v>0.0</v>
      </c>
      <c r="FQ7" s="31">
        <v>0.0</v>
      </c>
      <c r="FR7" s="31">
        <v>0.0</v>
      </c>
      <c r="FS7" s="31">
        <v>1.0</v>
      </c>
      <c r="FT7" s="31">
        <v>2266.0</v>
      </c>
      <c r="FU7" s="31">
        <v>1.0</v>
      </c>
      <c r="FV7" s="31">
        <v>26.0</v>
      </c>
      <c r="FW7" s="31">
        <v>11.3</v>
      </c>
      <c r="FX7" s="31">
        <v>130.1</v>
      </c>
      <c r="FY7" s="31">
        <v>1.12427</v>
      </c>
      <c r="FZ7" s="31">
        <v>2.55981</v>
      </c>
      <c r="GA7" s="31">
        <v>1.59668</v>
      </c>
      <c r="GB7" s="31">
        <v>2.31812</v>
      </c>
      <c r="GC7" s="31">
        <v>1.5979</v>
      </c>
      <c r="GD7" s="31">
        <v>2.37305</v>
      </c>
      <c r="GE7" s="31">
        <v>43.6995</v>
      </c>
      <c r="GF7" s="31">
        <v>15.2178</v>
      </c>
      <c r="GG7" s="31">
        <v>18.0</v>
      </c>
      <c r="GH7" s="31">
        <v>507.711</v>
      </c>
      <c r="GI7" s="31">
        <v>463.57</v>
      </c>
      <c r="GJ7" s="31">
        <v>35.7004</v>
      </c>
      <c r="GK7" s="31">
        <v>35.4268</v>
      </c>
      <c r="GL7" s="31">
        <v>30.0003</v>
      </c>
      <c r="GM7" s="31">
        <v>35.3476</v>
      </c>
      <c r="GN7" s="31">
        <v>35.275</v>
      </c>
      <c r="GO7" s="31">
        <v>22.5514</v>
      </c>
      <c r="GP7" s="31">
        <v>100.0</v>
      </c>
      <c r="GQ7" s="31">
        <v>0.0</v>
      </c>
      <c r="GR7" s="31">
        <v>-999.9</v>
      </c>
      <c r="GS7" s="31">
        <v>460.0</v>
      </c>
      <c r="GT7" s="31">
        <v>0.0</v>
      </c>
      <c r="GU7" s="31">
        <v>102.539</v>
      </c>
      <c r="GV7" s="31">
        <v>99.7247</v>
      </c>
    </row>
    <row r="8" ht="14.25" customHeight="1">
      <c r="A8" s="41" t="s">
        <v>94</v>
      </c>
      <c r="B8" s="41" t="s">
        <v>59</v>
      </c>
      <c r="C8" s="41" t="s">
        <v>86</v>
      </c>
      <c r="D8" s="31">
        <v>15.0</v>
      </c>
      <c r="E8" s="31">
        <v>1.7548797451E9</v>
      </c>
      <c r="F8" s="31">
        <v>2227.09999990463</v>
      </c>
      <c r="G8" s="31" t="s">
        <v>424</v>
      </c>
      <c r="H8" s="42">
        <v>0.44149305555555557</v>
      </c>
      <c r="I8" s="31" t="s">
        <v>409</v>
      </c>
      <c r="J8" s="31">
        <v>1.7548797451E9</v>
      </c>
      <c r="K8" s="31">
        <v>0.00343976002261639</v>
      </c>
      <c r="L8" s="31">
        <v>3.43976002261639</v>
      </c>
      <c r="M8" s="31">
        <v>5.25506101458256</v>
      </c>
      <c r="N8" s="31">
        <v>451.769992594576</v>
      </c>
      <c r="O8" s="31">
        <v>410.397911598273</v>
      </c>
      <c r="P8" s="31">
        <v>41.4647526979553</v>
      </c>
      <c r="Q8" s="31">
        <v>45.6448010330714</v>
      </c>
      <c r="R8" s="31">
        <v>0.272737823042188</v>
      </c>
      <c r="S8" s="31">
        <v>2.77000207821594</v>
      </c>
      <c r="T8" s="31">
        <v>0.258648870331728</v>
      </c>
      <c r="U8" s="31">
        <v>0.162860706958331</v>
      </c>
      <c r="V8" s="31">
        <v>31.4353792526678</v>
      </c>
      <c r="W8" s="31">
        <v>33.9587641556316</v>
      </c>
      <c r="X8" s="31">
        <v>33.8091</v>
      </c>
      <c r="Y8" s="31">
        <v>5.2863780834066</v>
      </c>
      <c r="Z8" s="31">
        <v>72.0789255135511</v>
      </c>
      <c r="AA8" s="31">
        <v>4.0044909936477</v>
      </c>
      <c r="AB8" s="31">
        <v>5.55570295355587</v>
      </c>
      <c r="AC8" s="31">
        <v>1.2818870897589</v>
      </c>
      <c r="AD8" s="31">
        <v>-151.693416997382</v>
      </c>
      <c r="AE8" s="31">
        <v>133.282694196394</v>
      </c>
      <c r="AF8" s="31">
        <v>11.1558881934791</v>
      </c>
      <c r="AG8" s="31">
        <v>24.1805446451584</v>
      </c>
      <c r="AH8" s="31">
        <v>0.0</v>
      </c>
      <c r="AI8" s="31">
        <v>0.0</v>
      </c>
      <c r="AJ8" s="31">
        <v>1.0</v>
      </c>
      <c r="AK8" s="31">
        <v>0.0</v>
      </c>
      <c r="AL8" s="31">
        <v>47138.0</v>
      </c>
      <c r="AM8" s="31" t="s">
        <v>410</v>
      </c>
      <c r="AN8" s="31">
        <v>8173.37</v>
      </c>
      <c r="AO8" s="31">
        <v>559.295999999999</v>
      </c>
      <c r="AP8" s="31">
        <v>2893.93</v>
      </c>
      <c r="AQ8" s="31">
        <v>0.806734786259515</v>
      </c>
      <c r="AR8" s="31">
        <v>-2.38169762951563</v>
      </c>
      <c r="AS8" s="31" t="s">
        <v>425</v>
      </c>
      <c r="AT8" s="31">
        <v>8164.26</v>
      </c>
      <c r="AU8" s="31">
        <v>773.730769230769</v>
      </c>
      <c r="AV8" s="31">
        <v>2389.43</v>
      </c>
      <c r="AW8" s="31">
        <v>0.676186048877443</v>
      </c>
      <c r="AX8" s="31">
        <v>0.5</v>
      </c>
      <c r="AY8" s="31">
        <v>160.234914016926</v>
      </c>
      <c r="AZ8" s="31">
        <v>5.25506101458256</v>
      </c>
      <c r="BA8" s="31">
        <v>54.1743067006612</v>
      </c>
      <c r="BB8" s="31">
        <v>0.047659766855128</v>
      </c>
      <c r="BC8" s="31">
        <v>0.211138221249419</v>
      </c>
      <c r="BD8" s="31">
        <v>537.368323657846</v>
      </c>
      <c r="BE8" s="31" t="s">
        <v>426</v>
      </c>
      <c r="BF8" s="31">
        <v>645.87</v>
      </c>
      <c r="BG8" s="31">
        <v>645.87</v>
      </c>
      <c r="BH8" s="31">
        <v>0.729697040716823</v>
      </c>
      <c r="BI8" s="31">
        <v>0.926666837257812</v>
      </c>
      <c r="BJ8" s="31">
        <v>0.224415718441678</v>
      </c>
      <c r="BK8" s="31">
        <v>0.882831110054908</v>
      </c>
      <c r="BL8" s="31">
        <v>0.21609382883998</v>
      </c>
      <c r="BM8" s="31">
        <v>0.773533034978986</v>
      </c>
      <c r="BN8" s="31">
        <v>0.226466965021013</v>
      </c>
      <c r="BO8" s="31" t="s">
        <v>413</v>
      </c>
      <c r="BP8" s="31" t="s">
        <v>413</v>
      </c>
      <c r="BQ8" s="31" t="s">
        <v>413</v>
      </c>
      <c r="BR8" s="31" t="s">
        <v>413</v>
      </c>
      <c r="BS8" s="31" t="s">
        <v>413</v>
      </c>
      <c r="BT8" s="31" t="s">
        <v>413</v>
      </c>
      <c r="BU8" s="31" t="s">
        <v>413</v>
      </c>
      <c r="BV8" s="31" t="s">
        <v>413</v>
      </c>
      <c r="BW8" s="31" t="s">
        <v>413</v>
      </c>
      <c r="BX8" s="31" t="s">
        <v>413</v>
      </c>
      <c r="BY8" s="31" t="s">
        <v>413</v>
      </c>
      <c r="BZ8" s="31" t="s">
        <v>413</v>
      </c>
      <c r="CA8" s="31" t="s">
        <v>413</v>
      </c>
      <c r="CB8" s="31" t="s">
        <v>413</v>
      </c>
      <c r="CC8" s="31" t="s">
        <v>413</v>
      </c>
      <c r="CD8" s="31" t="s">
        <v>413</v>
      </c>
      <c r="CE8" s="31" t="s">
        <v>413</v>
      </c>
      <c r="CF8" s="31" t="s">
        <v>413</v>
      </c>
      <c r="CG8" s="31" t="s">
        <v>413</v>
      </c>
      <c r="CH8" s="31" t="s">
        <v>413</v>
      </c>
      <c r="CI8" s="31" t="s">
        <v>413</v>
      </c>
      <c r="CJ8" s="31" t="s">
        <v>413</v>
      </c>
      <c r="CK8" s="31" t="s">
        <v>413</v>
      </c>
      <c r="CL8" s="31" t="s">
        <v>413</v>
      </c>
      <c r="CM8" s="31" t="s">
        <v>413</v>
      </c>
      <c r="CN8" s="31" t="s">
        <v>413</v>
      </c>
      <c r="CO8" s="31" t="s">
        <v>413</v>
      </c>
      <c r="CP8" s="31" t="s">
        <v>413</v>
      </c>
      <c r="CQ8" s="31" t="s">
        <v>413</v>
      </c>
      <c r="CR8" s="31" t="s">
        <v>413</v>
      </c>
      <c r="CS8" s="31" t="s">
        <v>413</v>
      </c>
      <c r="CT8" s="31" t="s">
        <v>413</v>
      </c>
      <c r="CU8" s="31" t="s">
        <v>413</v>
      </c>
      <c r="CV8" s="31" t="s">
        <v>413</v>
      </c>
      <c r="CW8" s="31">
        <v>190.078</v>
      </c>
      <c r="CX8" s="31">
        <v>160.234914016926</v>
      </c>
      <c r="CY8" s="31">
        <v>0.842995580850631</v>
      </c>
      <c r="CZ8" s="31">
        <v>0.165381471041719</v>
      </c>
      <c r="DA8" s="31">
        <v>6.0</v>
      </c>
      <c r="DB8" s="31">
        <v>0.5</v>
      </c>
      <c r="DC8" s="31" t="s">
        <v>414</v>
      </c>
      <c r="DD8" s="31">
        <v>2.0</v>
      </c>
      <c r="DE8" s="31">
        <v>1.7548797451E9</v>
      </c>
      <c r="DF8" s="31">
        <v>451.77</v>
      </c>
      <c r="DG8" s="31">
        <v>459.94</v>
      </c>
      <c r="DH8" s="31">
        <v>39.6345</v>
      </c>
      <c r="DI8" s="31">
        <v>35.6708</v>
      </c>
      <c r="DJ8" s="31">
        <v>449.142</v>
      </c>
      <c r="DK8" s="31">
        <v>39.0826</v>
      </c>
      <c r="DL8" s="31">
        <v>500.052</v>
      </c>
      <c r="DM8" s="31">
        <v>100.936</v>
      </c>
      <c r="DN8" s="31">
        <v>0.0994866</v>
      </c>
      <c r="DO8" s="31">
        <v>34.7016</v>
      </c>
      <c r="DP8" s="31">
        <v>33.8091</v>
      </c>
      <c r="DQ8" s="31">
        <v>999.9</v>
      </c>
      <c r="DR8" s="31">
        <v>0.0</v>
      </c>
      <c r="DS8" s="31">
        <v>0.0</v>
      </c>
      <c r="DT8" s="31">
        <v>9032.5</v>
      </c>
      <c r="DU8" s="31">
        <v>0.0</v>
      </c>
      <c r="DV8" s="31">
        <v>449.33</v>
      </c>
      <c r="DW8" s="31">
        <v>190.078</v>
      </c>
      <c r="DX8" s="31">
        <v>0.900092</v>
      </c>
      <c r="DY8" s="31">
        <v>0.0999081</v>
      </c>
      <c r="DZ8" s="31">
        <v>0.0</v>
      </c>
      <c r="EA8" s="31">
        <v>774.32</v>
      </c>
      <c r="EB8" s="31">
        <v>0.0999973</v>
      </c>
      <c r="EC8" s="31">
        <v>2581.0</v>
      </c>
      <c r="ED8" s="31">
        <v>1684.8</v>
      </c>
      <c r="EE8" s="31">
        <v>39.562</v>
      </c>
      <c r="EF8" s="31">
        <v>42.812</v>
      </c>
      <c r="EG8" s="31">
        <v>41.062</v>
      </c>
      <c r="EH8" s="31">
        <v>42.5</v>
      </c>
      <c r="EI8" s="31">
        <v>42.187</v>
      </c>
      <c r="EJ8" s="31">
        <v>171.0</v>
      </c>
      <c r="EK8" s="31">
        <v>18.98</v>
      </c>
      <c r="EL8" s="31">
        <v>0.0</v>
      </c>
      <c r="EM8" s="31">
        <v>162.0</v>
      </c>
      <c r="EN8" s="31">
        <v>0.0</v>
      </c>
      <c r="EO8" s="31">
        <v>773.730769230769</v>
      </c>
      <c r="EP8" s="31">
        <v>-21.4516237722793</v>
      </c>
      <c r="EQ8" s="31">
        <v>77.8492311588645</v>
      </c>
      <c r="ER8" s="31">
        <v>2574.95884615384</v>
      </c>
      <c r="ES8" s="31">
        <v>15.0</v>
      </c>
      <c r="ET8" s="31">
        <v>1.7548797641E9</v>
      </c>
      <c r="EU8" s="42">
        <v>0.441712962962963</v>
      </c>
      <c r="EV8" s="31">
        <v>1.7548797641E9</v>
      </c>
      <c r="EW8" s="31">
        <v>1.7548765351E9</v>
      </c>
      <c r="EX8" s="31">
        <v>6.0</v>
      </c>
      <c r="EY8" s="31">
        <v>0.006</v>
      </c>
      <c r="EZ8" s="31">
        <v>-0.002</v>
      </c>
      <c r="FA8" s="31">
        <v>2.628</v>
      </c>
      <c r="FB8" s="31">
        <v>0.297</v>
      </c>
      <c r="FC8" s="31">
        <v>460.0</v>
      </c>
      <c r="FD8" s="31">
        <v>20.0</v>
      </c>
      <c r="FE8" s="31">
        <v>0.18</v>
      </c>
      <c r="FF8" s="31">
        <v>0.06</v>
      </c>
      <c r="FG8" s="31">
        <v>100.0</v>
      </c>
      <c r="FH8" s="31">
        <v>100.0</v>
      </c>
      <c r="FI8" s="31">
        <v>2.628</v>
      </c>
      <c r="FJ8" s="31">
        <v>0.5519</v>
      </c>
      <c r="FK8" s="31">
        <v>2.72420017421135</v>
      </c>
      <c r="FL8" s="31">
        <v>-2.2595428698806E-4</v>
      </c>
      <c r="FM8" s="43">
        <v>5.20417301097471E-9</v>
      </c>
      <c r="FN8" s="43">
        <v>1.17243702350096E-12</v>
      </c>
      <c r="FO8" s="31">
        <v>0.551873338452037</v>
      </c>
      <c r="FP8" s="31">
        <v>0.0</v>
      </c>
      <c r="FQ8" s="31">
        <v>0.0</v>
      </c>
      <c r="FR8" s="31">
        <v>0.0</v>
      </c>
      <c r="FS8" s="31">
        <v>1.0</v>
      </c>
      <c r="FT8" s="31">
        <v>2266.0</v>
      </c>
      <c r="FU8" s="31">
        <v>1.0</v>
      </c>
      <c r="FV8" s="31">
        <v>26.0</v>
      </c>
      <c r="FW8" s="31">
        <v>12.4</v>
      </c>
      <c r="FX8" s="31">
        <v>53.5</v>
      </c>
      <c r="FY8" s="31">
        <v>1.11572</v>
      </c>
      <c r="FZ8" s="31">
        <v>2.53662</v>
      </c>
      <c r="GA8" s="31">
        <v>1.59668</v>
      </c>
      <c r="GB8" s="31">
        <v>2.31934</v>
      </c>
      <c r="GC8" s="31">
        <v>1.5979</v>
      </c>
      <c r="GD8" s="31">
        <v>2.35474</v>
      </c>
      <c r="GE8" s="31">
        <v>42.3772</v>
      </c>
      <c r="GF8" s="31">
        <v>15.8832</v>
      </c>
      <c r="GG8" s="31">
        <v>18.0</v>
      </c>
      <c r="GH8" s="31">
        <v>508.898</v>
      </c>
      <c r="GI8" s="31">
        <v>482.515</v>
      </c>
      <c r="GJ8" s="31">
        <v>34.7714</v>
      </c>
      <c r="GK8" s="31">
        <v>34.7538</v>
      </c>
      <c r="GL8" s="31">
        <v>29.9995</v>
      </c>
      <c r="GM8" s="31">
        <v>34.8186</v>
      </c>
      <c r="GN8" s="31">
        <v>34.7717</v>
      </c>
      <c r="GO8" s="31">
        <v>22.384</v>
      </c>
      <c r="GP8" s="31">
        <v>100.0</v>
      </c>
      <c r="GQ8" s="31">
        <v>0.0</v>
      </c>
      <c r="GR8" s="31">
        <v>-999.9</v>
      </c>
      <c r="GS8" s="31">
        <v>460.0</v>
      </c>
      <c r="GT8" s="31">
        <v>0.0</v>
      </c>
      <c r="GU8" s="31">
        <v>102.747</v>
      </c>
      <c r="GV8" s="31">
        <v>99.7661</v>
      </c>
    </row>
    <row r="9" ht="14.25" customHeight="1">
      <c r="A9" s="41" t="s">
        <v>94</v>
      </c>
      <c r="B9" s="41" t="s">
        <v>59</v>
      </c>
      <c r="C9" s="41" t="s">
        <v>87</v>
      </c>
      <c r="D9" s="31">
        <v>16.0</v>
      </c>
      <c r="E9" s="31">
        <v>1.7548799276E9</v>
      </c>
      <c r="F9" s="31">
        <v>2409.59999990463</v>
      </c>
      <c r="G9" s="31" t="s">
        <v>427</v>
      </c>
      <c r="H9" s="42">
        <v>0.44359953703703703</v>
      </c>
      <c r="I9" s="31" t="s">
        <v>409</v>
      </c>
      <c r="J9" s="31">
        <v>1.7548799276E9</v>
      </c>
      <c r="K9" s="31">
        <v>0.00409478892454094</v>
      </c>
      <c r="L9" s="31">
        <v>4.09478892454094</v>
      </c>
      <c r="M9" s="31">
        <v>5.74257817385864</v>
      </c>
      <c r="N9" s="31">
        <v>450.875991870293</v>
      </c>
      <c r="O9" s="31">
        <v>415.163526894045</v>
      </c>
      <c r="P9" s="31">
        <v>41.9462013805718</v>
      </c>
      <c r="Q9" s="31">
        <v>45.5544235644841</v>
      </c>
      <c r="R9" s="31">
        <v>0.357313654154039</v>
      </c>
      <c r="S9" s="31">
        <v>2.76622862266956</v>
      </c>
      <c r="T9" s="31">
        <v>0.333510513198574</v>
      </c>
      <c r="U9" s="31">
        <v>0.21045040418472</v>
      </c>
      <c r="V9" s="31">
        <v>31.4195020778167</v>
      </c>
      <c r="W9" s="31">
        <v>33.836712975028</v>
      </c>
      <c r="X9" s="31">
        <v>33.668</v>
      </c>
      <c r="Y9" s="31">
        <v>5.24485588286359</v>
      </c>
      <c r="Z9" s="31">
        <v>72.8716256045987</v>
      </c>
      <c r="AA9" s="31">
        <v>4.0614906084164</v>
      </c>
      <c r="AB9" s="31">
        <v>5.57348703932314</v>
      </c>
      <c r="AC9" s="31">
        <v>1.18336527444719</v>
      </c>
      <c r="AD9" s="31">
        <v>-180.580191572255</v>
      </c>
      <c r="AE9" s="31">
        <v>162.73383958185</v>
      </c>
      <c r="AF9" s="31">
        <v>13.6340125932762</v>
      </c>
      <c r="AG9" s="31">
        <v>27.2071626806879</v>
      </c>
      <c r="AH9" s="31">
        <v>0.0</v>
      </c>
      <c r="AI9" s="31">
        <v>0.0</v>
      </c>
      <c r="AJ9" s="31">
        <v>1.0</v>
      </c>
      <c r="AK9" s="31">
        <v>0.0</v>
      </c>
      <c r="AL9" s="31">
        <v>47026.0</v>
      </c>
      <c r="AM9" s="31" t="s">
        <v>410</v>
      </c>
      <c r="AN9" s="31">
        <v>8173.37</v>
      </c>
      <c r="AO9" s="31">
        <v>559.295999999999</v>
      </c>
      <c r="AP9" s="31">
        <v>2893.93</v>
      </c>
      <c r="AQ9" s="31">
        <v>0.806734786259515</v>
      </c>
      <c r="AR9" s="31">
        <v>-2.38169762951563</v>
      </c>
      <c r="AS9" s="31" t="s">
        <v>428</v>
      </c>
      <c r="AT9" s="31">
        <v>8167.4</v>
      </c>
      <c r="AU9" s="31">
        <v>780.871153846153</v>
      </c>
      <c r="AV9" s="31">
        <v>2559.56</v>
      </c>
      <c r="AW9" s="31">
        <v>0.694919769864291</v>
      </c>
      <c r="AX9" s="31">
        <v>0.5</v>
      </c>
      <c r="AY9" s="31">
        <v>160.148685014412</v>
      </c>
      <c r="AZ9" s="31">
        <v>5.74257817385864</v>
      </c>
      <c r="BA9" s="31">
        <v>55.6452436671423</v>
      </c>
      <c r="BB9" s="31">
        <v>0.0507295817174091</v>
      </c>
      <c r="BC9" s="31">
        <v>0.130635734266827</v>
      </c>
      <c r="BD9" s="31">
        <v>545.52299380365</v>
      </c>
      <c r="BE9" s="31" t="s">
        <v>429</v>
      </c>
      <c r="BF9" s="31">
        <v>-308.73</v>
      </c>
      <c r="BG9" s="31">
        <v>-308.73</v>
      </c>
      <c r="BH9" s="31">
        <v>1.12061838753535</v>
      </c>
      <c r="BI9" s="31">
        <v>0.620121691374946</v>
      </c>
      <c r="BJ9" s="31">
        <v>0.104403839308574</v>
      </c>
      <c r="BK9" s="31">
        <v>0.889227045106968</v>
      </c>
      <c r="BL9" s="31">
        <v>0.143221592763576</v>
      </c>
      <c r="BM9" s="31">
        <v>-0.245175108384022</v>
      </c>
      <c r="BN9" s="31">
        <v>1.24517510838402</v>
      </c>
      <c r="BO9" s="31" t="s">
        <v>413</v>
      </c>
      <c r="BP9" s="31" t="s">
        <v>413</v>
      </c>
      <c r="BQ9" s="31" t="s">
        <v>413</v>
      </c>
      <c r="BR9" s="31" t="s">
        <v>413</v>
      </c>
      <c r="BS9" s="31" t="s">
        <v>413</v>
      </c>
      <c r="BT9" s="31" t="s">
        <v>413</v>
      </c>
      <c r="BU9" s="31" t="s">
        <v>413</v>
      </c>
      <c r="BV9" s="31" t="s">
        <v>413</v>
      </c>
      <c r="BW9" s="31" t="s">
        <v>413</v>
      </c>
      <c r="BX9" s="31" t="s">
        <v>413</v>
      </c>
      <c r="BY9" s="31" t="s">
        <v>413</v>
      </c>
      <c r="BZ9" s="31" t="s">
        <v>413</v>
      </c>
      <c r="CA9" s="31" t="s">
        <v>413</v>
      </c>
      <c r="CB9" s="31" t="s">
        <v>413</v>
      </c>
      <c r="CC9" s="31" t="s">
        <v>413</v>
      </c>
      <c r="CD9" s="31" t="s">
        <v>413</v>
      </c>
      <c r="CE9" s="31" t="s">
        <v>413</v>
      </c>
      <c r="CF9" s="31" t="s">
        <v>413</v>
      </c>
      <c r="CG9" s="31" t="s">
        <v>413</v>
      </c>
      <c r="CH9" s="31" t="s">
        <v>413</v>
      </c>
      <c r="CI9" s="31" t="s">
        <v>413</v>
      </c>
      <c r="CJ9" s="31" t="s">
        <v>413</v>
      </c>
      <c r="CK9" s="31" t="s">
        <v>413</v>
      </c>
      <c r="CL9" s="31" t="s">
        <v>413</v>
      </c>
      <c r="CM9" s="31" t="s">
        <v>413</v>
      </c>
      <c r="CN9" s="31" t="s">
        <v>413</v>
      </c>
      <c r="CO9" s="31" t="s">
        <v>413</v>
      </c>
      <c r="CP9" s="31" t="s">
        <v>413</v>
      </c>
      <c r="CQ9" s="31" t="s">
        <v>413</v>
      </c>
      <c r="CR9" s="31" t="s">
        <v>413</v>
      </c>
      <c r="CS9" s="31" t="s">
        <v>413</v>
      </c>
      <c r="CT9" s="31" t="s">
        <v>413</v>
      </c>
      <c r="CU9" s="31" t="s">
        <v>413</v>
      </c>
      <c r="CV9" s="31" t="s">
        <v>413</v>
      </c>
      <c r="CW9" s="31">
        <v>189.975</v>
      </c>
      <c r="CX9" s="31">
        <v>160.148685014412</v>
      </c>
      <c r="CY9" s="31">
        <v>0.842998736751745</v>
      </c>
      <c r="CZ9" s="31">
        <v>0.165387561930868</v>
      </c>
      <c r="DA9" s="31">
        <v>6.0</v>
      </c>
      <c r="DB9" s="31">
        <v>0.5</v>
      </c>
      <c r="DC9" s="31" t="s">
        <v>414</v>
      </c>
      <c r="DD9" s="31">
        <v>2.0</v>
      </c>
      <c r="DE9" s="31">
        <v>1.7548799276E9</v>
      </c>
      <c r="DF9" s="31">
        <v>450.876</v>
      </c>
      <c r="DG9" s="31">
        <v>459.981</v>
      </c>
      <c r="DH9" s="31">
        <v>40.1987</v>
      </c>
      <c r="DI9" s="31">
        <v>35.4833</v>
      </c>
      <c r="DJ9" s="31">
        <v>448.246</v>
      </c>
      <c r="DK9" s="31">
        <v>39.6469</v>
      </c>
      <c r="DL9" s="31">
        <v>500.087</v>
      </c>
      <c r="DM9" s="31">
        <v>100.935</v>
      </c>
      <c r="DN9" s="31">
        <v>0.100372</v>
      </c>
      <c r="DO9" s="31">
        <v>34.7592</v>
      </c>
      <c r="DP9" s="31">
        <v>33.668</v>
      </c>
      <c r="DQ9" s="31">
        <v>999.9</v>
      </c>
      <c r="DR9" s="31">
        <v>0.0</v>
      </c>
      <c r="DS9" s="31">
        <v>0.0</v>
      </c>
      <c r="DT9" s="31">
        <v>9012.5</v>
      </c>
      <c r="DU9" s="31">
        <v>0.0</v>
      </c>
      <c r="DV9" s="31">
        <v>676.736</v>
      </c>
      <c r="DW9" s="31">
        <v>189.975</v>
      </c>
      <c r="DX9" s="31">
        <v>0.89999</v>
      </c>
      <c r="DY9" s="31">
        <v>0.10001</v>
      </c>
      <c r="DZ9" s="31">
        <v>0.0</v>
      </c>
      <c r="EA9" s="31">
        <v>777.985</v>
      </c>
      <c r="EB9" s="31">
        <v>0.0999973</v>
      </c>
      <c r="EC9" s="31">
        <v>2821.5</v>
      </c>
      <c r="ED9" s="31">
        <v>1683.83</v>
      </c>
      <c r="EE9" s="31">
        <v>39.687</v>
      </c>
      <c r="EF9" s="31">
        <v>43.0</v>
      </c>
      <c r="EG9" s="31">
        <v>41.187</v>
      </c>
      <c r="EH9" s="31">
        <v>42.687</v>
      </c>
      <c r="EI9" s="31">
        <v>42.25</v>
      </c>
      <c r="EJ9" s="31">
        <v>170.89</v>
      </c>
      <c r="EK9" s="31">
        <v>18.99</v>
      </c>
      <c r="EL9" s="31">
        <v>0.0</v>
      </c>
      <c r="EM9" s="31">
        <v>180.0</v>
      </c>
      <c r="EN9" s="31">
        <v>0.0</v>
      </c>
      <c r="EO9" s="31">
        <v>780.871153846153</v>
      </c>
      <c r="EP9" s="31">
        <v>-31.6687178872047</v>
      </c>
      <c r="EQ9" s="31">
        <v>-328.908033473647</v>
      </c>
      <c r="ER9" s="31">
        <v>2874.16076923076</v>
      </c>
      <c r="ES9" s="31">
        <v>15.0</v>
      </c>
      <c r="ET9" s="31">
        <v>1.7548797641E9</v>
      </c>
      <c r="EU9" s="42">
        <v>0.441712962962963</v>
      </c>
      <c r="EV9" s="31">
        <v>1.7548797641E9</v>
      </c>
      <c r="EW9" s="31">
        <v>1.7548765351E9</v>
      </c>
      <c r="EX9" s="31">
        <v>6.0</v>
      </c>
      <c r="EY9" s="31">
        <v>0.006</v>
      </c>
      <c r="EZ9" s="31">
        <v>-0.002</v>
      </c>
      <c r="FA9" s="31">
        <v>2.628</v>
      </c>
      <c r="FB9" s="31">
        <v>0.297</v>
      </c>
      <c r="FC9" s="31">
        <v>460.0</v>
      </c>
      <c r="FD9" s="31">
        <v>20.0</v>
      </c>
      <c r="FE9" s="31">
        <v>0.18</v>
      </c>
      <c r="FF9" s="31">
        <v>0.06</v>
      </c>
      <c r="FG9" s="31">
        <v>100.0</v>
      </c>
      <c r="FH9" s="31">
        <v>100.0</v>
      </c>
      <c r="FI9" s="31">
        <v>2.63</v>
      </c>
      <c r="FJ9" s="31">
        <v>0.5518</v>
      </c>
      <c r="FK9" s="31">
        <v>2.73003477521069</v>
      </c>
      <c r="FL9" s="31">
        <v>-2.2595428698806E-4</v>
      </c>
      <c r="FM9" s="43">
        <v>5.20417301097471E-9</v>
      </c>
      <c r="FN9" s="43">
        <v>1.17243702350096E-12</v>
      </c>
      <c r="FO9" s="31">
        <v>0.551873338452037</v>
      </c>
      <c r="FP9" s="31">
        <v>0.0</v>
      </c>
      <c r="FQ9" s="31">
        <v>0.0</v>
      </c>
      <c r="FR9" s="31">
        <v>0.0</v>
      </c>
      <c r="FS9" s="31">
        <v>1.0</v>
      </c>
      <c r="FT9" s="31">
        <v>2266.0</v>
      </c>
      <c r="FU9" s="31">
        <v>1.0</v>
      </c>
      <c r="FV9" s="31">
        <v>26.0</v>
      </c>
      <c r="FW9" s="31">
        <v>2.7</v>
      </c>
      <c r="FX9" s="31">
        <v>56.5</v>
      </c>
      <c r="FY9" s="31">
        <v>1.11694</v>
      </c>
      <c r="FZ9" s="31">
        <v>2.5354</v>
      </c>
      <c r="GA9" s="31">
        <v>1.59668</v>
      </c>
      <c r="GB9" s="31">
        <v>2.32056</v>
      </c>
      <c r="GC9" s="31">
        <v>1.5979</v>
      </c>
      <c r="GD9" s="31">
        <v>2.36328</v>
      </c>
      <c r="GE9" s="31">
        <v>42.4304</v>
      </c>
      <c r="GF9" s="31">
        <v>15.8657</v>
      </c>
      <c r="GG9" s="31">
        <v>18.0</v>
      </c>
      <c r="GH9" s="31">
        <v>507.696</v>
      </c>
      <c r="GI9" s="31">
        <v>481.021</v>
      </c>
      <c r="GJ9" s="31">
        <v>34.7048</v>
      </c>
      <c r="GK9" s="31">
        <v>34.6662</v>
      </c>
      <c r="GL9" s="31">
        <v>30.0002</v>
      </c>
      <c r="GM9" s="31">
        <v>34.7028</v>
      </c>
      <c r="GN9" s="31">
        <v>34.6581</v>
      </c>
      <c r="GO9" s="31">
        <v>22.4013</v>
      </c>
      <c r="GP9" s="31">
        <v>100.0</v>
      </c>
      <c r="GQ9" s="31">
        <v>0.0</v>
      </c>
      <c r="GR9" s="31">
        <v>-999.9</v>
      </c>
      <c r="GS9" s="31">
        <v>460.0</v>
      </c>
      <c r="GT9" s="31">
        <v>0.0</v>
      </c>
      <c r="GU9" s="31">
        <v>102.744</v>
      </c>
      <c r="GV9" s="31">
        <v>99.7739</v>
      </c>
    </row>
    <row r="10" ht="14.25" customHeight="1">
      <c r="A10" s="41" t="s">
        <v>94</v>
      </c>
      <c r="B10" s="41" t="s">
        <v>61</v>
      </c>
      <c r="C10" s="41" t="s">
        <v>86</v>
      </c>
      <c r="D10" s="31">
        <v>24.0</v>
      </c>
      <c r="E10" s="31">
        <v>1.7548810435E9</v>
      </c>
      <c r="F10" s="31">
        <v>3525.5</v>
      </c>
      <c r="G10" s="31" t="s">
        <v>430</v>
      </c>
      <c r="H10" s="42">
        <v>0.4565162037037037</v>
      </c>
      <c r="I10" s="31" t="s">
        <v>409</v>
      </c>
      <c r="J10" s="31">
        <v>1.7548810435E9</v>
      </c>
      <c r="K10" s="31">
        <v>0.00365189396633589</v>
      </c>
      <c r="L10" s="31">
        <v>3.65189396633589</v>
      </c>
      <c r="M10" s="31">
        <v>3.30463264534379</v>
      </c>
      <c r="N10" s="31">
        <v>454.009995293501</v>
      </c>
      <c r="O10" s="31">
        <v>418.910716532312</v>
      </c>
      <c r="P10" s="31">
        <v>42.3200454429961</v>
      </c>
      <c r="Q10" s="31">
        <v>45.8659157527505</v>
      </c>
      <c r="R10" s="31">
        <v>0.232195877859825</v>
      </c>
      <c r="S10" s="31">
        <v>2.76392884621012</v>
      </c>
      <c r="T10" s="31">
        <v>0.221877704856142</v>
      </c>
      <c r="U10" s="31">
        <v>0.13956240009876</v>
      </c>
      <c r="V10" s="31">
        <v>31.4131759610582</v>
      </c>
      <c r="W10" s="31">
        <v>35.0133963075192</v>
      </c>
      <c r="X10" s="31">
        <v>34.8403</v>
      </c>
      <c r="Y10" s="31">
        <v>5.59861066228696</v>
      </c>
      <c r="Z10" s="31">
        <v>67.9537658339097</v>
      </c>
      <c r="AA10" s="31">
        <v>4.0149673991394</v>
      </c>
      <c r="AB10" s="31">
        <v>5.90838101445716</v>
      </c>
      <c r="AC10" s="31">
        <v>1.58364326314756</v>
      </c>
      <c r="AD10" s="31">
        <v>-161.048523915413</v>
      </c>
      <c r="AE10" s="31">
        <v>145.253906871566</v>
      </c>
      <c r="AF10" s="31">
        <v>12.3126316392045</v>
      </c>
      <c r="AG10" s="31">
        <v>27.9311905564166</v>
      </c>
      <c r="AH10" s="31">
        <v>0.0</v>
      </c>
      <c r="AI10" s="31">
        <v>0.0</v>
      </c>
      <c r="AJ10" s="31">
        <v>1.0</v>
      </c>
      <c r="AK10" s="31">
        <v>0.0</v>
      </c>
      <c r="AL10" s="31">
        <v>46803.0</v>
      </c>
      <c r="AM10" s="31" t="s">
        <v>410</v>
      </c>
      <c r="AN10" s="31">
        <v>8173.37</v>
      </c>
      <c r="AO10" s="31">
        <v>559.295999999999</v>
      </c>
      <c r="AP10" s="31">
        <v>2893.93</v>
      </c>
      <c r="AQ10" s="31">
        <v>0.806734786259515</v>
      </c>
      <c r="AR10" s="31">
        <v>-2.38169762951563</v>
      </c>
      <c r="AS10" s="31" t="s">
        <v>431</v>
      </c>
      <c r="AT10" s="31">
        <v>8156.98</v>
      </c>
      <c r="AU10" s="31">
        <v>553.591923076923</v>
      </c>
      <c r="AV10" s="31">
        <v>1779.69</v>
      </c>
      <c r="AW10" s="31">
        <v>0.688939128119547</v>
      </c>
      <c r="AX10" s="31">
        <v>0.5</v>
      </c>
      <c r="AY10" s="31">
        <v>160.115115005729</v>
      </c>
      <c r="AZ10" s="31">
        <v>3.30463264534379</v>
      </c>
      <c r="BA10" s="31">
        <v>55.1547838654041</v>
      </c>
      <c r="BB10" s="31">
        <v>0.0355140129940633</v>
      </c>
      <c r="BC10" s="31">
        <v>0.626086565637835</v>
      </c>
      <c r="BD10" s="31">
        <v>498.925623413007</v>
      </c>
      <c r="BE10" s="31" t="s">
        <v>432</v>
      </c>
      <c r="BF10" s="31">
        <v>381.6</v>
      </c>
      <c r="BG10" s="31">
        <v>381.6</v>
      </c>
      <c r="BH10" s="31">
        <v>0.785580634829661</v>
      </c>
      <c r="BI10" s="31">
        <v>0.87698079302697</v>
      </c>
      <c r="BJ10" s="31">
        <v>0.443508615508312</v>
      </c>
      <c r="BK10" s="31">
        <v>1.00467396342744</v>
      </c>
      <c r="BL10" s="31">
        <v>0.477265387208444</v>
      </c>
      <c r="BM10" s="31">
        <v>0.604517256608511</v>
      </c>
      <c r="BN10" s="31">
        <v>0.395482743391488</v>
      </c>
      <c r="BO10" s="31" t="s">
        <v>413</v>
      </c>
      <c r="BP10" s="31" t="s">
        <v>413</v>
      </c>
      <c r="BQ10" s="31" t="s">
        <v>413</v>
      </c>
      <c r="BR10" s="31" t="s">
        <v>413</v>
      </c>
      <c r="BS10" s="31" t="s">
        <v>413</v>
      </c>
      <c r="BT10" s="31" t="s">
        <v>413</v>
      </c>
      <c r="BU10" s="31" t="s">
        <v>413</v>
      </c>
      <c r="BV10" s="31" t="s">
        <v>413</v>
      </c>
      <c r="BW10" s="31" t="s">
        <v>413</v>
      </c>
      <c r="BX10" s="31" t="s">
        <v>413</v>
      </c>
      <c r="BY10" s="31" t="s">
        <v>413</v>
      </c>
      <c r="BZ10" s="31" t="s">
        <v>413</v>
      </c>
      <c r="CA10" s="31" t="s">
        <v>413</v>
      </c>
      <c r="CB10" s="31" t="s">
        <v>413</v>
      </c>
      <c r="CC10" s="31" t="s">
        <v>413</v>
      </c>
      <c r="CD10" s="31" t="s">
        <v>413</v>
      </c>
      <c r="CE10" s="31" t="s">
        <v>413</v>
      </c>
      <c r="CF10" s="31" t="s">
        <v>413</v>
      </c>
      <c r="CG10" s="31" t="s">
        <v>413</v>
      </c>
      <c r="CH10" s="31" t="s">
        <v>413</v>
      </c>
      <c r="CI10" s="31" t="s">
        <v>413</v>
      </c>
      <c r="CJ10" s="31" t="s">
        <v>413</v>
      </c>
      <c r="CK10" s="31" t="s">
        <v>413</v>
      </c>
      <c r="CL10" s="31" t="s">
        <v>413</v>
      </c>
      <c r="CM10" s="31" t="s">
        <v>413</v>
      </c>
      <c r="CN10" s="31" t="s">
        <v>413</v>
      </c>
      <c r="CO10" s="31" t="s">
        <v>413</v>
      </c>
      <c r="CP10" s="31" t="s">
        <v>413</v>
      </c>
      <c r="CQ10" s="31" t="s">
        <v>413</v>
      </c>
      <c r="CR10" s="31" t="s">
        <v>413</v>
      </c>
      <c r="CS10" s="31" t="s">
        <v>413</v>
      </c>
      <c r="CT10" s="31" t="s">
        <v>413</v>
      </c>
      <c r="CU10" s="31" t="s">
        <v>413</v>
      </c>
      <c r="CV10" s="31" t="s">
        <v>413</v>
      </c>
      <c r="CW10" s="31">
        <v>189.935</v>
      </c>
      <c r="CX10" s="31">
        <v>160.115115005729</v>
      </c>
      <c r="CY10" s="31">
        <v>0.84299952618385</v>
      </c>
      <c r="CZ10" s="31">
        <v>0.165389085534831</v>
      </c>
      <c r="DA10" s="31">
        <v>6.0</v>
      </c>
      <c r="DB10" s="31">
        <v>0.5</v>
      </c>
      <c r="DC10" s="31" t="s">
        <v>414</v>
      </c>
      <c r="DD10" s="31">
        <v>2.0</v>
      </c>
      <c r="DE10" s="31">
        <v>1.7548810435E9</v>
      </c>
      <c r="DF10" s="31">
        <v>454.01</v>
      </c>
      <c r="DG10" s="31">
        <v>459.965</v>
      </c>
      <c r="DH10" s="31">
        <v>39.7427</v>
      </c>
      <c r="DI10" s="31">
        <v>35.5347</v>
      </c>
      <c r="DJ10" s="31">
        <v>451.279</v>
      </c>
      <c r="DK10" s="31">
        <v>39.1909</v>
      </c>
      <c r="DL10" s="31">
        <v>500.013</v>
      </c>
      <c r="DM10" s="31">
        <v>100.924</v>
      </c>
      <c r="DN10" s="31">
        <v>0.100022</v>
      </c>
      <c r="DO10" s="31">
        <v>35.8151</v>
      </c>
      <c r="DP10" s="31">
        <v>34.8403</v>
      </c>
      <c r="DQ10" s="31">
        <v>999.9</v>
      </c>
      <c r="DR10" s="31">
        <v>0.0</v>
      </c>
      <c r="DS10" s="31">
        <v>0.0</v>
      </c>
      <c r="DT10" s="31">
        <v>9001.25</v>
      </c>
      <c r="DU10" s="31">
        <v>0.0</v>
      </c>
      <c r="DV10" s="31">
        <v>1451.53</v>
      </c>
      <c r="DW10" s="31">
        <v>189.935</v>
      </c>
      <c r="DX10" s="31">
        <v>0.89995</v>
      </c>
      <c r="DY10" s="31">
        <v>0.10005</v>
      </c>
      <c r="DZ10" s="31">
        <v>0.0</v>
      </c>
      <c r="EA10" s="31">
        <v>553.785</v>
      </c>
      <c r="EB10" s="31">
        <v>0.0999973</v>
      </c>
      <c r="EC10" s="31">
        <v>2744.96</v>
      </c>
      <c r="ED10" s="31">
        <v>1683.45</v>
      </c>
      <c r="EE10" s="31">
        <v>41.0</v>
      </c>
      <c r="EF10" s="31">
        <v>44.812</v>
      </c>
      <c r="EG10" s="31">
        <v>42.562</v>
      </c>
      <c r="EH10" s="31">
        <v>44.312</v>
      </c>
      <c r="EI10" s="31">
        <v>43.625</v>
      </c>
      <c r="EJ10" s="31">
        <v>170.84</v>
      </c>
      <c r="EK10" s="31">
        <v>18.99</v>
      </c>
      <c r="EL10" s="31">
        <v>0.0</v>
      </c>
      <c r="EM10" s="31">
        <v>136.200000047683</v>
      </c>
      <c r="EN10" s="31">
        <v>0.0</v>
      </c>
      <c r="EO10" s="31">
        <v>553.591923076923</v>
      </c>
      <c r="EP10" s="31">
        <v>-24.6232478163742</v>
      </c>
      <c r="EQ10" s="31">
        <v>-127.221196570931</v>
      </c>
      <c r="ER10" s="31">
        <v>2771.96692307692</v>
      </c>
      <c r="ES10" s="31">
        <v>15.0</v>
      </c>
      <c r="ET10" s="31">
        <v>1.7548806405E9</v>
      </c>
      <c r="EU10" s="42">
        <v>0.45185185185185184</v>
      </c>
      <c r="EV10" s="31">
        <v>1.7548806405E9</v>
      </c>
      <c r="EW10" s="31">
        <v>1.7548765351E9</v>
      </c>
      <c r="EX10" s="31">
        <v>8.0</v>
      </c>
      <c r="EY10" s="31">
        <v>0.0</v>
      </c>
      <c r="EZ10" s="31">
        <v>-0.002</v>
      </c>
      <c r="FA10" s="31">
        <v>2.73</v>
      </c>
      <c r="FB10" s="31">
        <v>0.297</v>
      </c>
      <c r="FC10" s="31">
        <v>460.0</v>
      </c>
      <c r="FD10" s="31">
        <v>20.0</v>
      </c>
      <c r="FE10" s="31">
        <v>0.53</v>
      </c>
      <c r="FF10" s="31">
        <v>0.06</v>
      </c>
      <c r="FG10" s="31">
        <v>100.0</v>
      </c>
      <c r="FH10" s="31">
        <v>100.0</v>
      </c>
      <c r="FI10" s="31">
        <v>2.731</v>
      </c>
      <c r="FJ10" s="31">
        <v>0.5518</v>
      </c>
      <c r="FK10" s="31">
        <v>2.83188461089318</v>
      </c>
      <c r="FL10" s="31">
        <v>-2.2595428698806E-4</v>
      </c>
      <c r="FM10" s="43">
        <v>5.20417301097471E-9</v>
      </c>
      <c r="FN10" s="43">
        <v>1.17243702350096E-12</v>
      </c>
      <c r="FO10" s="31">
        <v>0.551873338452037</v>
      </c>
      <c r="FP10" s="31">
        <v>0.0</v>
      </c>
      <c r="FQ10" s="31">
        <v>0.0</v>
      </c>
      <c r="FR10" s="31">
        <v>0.0</v>
      </c>
      <c r="FS10" s="31">
        <v>1.0</v>
      </c>
      <c r="FT10" s="31">
        <v>2266.0</v>
      </c>
      <c r="FU10" s="31">
        <v>1.0</v>
      </c>
      <c r="FV10" s="31">
        <v>26.0</v>
      </c>
      <c r="FW10" s="31">
        <v>6.7</v>
      </c>
      <c r="FX10" s="31">
        <v>75.1</v>
      </c>
      <c r="FY10" s="31">
        <v>1.11938</v>
      </c>
      <c r="FZ10" s="31">
        <v>2.5415</v>
      </c>
      <c r="GA10" s="31">
        <v>1.59668</v>
      </c>
      <c r="GB10" s="31">
        <v>2.31812</v>
      </c>
      <c r="GC10" s="31">
        <v>1.5979</v>
      </c>
      <c r="GD10" s="31">
        <v>2.40723</v>
      </c>
      <c r="GE10" s="31">
        <v>43.3991</v>
      </c>
      <c r="GF10" s="31">
        <v>15.6906</v>
      </c>
      <c r="GG10" s="31">
        <v>18.0</v>
      </c>
      <c r="GH10" s="31">
        <v>504.692</v>
      </c>
      <c r="GI10" s="31">
        <v>470.706</v>
      </c>
      <c r="GJ10" s="31">
        <v>35.6368</v>
      </c>
      <c r="GK10" s="31">
        <v>35.5606</v>
      </c>
      <c r="GL10" s="31">
        <v>30.0006</v>
      </c>
      <c r="GM10" s="31">
        <v>35.4819</v>
      </c>
      <c r="GN10" s="31">
        <v>35.412</v>
      </c>
      <c r="GO10" s="31">
        <v>22.463</v>
      </c>
      <c r="GP10" s="31">
        <v>100.0</v>
      </c>
      <c r="GQ10" s="31">
        <v>0.0</v>
      </c>
      <c r="GR10" s="31">
        <v>-999.9</v>
      </c>
      <c r="GS10" s="31">
        <v>460.0</v>
      </c>
      <c r="GT10" s="31">
        <v>0.0</v>
      </c>
      <c r="GU10" s="31">
        <v>102.582</v>
      </c>
      <c r="GV10" s="31">
        <v>99.6397</v>
      </c>
    </row>
    <row r="11" ht="14.25" customHeight="1">
      <c r="A11" s="41" t="s">
        <v>94</v>
      </c>
      <c r="B11" s="41" t="s">
        <v>61</v>
      </c>
      <c r="C11" s="41" t="s">
        <v>87</v>
      </c>
      <c r="D11" s="31">
        <v>25.0</v>
      </c>
      <c r="E11" s="31">
        <v>1.7548812605E9</v>
      </c>
      <c r="F11" s="31">
        <v>3742.5</v>
      </c>
      <c r="G11" s="31" t="s">
        <v>433</v>
      </c>
      <c r="H11" s="42">
        <v>0.45902777777777776</v>
      </c>
      <c r="I11" s="31" t="s">
        <v>409</v>
      </c>
      <c r="J11" s="31">
        <v>1.7548812605E9</v>
      </c>
      <c r="K11" s="31">
        <v>0.00333015987363772</v>
      </c>
      <c r="L11" s="31">
        <v>3.33015987363772</v>
      </c>
      <c r="M11" s="31">
        <v>4.07027316854857</v>
      </c>
      <c r="N11" s="31">
        <v>453.314994174189</v>
      </c>
      <c r="O11" s="31">
        <v>406.752031373619</v>
      </c>
      <c r="P11" s="31">
        <v>41.0925286877911</v>
      </c>
      <c r="Q11" s="31">
        <v>45.7965983348667</v>
      </c>
      <c r="R11" s="31">
        <v>0.195422581453422</v>
      </c>
      <c r="S11" s="31">
        <v>2.76055042362512</v>
      </c>
      <c r="T11" s="31">
        <v>0.188049451751567</v>
      </c>
      <c r="U11" s="31">
        <v>0.118170176169294</v>
      </c>
      <c r="V11" s="31">
        <v>31.4331798511113</v>
      </c>
      <c r="W11" s="31">
        <v>35.4050269792121</v>
      </c>
      <c r="X11" s="31">
        <v>35.2153</v>
      </c>
      <c r="Y11" s="31">
        <v>5.71606454572238</v>
      </c>
      <c r="Z11" s="31">
        <v>66.7954402436474</v>
      </c>
      <c r="AA11" s="31">
        <v>4.0131465227805</v>
      </c>
      <c r="AB11" s="31">
        <v>6.00811448826729</v>
      </c>
      <c r="AC11" s="31">
        <v>1.70291802294188</v>
      </c>
      <c r="AD11" s="31">
        <v>-146.860050427423</v>
      </c>
      <c r="AE11" s="31">
        <v>134.569187531271</v>
      </c>
      <c r="AF11" s="31">
        <v>11.4586743417288</v>
      </c>
      <c r="AG11" s="31">
        <v>30.6009912966881</v>
      </c>
      <c r="AH11" s="31">
        <v>0.0</v>
      </c>
      <c r="AI11" s="31">
        <v>0.0</v>
      </c>
      <c r="AJ11" s="31">
        <v>1.0</v>
      </c>
      <c r="AK11" s="31">
        <v>0.0</v>
      </c>
      <c r="AL11" s="31">
        <v>46665.0</v>
      </c>
      <c r="AM11" s="31" t="s">
        <v>410</v>
      </c>
      <c r="AN11" s="31">
        <v>8173.37</v>
      </c>
      <c r="AO11" s="31">
        <v>559.295999999999</v>
      </c>
      <c r="AP11" s="31">
        <v>2893.93</v>
      </c>
      <c r="AQ11" s="31">
        <v>0.806734786259515</v>
      </c>
      <c r="AR11" s="31">
        <v>-2.38169762951563</v>
      </c>
      <c r="AS11" s="31" t="s">
        <v>434</v>
      </c>
      <c r="AT11" s="31">
        <v>8172.18</v>
      </c>
      <c r="AU11" s="31">
        <v>709.0742</v>
      </c>
      <c r="AV11" s="31">
        <v>2117.12</v>
      </c>
      <c r="AW11" s="31">
        <v>0.665076046704957</v>
      </c>
      <c r="AX11" s="31">
        <v>0.5</v>
      </c>
      <c r="AY11" s="31">
        <v>160.217871010938</v>
      </c>
      <c r="AZ11" s="31">
        <v>4.07027316854857</v>
      </c>
      <c r="BA11" s="31">
        <v>53.2785341317199</v>
      </c>
      <c r="BB11" s="31">
        <v>0.040269982102207</v>
      </c>
      <c r="BC11" s="31">
        <v>0.366918266324062</v>
      </c>
      <c r="BD11" s="31">
        <v>522.261137664776</v>
      </c>
      <c r="BE11" s="31" t="s">
        <v>435</v>
      </c>
      <c r="BF11" s="31">
        <v>-663.53</v>
      </c>
      <c r="BG11" s="31">
        <v>-663.53</v>
      </c>
      <c r="BH11" s="31">
        <v>1.31341161577992</v>
      </c>
      <c r="BI11" s="31">
        <v>0.50637289842303</v>
      </c>
      <c r="BJ11" s="31">
        <v>0.218360852968128</v>
      </c>
      <c r="BK11" s="31">
        <v>0.903854222299823</v>
      </c>
      <c r="BL11" s="31">
        <v>0.332733096493925</v>
      </c>
      <c r="BM11" s="31">
        <v>-0.473848307117412</v>
      </c>
      <c r="BN11" s="31">
        <v>1.47384830711741</v>
      </c>
      <c r="BO11" s="31" t="s">
        <v>413</v>
      </c>
      <c r="BP11" s="31" t="s">
        <v>413</v>
      </c>
      <c r="BQ11" s="31" t="s">
        <v>413</v>
      </c>
      <c r="BR11" s="31" t="s">
        <v>413</v>
      </c>
      <c r="BS11" s="31" t="s">
        <v>413</v>
      </c>
      <c r="BT11" s="31" t="s">
        <v>413</v>
      </c>
      <c r="BU11" s="31" t="s">
        <v>413</v>
      </c>
      <c r="BV11" s="31" t="s">
        <v>413</v>
      </c>
      <c r="BW11" s="31" t="s">
        <v>413</v>
      </c>
      <c r="BX11" s="31" t="s">
        <v>413</v>
      </c>
      <c r="BY11" s="31" t="s">
        <v>413</v>
      </c>
      <c r="BZ11" s="31" t="s">
        <v>413</v>
      </c>
      <c r="CA11" s="31" t="s">
        <v>413</v>
      </c>
      <c r="CB11" s="31" t="s">
        <v>413</v>
      </c>
      <c r="CC11" s="31" t="s">
        <v>413</v>
      </c>
      <c r="CD11" s="31" t="s">
        <v>413</v>
      </c>
      <c r="CE11" s="31" t="s">
        <v>413</v>
      </c>
      <c r="CF11" s="31" t="s">
        <v>413</v>
      </c>
      <c r="CG11" s="31" t="s">
        <v>413</v>
      </c>
      <c r="CH11" s="31" t="s">
        <v>413</v>
      </c>
      <c r="CI11" s="31" t="s">
        <v>413</v>
      </c>
      <c r="CJ11" s="31" t="s">
        <v>413</v>
      </c>
      <c r="CK11" s="31" t="s">
        <v>413</v>
      </c>
      <c r="CL11" s="31" t="s">
        <v>413</v>
      </c>
      <c r="CM11" s="31" t="s">
        <v>413</v>
      </c>
      <c r="CN11" s="31" t="s">
        <v>413</v>
      </c>
      <c r="CO11" s="31" t="s">
        <v>413</v>
      </c>
      <c r="CP11" s="31" t="s">
        <v>413</v>
      </c>
      <c r="CQ11" s="31" t="s">
        <v>413</v>
      </c>
      <c r="CR11" s="31" t="s">
        <v>413</v>
      </c>
      <c r="CS11" s="31" t="s">
        <v>413</v>
      </c>
      <c r="CT11" s="31" t="s">
        <v>413</v>
      </c>
      <c r="CU11" s="31" t="s">
        <v>413</v>
      </c>
      <c r="CV11" s="31" t="s">
        <v>413</v>
      </c>
      <c r="CW11" s="31">
        <v>190.057</v>
      </c>
      <c r="CX11" s="31">
        <v>160.217871010938</v>
      </c>
      <c r="CY11" s="31">
        <v>0.842999052973258</v>
      </c>
      <c r="CZ11" s="31">
        <v>0.165388172238388</v>
      </c>
      <c r="DA11" s="31">
        <v>6.0</v>
      </c>
      <c r="DB11" s="31">
        <v>0.5</v>
      </c>
      <c r="DC11" s="31" t="s">
        <v>414</v>
      </c>
      <c r="DD11" s="31">
        <v>2.0</v>
      </c>
      <c r="DE11" s="31">
        <v>1.7548812605E9</v>
      </c>
      <c r="DF11" s="31">
        <v>453.315</v>
      </c>
      <c r="DG11" s="31">
        <v>460.012</v>
      </c>
      <c r="DH11" s="31">
        <v>39.7239</v>
      </c>
      <c r="DI11" s="31">
        <v>35.8858</v>
      </c>
      <c r="DJ11" s="31">
        <v>450.487</v>
      </c>
      <c r="DK11" s="31">
        <v>39.172</v>
      </c>
      <c r="DL11" s="31">
        <v>499.915</v>
      </c>
      <c r="DM11" s="31">
        <v>100.926</v>
      </c>
      <c r="DN11" s="31">
        <v>0.099995</v>
      </c>
      <c r="DO11" s="31">
        <v>36.1195</v>
      </c>
      <c r="DP11" s="31">
        <v>35.2153</v>
      </c>
      <c r="DQ11" s="31">
        <v>999.9</v>
      </c>
      <c r="DR11" s="31">
        <v>0.0</v>
      </c>
      <c r="DS11" s="31">
        <v>0.0</v>
      </c>
      <c r="DT11" s="31">
        <v>8983.12</v>
      </c>
      <c r="DU11" s="31">
        <v>0.0</v>
      </c>
      <c r="DV11" s="31">
        <v>1273.95</v>
      </c>
      <c r="DW11" s="31">
        <v>190.057</v>
      </c>
      <c r="DX11" s="31">
        <v>0.899998</v>
      </c>
      <c r="DY11" s="31">
        <v>0.100002</v>
      </c>
      <c r="DZ11" s="31">
        <v>0.0</v>
      </c>
      <c r="EA11" s="31">
        <v>705.765</v>
      </c>
      <c r="EB11" s="31">
        <v>0.0999973</v>
      </c>
      <c r="EC11" s="31">
        <v>3199.5</v>
      </c>
      <c r="ED11" s="31">
        <v>1684.56</v>
      </c>
      <c r="EE11" s="31">
        <v>41.25</v>
      </c>
      <c r="EF11" s="31">
        <v>45.062</v>
      </c>
      <c r="EG11" s="31">
        <v>42.875</v>
      </c>
      <c r="EH11" s="31">
        <v>44.562</v>
      </c>
      <c r="EI11" s="31">
        <v>43.937</v>
      </c>
      <c r="EJ11" s="31">
        <v>170.96</v>
      </c>
      <c r="EK11" s="31">
        <v>19.0</v>
      </c>
      <c r="EL11" s="31">
        <v>0.0</v>
      </c>
      <c r="EM11" s="31">
        <v>214.799999952316</v>
      </c>
      <c r="EN11" s="31">
        <v>0.0</v>
      </c>
      <c r="EO11" s="31">
        <v>709.0742</v>
      </c>
      <c r="EP11" s="31">
        <v>-32.9719227821078</v>
      </c>
      <c r="EQ11" s="31">
        <v>-902.443844684452</v>
      </c>
      <c r="ER11" s="31">
        <v>3187.134</v>
      </c>
      <c r="ES11" s="31">
        <v>15.0</v>
      </c>
      <c r="ET11" s="31">
        <v>1.754881279E9</v>
      </c>
      <c r="EU11" s="42">
        <v>0.45924768518518516</v>
      </c>
      <c r="EV11" s="31">
        <v>1.754881279E9</v>
      </c>
      <c r="EW11" s="31">
        <v>1.7548765351E9</v>
      </c>
      <c r="EX11" s="31">
        <v>9.0</v>
      </c>
      <c r="EY11" s="31">
        <v>0.098</v>
      </c>
      <c r="EZ11" s="31">
        <v>-0.002</v>
      </c>
      <c r="FA11" s="31">
        <v>2.828</v>
      </c>
      <c r="FB11" s="31">
        <v>0.297</v>
      </c>
      <c r="FC11" s="31">
        <v>460.0</v>
      </c>
      <c r="FD11" s="31">
        <v>20.0</v>
      </c>
      <c r="FE11" s="31">
        <v>0.56</v>
      </c>
      <c r="FF11" s="31">
        <v>0.06</v>
      </c>
      <c r="FG11" s="31">
        <v>100.0</v>
      </c>
      <c r="FH11" s="31">
        <v>100.0</v>
      </c>
      <c r="FI11" s="31">
        <v>2.828</v>
      </c>
      <c r="FJ11" s="31">
        <v>0.5519</v>
      </c>
      <c r="FK11" s="31">
        <v>2.83188461089318</v>
      </c>
      <c r="FL11" s="31">
        <v>-2.2595428698806E-4</v>
      </c>
      <c r="FM11" s="43">
        <v>5.20417301097471E-9</v>
      </c>
      <c r="FN11" s="43">
        <v>1.17243702350096E-12</v>
      </c>
      <c r="FO11" s="31">
        <v>0.551873338452037</v>
      </c>
      <c r="FP11" s="31">
        <v>0.0</v>
      </c>
      <c r="FQ11" s="31">
        <v>0.0</v>
      </c>
      <c r="FR11" s="31">
        <v>0.0</v>
      </c>
      <c r="FS11" s="31">
        <v>1.0</v>
      </c>
      <c r="FT11" s="31">
        <v>2266.0</v>
      </c>
      <c r="FU11" s="31">
        <v>1.0</v>
      </c>
      <c r="FV11" s="31">
        <v>26.0</v>
      </c>
      <c r="FW11" s="31">
        <v>10.3</v>
      </c>
      <c r="FX11" s="31">
        <v>78.8</v>
      </c>
      <c r="FY11" s="31">
        <v>1.11938</v>
      </c>
      <c r="FZ11" s="31">
        <v>2.54517</v>
      </c>
      <c r="GA11" s="31">
        <v>1.59546</v>
      </c>
      <c r="GB11" s="31">
        <v>2.31812</v>
      </c>
      <c r="GC11" s="31">
        <v>1.5979</v>
      </c>
      <c r="GD11" s="31">
        <v>2.37427</v>
      </c>
      <c r="GE11" s="31">
        <v>43.8092</v>
      </c>
      <c r="GF11" s="31">
        <v>15.6468</v>
      </c>
      <c r="GG11" s="31">
        <v>18.0</v>
      </c>
      <c r="GH11" s="31">
        <v>507.986</v>
      </c>
      <c r="GI11" s="31">
        <v>468.494</v>
      </c>
      <c r="GJ11" s="31">
        <v>35.9416</v>
      </c>
      <c r="GK11" s="31">
        <v>35.7736</v>
      </c>
      <c r="GL11" s="31">
        <v>30.0004</v>
      </c>
      <c r="GM11" s="31">
        <v>35.6984</v>
      </c>
      <c r="GN11" s="31">
        <v>35.628</v>
      </c>
      <c r="GO11" s="31">
        <v>22.474</v>
      </c>
      <c r="GP11" s="31">
        <v>100.0</v>
      </c>
      <c r="GQ11" s="31">
        <v>0.0</v>
      </c>
      <c r="GR11" s="31">
        <v>-999.9</v>
      </c>
      <c r="GS11" s="31">
        <v>460.0</v>
      </c>
      <c r="GT11" s="31">
        <v>0.0</v>
      </c>
      <c r="GU11" s="31">
        <v>102.557</v>
      </c>
      <c r="GV11" s="31">
        <v>99.6237</v>
      </c>
    </row>
    <row r="12" ht="14.25" customHeight="1">
      <c r="A12" s="41" t="s">
        <v>94</v>
      </c>
      <c r="B12" s="41" t="s">
        <v>62</v>
      </c>
      <c r="C12" s="41" t="s">
        <v>86</v>
      </c>
      <c r="D12" s="31">
        <v>38.0</v>
      </c>
      <c r="E12" s="31">
        <v>1.7548830991E9</v>
      </c>
      <c r="F12" s="31">
        <v>5581.09999990463</v>
      </c>
      <c r="G12" s="31" t="s">
        <v>436</v>
      </c>
      <c r="H12" s="42">
        <v>0.4803125</v>
      </c>
      <c r="I12" s="31" t="s">
        <v>409</v>
      </c>
      <c r="J12" s="31">
        <v>1.7548830991E9</v>
      </c>
      <c r="K12" s="31">
        <v>0.00312291076521044</v>
      </c>
      <c r="L12" s="31">
        <v>3.12291076521044</v>
      </c>
      <c r="M12" s="31">
        <v>3.55858004020071</v>
      </c>
      <c r="N12" s="31">
        <v>454.017994920437</v>
      </c>
      <c r="O12" s="31">
        <v>406.920517129061</v>
      </c>
      <c r="P12" s="31">
        <v>41.0985420336644</v>
      </c>
      <c r="Q12" s="31">
        <v>45.8553374991399</v>
      </c>
      <c r="R12" s="31">
        <v>0.171469886895324</v>
      </c>
      <c r="S12" s="31">
        <v>2.76162820256458</v>
      </c>
      <c r="T12" s="31">
        <v>0.165767182553628</v>
      </c>
      <c r="U12" s="31">
        <v>0.104101054745446</v>
      </c>
      <c r="V12" s="31">
        <v>31.4006808419765</v>
      </c>
      <c r="W12" s="31">
        <v>35.089048464548</v>
      </c>
      <c r="X12" s="31">
        <v>35.0224</v>
      </c>
      <c r="Y12" s="31">
        <v>5.65538158215315</v>
      </c>
      <c r="Z12" s="31">
        <v>65.2720973099553</v>
      </c>
      <c r="AA12" s="31">
        <v>3.84211088294908</v>
      </c>
      <c r="AB12" s="31">
        <v>5.88629910986954</v>
      </c>
      <c r="AC12" s="31">
        <v>1.81327069920407</v>
      </c>
      <c r="AD12" s="31">
        <v>-137.72036474578</v>
      </c>
      <c r="AE12" s="31">
        <v>107.896886781183</v>
      </c>
      <c r="AF12" s="31">
        <v>9.15870757150136</v>
      </c>
      <c r="AG12" s="31">
        <v>10.7359104488807</v>
      </c>
      <c r="AH12" s="31">
        <v>0.0</v>
      </c>
      <c r="AI12" s="31">
        <v>0.0</v>
      </c>
      <c r="AJ12" s="31">
        <v>1.0</v>
      </c>
      <c r="AK12" s="31">
        <v>0.0</v>
      </c>
      <c r="AL12" s="31">
        <v>46750.0</v>
      </c>
      <c r="AM12" s="31" t="s">
        <v>410</v>
      </c>
      <c r="AN12" s="31">
        <v>8173.37</v>
      </c>
      <c r="AO12" s="31">
        <v>559.295999999999</v>
      </c>
      <c r="AP12" s="31">
        <v>2893.93</v>
      </c>
      <c r="AQ12" s="31">
        <v>0.806734786259515</v>
      </c>
      <c r="AR12" s="31">
        <v>-2.38169762951563</v>
      </c>
      <c r="AS12" s="31" t="s">
        <v>437</v>
      </c>
      <c r="AT12" s="31">
        <v>8155.62</v>
      </c>
      <c r="AU12" s="31">
        <v>814.172307692307</v>
      </c>
      <c r="AV12" s="31">
        <v>2061.37</v>
      </c>
      <c r="AW12" s="31">
        <v>0.605033396385749</v>
      </c>
      <c r="AX12" s="31">
        <v>0.5</v>
      </c>
      <c r="AY12" s="31">
        <v>160.049571006205</v>
      </c>
      <c r="AZ12" s="31">
        <v>3.55858004020071</v>
      </c>
      <c r="BA12" s="31">
        <v>48.4176677679833</v>
      </c>
      <c r="BB12" s="31">
        <v>0.0371152364381284</v>
      </c>
      <c r="BC12" s="31">
        <v>0.403886735520551</v>
      </c>
      <c r="BD12" s="31">
        <v>518.799903018612</v>
      </c>
      <c r="BE12" s="31" t="s">
        <v>438</v>
      </c>
      <c r="BF12" s="31">
        <v>-105.67</v>
      </c>
      <c r="BG12" s="31">
        <v>-105.67</v>
      </c>
      <c r="BH12" s="31">
        <v>1.05126202476993</v>
      </c>
      <c r="BI12" s="31">
        <v>0.575530535803534</v>
      </c>
      <c r="BJ12" s="31">
        <v>0.277557007601013</v>
      </c>
      <c r="BK12" s="31">
        <v>0.830317076460741</v>
      </c>
      <c r="BL12" s="31">
        <v>0.356612642495568</v>
      </c>
      <c r="BM12" s="31">
        <v>-0.0746971017606057</v>
      </c>
      <c r="BN12" s="31">
        <v>1.0746971017606</v>
      </c>
      <c r="BO12" s="31" t="s">
        <v>413</v>
      </c>
      <c r="BP12" s="31" t="s">
        <v>413</v>
      </c>
      <c r="BQ12" s="31" t="s">
        <v>413</v>
      </c>
      <c r="BR12" s="31" t="s">
        <v>413</v>
      </c>
      <c r="BS12" s="31" t="s">
        <v>413</v>
      </c>
      <c r="BT12" s="31" t="s">
        <v>413</v>
      </c>
      <c r="BU12" s="31" t="s">
        <v>413</v>
      </c>
      <c r="BV12" s="31" t="s">
        <v>413</v>
      </c>
      <c r="BW12" s="31" t="s">
        <v>413</v>
      </c>
      <c r="BX12" s="31" t="s">
        <v>413</v>
      </c>
      <c r="BY12" s="31" t="s">
        <v>413</v>
      </c>
      <c r="BZ12" s="31" t="s">
        <v>413</v>
      </c>
      <c r="CA12" s="31" t="s">
        <v>413</v>
      </c>
      <c r="CB12" s="31" t="s">
        <v>413</v>
      </c>
      <c r="CC12" s="31" t="s">
        <v>413</v>
      </c>
      <c r="CD12" s="31" t="s">
        <v>413</v>
      </c>
      <c r="CE12" s="31" t="s">
        <v>413</v>
      </c>
      <c r="CF12" s="31" t="s">
        <v>413</v>
      </c>
      <c r="CG12" s="31" t="s">
        <v>413</v>
      </c>
      <c r="CH12" s="31" t="s">
        <v>413</v>
      </c>
      <c r="CI12" s="31" t="s">
        <v>413</v>
      </c>
      <c r="CJ12" s="31" t="s">
        <v>413</v>
      </c>
      <c r="CK12" s="31" t="s">
        <v>413</v>
      </c>
      <c r="CL12" s="31" t="s">
        <v>413</v>
      </c>
      <c r="CM12" s="31" t="s">
        <v>413</v>
      </c>
      <c r="CN12" s="31" t="s">
        <v>413</v>
      </c>
      <c r="CO12" s="31" t="s">
        <v>413</v>
      </c>
      <c r="CP12" s="31" t="s">
        <v>413</v>
      </c>
      <c r="CQ12" s="31" t="s">
        <v>413</v>
      </c>
      <c r="CR12" s="31" t="s">
        <v>413</v>
      </c>
      <c r="CS12" s="31" t="s">
        <v>413</v>
      </c>
      <c r="CT12" s="31" t="s">
        <v>413</v>
      </c>
      <c r="CU12" s="31" t="s">
        <v>413</v>
      </c>
      <c r="CV12" s="31" t="s">
        <v>413</v>
      </c>
      <c r="CW12" s="31">
        <v>189.857</v>
      </c>
      <c r="CX12" s="31">
        <v>160.049571006205</v>
      </c>
      <c r="CY12" s="31">
        <v>0.843000632087336</v>
      </c>
      <c r="CZ12" s="31">
        <v>0.165391219928559</v>
      </c>
      <c r="DA12" s="31">
        <v>6.0</v>
      </c>
      <c r="DB12" s="31">
        <v>0.5</v>
      </c>
      <c r="DC12" s="31" t="s">
        <v>414</v>
      </c>
      <c r="DD12" s="31">
        <v>2.0</v>
      </c>
      <c r="DE12" s="31">
        <v>1.7548830991E9</v>
      </c>
      <c r="DF12" s="31">
        <v>454.018</v>
      </c>
      <c r="DG12" s="31">
        <v>459.99</v>
      </c>
      <c r="DH12" s="31">
        <v>38.0411</v>
      </c>
      <c r="DI12" s="31">
        <v>34.436</v>
      </c>
      <c r="DJ12" s="31">
        <v>451.124</v>
      </c>
      <c r="DK12" s="31">
        <v>37.4892</v>
      </c>
      <c r="DL12" s="31">
        <v>499.977</v>
      </c>
      <c r="DM12" s="31">
        <v>100.899</v>
      </c>
      <c r="DN12" s="31">
        <v>0.0999428</v>
      </c>
      <c r="DO12" s="31">
        <v>35.7471</v>
      </c>
      <c r="DP12" s="31">
        <v>35.0224</v>
      </c>
      <c r="DQ12" s="31">
        <v>999.9</v>
      </c>
      <c r="DR12" s="31">
        <v>0.0</v>
      </c>
      <c r="DS12" s="31">
        <v>0.0</v>
      </c>
      <c r="DT12" s="31">
        <v>8991.25</v>
      </c>
      <c r="DU12" s="31">
        <v>0.0</v>
      </c>
      <c r="DV12" s="31">
        <v>41.637</v>
      </c>
      <c r="DW12" s="31">
        <v>189.857</v>
      </c>
      <c r="DX12" s="31">
        <v>0.899915</v>
      </c>
      <c r="DY12" s="31">
        <v>0.100085</v>
      </c>
      <c r="DZ12" s="31">
        <v>0.0</v>
      </c>
      <c r="EA12" s="31">
        <v>815.36</v>
      </c>
      <c r="EB12" s="31">
        <v>0.0999973</v>
      </c>
      <c r="EC12" s="31">
        <v>2252.83</v>
      </c>
      <c r="ED12" s="31">
        <v>1682.74</v>
      </c>
      <c r="EE12" s="31">
        <v>40.687</v>
      </c>
      <c r="EF12" s="31">
        <v>44.375</v>
      </c>
      <c r="EG12" s="31">
        <v>42.25</v>
      </c>
      <c r="EH12" s="31">
        <v>43.812</v>
      </c>
      <c r="EI12" s="31">
        <v>43.25</v>
      </c>
      <c r="EJ12" s="31">
        <v>170.77</v>
      </c>
      <c r="EK12" s="31">
        <v>18.99</v>
      </c>
      <c r="EL12" s="31">
        <v>0.0</v>
      </c>
      <c r="EM12" s="31">
        <v>134.399999856948</v>
      </c>
      <c r="EN12" s="31">
        <v>0.0</v>
      </c>
      <c r="EO12" s="31">
        <v>814.172307692307</v>
      </c>
      <c r="EP12" s="31">
        <v>-15.0584616152469</v>
      </c>
      <c r="EQ12" s="31">
        <v>-1710.97059678605</v>
      </c>
      <c r="ER12" s="31">
        <v>2538.7873076923</v>
      </c>
      <c r="ES12" s="31">
        <v>15.0</v>
      </c>
      <c r="ET12" s="31">
        <v>1.7548829791E9</v>
      </c>
      <c r="EU12" s="42">
        <v>0.4789236111111111</v>
      </c>
      <c r="EV12" s="31">
        <v>1.7548829791E9</v>
      </c>
      <c r="EW12" s="31">
        <v>1.7548765351E9</v>
      </c>
      <c r="EX12" s="31">
        <v>12.0</v>
      </c>
      <c r="EY12" s="31">
        <v>0.124</v>
      </c>
      <c r="EZ12" s="31">
        <v>-0.002</v>
      </c>
      <c r="FA12" s="31">
        <v>2.892</v>
      </c>
      <c r="FB12" s="31">
        <v>0.297</v>
      </c>
      <c r="FC12" s="31">
        <v>460.0</v>
      </c>
      <c r="FD12" s="31">
        <v>20.0</v>
      </c>
      <c r="FE12" s="31">
        <v>0.26</v>
      </c>
      <c r="FF12" s="31">
        <v>0.06</v>
      </c>
      <c r="FG12" s="31">
        <v>100.0</v>
      </c>
      <c r="FH12" s="31">
        <v>100.0</v>
      </c>
      <c r="FI12" s="31">
        <v>2.894</v>
      </c>
      <c r="FJ12" s="31">
        <v>0.5519</v>
      </c>
      <c r="FK12" s="31">
        <v>2.99439367046637</v>
      </c>
      <c r="FL12" s="31">
        <v>-2.2595428698806E-4</v>
      </c>
      <c r="FM12" s="43">
        <v>5.20417301097471E-9</v>
      </c>
      <c r="FN12" s="43">
        <v>1.17243702350096E-12</v>
      </c>
      <c r="FO12" s="31">
        <v>0.551873338452037</v>
      </c>
      <c r="FP12" s="31">
        <v>0.0</v>
      </c>
      <c r="FQ12" s="31">
        <v>0.0</v>
      </c>
      <c r="FR12" s="31">
        <v>0.0</v>
      </c>
      <c r="FS12" s="31">
        <v>1.0</v>
      </c>
      <c r="FT12" s="31">
        <v>2266.0</v>
      </c>
      <c r="FU12" s="31">
        <v>1.0</v>
      </c>
      <c r="FV12" s="31">
        <v>26.0</v>
      </c>
      <c r="FW12" s="31">
        <v>2.0</v>
      </c>
      <c r="FX12" s="31">
        <v>109.4</v>
      </c>
      <c r="FY12" s="31">
        <v>1.12427</v>
      </c>
      <c r="FZ12" s="31">
        <v>2.55493</v>
      </c>
      <c r="GA12" s="31">
        <v>1.59668</v>
      </c>
      <c r="GB12" s="31">
        <v>2.31689</v>
      </c>
      <c r="GC12" s="31">
        <v>1.5979</v>
      </c>
      <c r="GD12" s="31">
        <v>2.37183</v>
      </c>
      <c r="GE12" s="31">
        <v>43.8092</v>
      </c>
      <c r="GF12" s="31">
        <v>15.3929</v>
      </c>
      <c r="GG12" s="31">
        <v>18.0</v>
      </c>
      <c r="GH12" s="31">
        <v>508.002</v>
      </c>
      <c r="GI12" s="31">
        <v>464.447</v>
      </c>
      <c r="GJ12" s="31">
        <v>35.7392</v>
      </c>
      <c r="GK12" s="31">
        <v>35.9211</v>
      </c>
      <c r="GL12" s="31">
        <v>30.0</v>
      </c>
      <c r="GM12" s="31">
        <v>35.9506</v>
      </c>
      <c r="GN12" s="31">
        <v>35.9003</v>
      </c>
      <c r="GO12" s="31">
        <v>22.5583</v>
      </c>
      <c r="GP12" s="31">
        <v>100.0</v>
      </c>
      <c r="GQ12" s="31">
        <v>0.0</v>
      </c>
      <c r="GR12" s="31">
        <v>-999.9</v>
      </c>
      <c r="GS12" s="31">
        <v>460.0</v>
      </c>
      <c r="GT12" s="31">
        <v>0.0</v>
      </c>
      <c r="GU12" s="31">
        <v>102.493</v>
      </c>
      <c r="GV12" s="31">
        <v>99.6248</v>
      </c>
    </row>
    <row r="13" ht="14.25" customHeight="1">
      <c r="A13" s="41" t="s">
        <v>94</v>
      </c>
      <c r="B13" s="41" t="s">
        <v>62</v>
      </c>
      <c r="C13" s="41" t="s">
        <v>87</v>
      </c>
      <c r="D13" s="31">
        <v>39.0</v>
      </c>
      <c r="E13" s="31">
        <v>1.7548832271E9</v>
      </c>
      <c r="F13" s="31">
        <v>5709.09999990463</v>
      </c>
      <c r="G13" s="31" t="s">
        <v>439</v>
      </c>
      <c r="H13" s="42">
        <v>0.4817939814814815</v>
      </c>
      <c r="I13" s="31" t="s">
        <v>409</v>
      </c>
      <c r="J13" s="31">
        <v>1.7548832271E9</v>
      </c>
      <c r="K13" s="31">
        <v>0.00202497220903522</v>
      </c>
      <c r="L13" s="31">
        <v>2.02497220903522</v>
      </c>
      <c r="M13" s="31">
        <v>2.74395124648018</v>
      </c>
      <c r="N13" s="31">
        <v>455.596996068251</v>
      </c>
      <c r="O13" s="31">
        <v>398.672364345373</v>
      </c>
      <c r="P13" s="31">
        <v>40.2653674018119</v>
      </c>
      <c r="Q13" s="31">
        <v>46.0146779021727</v>
      </c>
      <c r="R13" s="31">
        <v>0.103240176824222</v>
      </c>
      <c r="S13" s="31">
        <v>2.75760977023175</v>
      </c>
      <c r="T13" s="31">
        <v>0.101140004144413</v>
      </c>
      <c r="U13" s="31">
        <v>0.0633976363867049</v>
      </c>
      <c r="V13" s="31">
        <v>31.422966732285</v>
      </c>
      <c r="W13" s="31">
        <v>35.1144139412139</v>
      </c>
      <c r="X13" s="31">
        <v>34.9642</v>
      </c>
      <c r="Y13" s="31">
        <v>5.6371831821899</v>
      </c>
      <c r="Z13" s="31">
        <v>63.9625556122871</v>
      </c>
      <c r="AA13" s="31">
        <v>3.70859943519059</v>
      </c>
      <c r="AB13" s="31">
        <v>5.79807889114139</v>
      </c>
      <c r="AC13" s="31">
        <v>1.9285837469993</v>
      </c>
      <c r="AD13" s="31">
        <v>-89.3012744184534</v>
      </c>
      <c r="AE13" s="31">
        <v>75.6721432877619</v>
      </c>
      <c r="AF13" s="31">
        <v>6.42231617939121</v>
      </c>
      <c r="AG13" s="31">
        <v>24.2161517809846</v>
      </c>
      <c r="AH13" s="31">
        <v>0.0</v>
      </c>
      <c r="AI13" s="31">
        <v>0.0</v>
      </c>
      <c r="AJ13" s="31">
        <v>1.0</v>
      </c>
      <c r="AK13" s="31">
        <v>0.0</v>
      </c>
      <c r="AL13" s="31">
        <v>46682.0</v>
      </c>
      <c r="AM13" s="31" t="s">
        <v>410</v>
      </c>
      <c r="AN13" s="31">
        <v>8173.37</v>
      </c>
      <c r="AO13" s="31">
        <v>559.295999999999</v>
      </c>
      <c r="AP13" s="31">
        <v>2893.93</v>
      </c>
      <c r="AQ13" s="31">
        <v>0.806734786259515</v>
      </c>
      <c r="AR13" s="31">
        <v>-2.38169762951563</v>
      </c>
      <c r="AS13" s="31" t="s">
        <v>440</v>
      </c>
      <c r="AT13" s="31">
        <v>8191.59</v>
      </c>
      <c r="AU13" s="31">
        <v>598.700769230769</v>
      </c>
      <c r="AV13" s="31">
        <v>1346.11</v>
      </c>
      <c r="AW13" s="31">
        <v>0.555236370556069</v>
      </c>
      <c r="AX13" s="31">
        <v>0.5</v>
      </c>
      <c r="AY13" s="31">
        <v>160.172442037453</v>
      </c>
      <c r="AZ13" s="31">
        <v>2.74395124648018</v>
      </c>
      <c r="BA13" s="31">
        <v>44.466782689989</v>
      </c>
      <c r="BB13" s="31">
        <v>0.0320008161878264</v>
      </c>
      <c r="BC13" s="31">
        <v>1.14984659500338</v>
      </c>
      <c r="BD13" s="31">
        <v>457.604647896666</v>
      </c>
      <c r="BE13" s="31" t="s">
        <v>441</v>
      </c>
      <c r="BF13" s="31">
        <v>-107.87</v>
      </c>
      <c r="BG13" s="31">
        <v>-107.87</v>
      </c>
      <c r="BH13" s="31">
        <v>1.08013461009872</v>
      </c>
      <c r="BI13" s="31">
        <v>0.514043680634692</v>
      </c>
      <c r="BJ13" s="31">
        <v>0.515630621627023</v>
      </c>
      <c r="BK13" s="31">
        <v>0.949918571313208</v>
      </c>
      <c r="BL13" s="31">
        <v>0.662981863538353</v>
      </c>
      <c r="BM13" s="31">
        <v>-0.0926170378924152</v>
      </c>
      <c r="BN13" s="31">
        <v>1.09261703789241</v>
      </c>
      <c r="BO13" s="31" t="s">
        <v>413</v>
      </c>
      <c r="BP13" s="31" t="s">
        <v>413</v>
      </c>
      <c r="BQ13" s="31" t="s">
        <v>413</v>
      </c>
      <c r="BR13" s="31" t="s">
        <v>413</v>
      </c>
      <c r="BS13" s="31" t="s">
        <v>413</v>
      </c>
      <c r="BT13" s="31" t="s">
        <v>413</v>
      </c>
      <c r="BU13" s="31" t="s">
        <v>413</v>
      </c>
      <c r="BV13" s="31" t="s">
        <v>413</v>
      </c>
      <c r="BW13" s="31" t="s">
        <v>413</v>
      </c>
      <c r="BX13" s="31" t="s">
        <v>413</v>
      </c>
      <c r="BY13" s="31" t="s">
        <v>413</v>
      </c>
      <c r="BZ13" s="31" t="s">
        <v>413</v>
      </c>
      <c r="CA13" s="31" t="s">
        <v>413</v>
      </c>
      <c r="CB13" s="31" t="s">
        <v>413</v>
      </c>
      <c r="CC13" s="31" t="s">
        <v>413</v>
      </c>
      <c r="CD13" s="31" t="s">
        <v>413</v>
      </c>
      <c r="CE13" s="31" t="s">
        <v>413</v>
      </c>
      <c r="CF13" s="31" t="s">
        <v>413</v>
      </c>
      <c r="CG13" s="31" t="s">
        <v>413</v>
      </c>
      <c r="CH13" s="31" t="s">
        <v>413</v>
      </c>
      <c r="CI13" s="31" t="s">
        <v>413</v>
      </c>
      <c r="CJ13" s="31" t="s">
        <v>413</v>
      </c>
      <c r="CK13" s="31" t="s">
        <v>413</v>
      </c>
      <c r="CL13" s="31" t="s">
        <v>413</v>
      </c>
      <c r="CM13" s="31" t="s">
        <v>413</v>
      </c>
      <c r="CN13" s="31" t="s">
        <v>413</v>
      </c>
      <c r="CO13" s="31" t="s">
        <v>413</v>
      </c>
      <c r="CP13" s="31" t="s">
        <v>413</v>
      </c>
      <c r="CQ13" s="31" t="s">
        <v>413</v>
      </c>
      <c r="CR13" s="31" t="s">
        <v>413</v>
      </c>
      <c r="CS13" s="31" t="s">
        <v>413</v>
      </c>
      <c r="CT13" s="31" t="s">
        <v>413</v>
      </c>
      <c r="CU13" s="31" t="s">
        <v>413</v>
      </c>
      <c r="CV13" s="31" t="s">
        <v>413</v>
      </c>
      <c r="CW13" s="31">
        <v>190.004</v>
      </c>
      <c r="CX13" s="31">
        <v>160.172442037453</v>
      </c>
      <c r="CY13" s="31">
        <v>0.842995105563321</v>
      </c>
      <c r="CZ13" s="31">
        <v>0.165380553737211</v>
      </c>
      <c r="DA13" s="31">
        <v>6.0</v>
      </c>
      <c r="DB13" s="31">
        <v>0.5</v>
      </c>
      <c r="DC13" s="31" t="s">
        <v>414</v>
      </c>
      <c r="DD13" s="31">
        <v>2.0</v>
      </c>
      <c r="DE13" s="31">
        <v>1.7548832271E9</v>
      </c>
      <c r="DF13" s="31">
        <v>455.597</v>
      </c>
      <c r="DG13" s="31">
        <v>459.996</v>
      </c>
      <c r="DH13" s="31">
        <v>36.7193</v>
      </c>
      <c r="DI13" s="31">
        <v>34.379</v>
      </c>
      <c r="DJ13" s="31">
        <v>452.703</v>
      </c>
      <c r="DK13" s="31">
        <v>36.1674</v>
      </c>
      <c r="DL13" s="31">
        <v>500.094</v>
      </c>
      <c r="DM13" s="31">
        <v>100.898</v>
      </c>
      <c r="DN13" s="31">
        <v>0.100642</v>
      </c>
      <c r="DO13" s="31">
        <v>35.4732</v>
      </c>
      <c r="DP13" s="31">
        <v>34.9642</v>
      </c>
      <c r="DQ13" s="31">
        <v>999.9</v>
      </c>
      <c r="DR13" s="31">
        <v>0.0</v>
      </c>
      <c r="DS13" s="31">
        <v>0.0</v>
      </c>
      <c r="DT13" s="31">
        <v>8970.0</v>
      </c>
      <c r="DU13" s="31">
        <v>0.0</v>
      </c>
      <c r="DV13" s="31">
        <v>233.643</v>
      </c>
      <c r="DW13" s="31">
        <v>190.004</v>
      </c>
      <c r="DX13" s="31">
        <v>0.900127</v>
      </c>
      <c r="DY13" s="31">
        <v>0.0998728</v>
      </c>
      <c r="DZ13" s="31">
        <v>0.0</v>
      </c>
      <c r="EA13" s="31">
        <v>597.37</v>
      </c>
      <c r="EB13" s="31">
        <v>0.0999973</v>
      </c>
      <c r="EC13" s="31">
        <v>1742.59</v>
      </c>
      <c r="ED13" s="31">
        <v>1684.17</v>
      </c>
      <c r="EE13" s="31">
        <v>40.562</v>
      </c>
      <c r="EF13" s="31">
        <v>43.937</v>
      </c>
      <c r="EG13" s="31">
        <v>42.062</v>
      </c>
      <c r="EH13" s="31">
        <v>43.562</v>
      </c>
      <c r="EI13" s="31">
        <v>43.187</v>
      </c>
      <c r="EJ13" s="31">
        <v>170.94</v>
      </c>
      <c r="EK13" s="31">
        <v>18.97</v>
      </c>
      <c r="EL13" s="31">
        <v>0.0</v>
      </c>
      <c r="EM13" s="31">
        <v>126.0</v>
      </c>
      <c r="EN13" s="31">
        <v>0.0</v>
      </c>
      <c r="EO13" s="31">
        <v>598.700769230769</v>
      </c>
      <c r="EP13" s="31">
        <v>-11.7979488071946</v>
      </c>
      <c r="EQ13" s="31">
        <v>11.9370937694761</v>
      </c>
      <c r="ER13" s="31">
        <v>1733.68615384615</v>
      </c>
      <c r="ES13" s="31">
        <v>15.0</v>
      </c>
      <c r="ET13" s="31">
        <v>1.7548829791E9</v>
      </c>
      <c r="EU13" s="42">
        <v>0.4789236111111111</v>
      </c>
      <c r="EV13" s="31">
        <v>1.7548829791E9</v>
      </c>
      <c r="EW13" s="31">
        <v>1.7548765351E9</v>
      </c>
      <c r="EX13" s="31">
        <v>12.0</v>
      </c>
      <c r="EY13" s="31">
        <v>0.124</v>
      </c>
      <c r="EZ13" s="31">
        <v>-0.002</v>
      </c>
      <c r="FA13" s="31">
        <v>2.892</v>
      </c>
      <c r="FB13" s="31">
        <v>0.297</v>
      </c>
      <c r="FC13" s="31">
        <v>460.0</v>
      </c>
      <c r="FD13" s="31">
        <v>20.0</v>
      </c>
      <c r="FE13" s="31">
        <v>0.26</v>
      </c>
      <c r="FF13" s="31">
        <v>0.06</v>
      </c>
      <c r="FG13" s="31">
        <v>100.0</v>
      </c>
      <c r="FH13" s="31">
        <v>100.0</v>
      </c>
      <c r="FI13" s="31">
        <v>2.894</v>
      </c>
      <c r="FJ13" s="31">
        <v>0.5519</v>
      </c>
      <c r="FK13" s="31">
        <v>2.99439367046637</v>
      </c>
      <c r="FL13" s="31">
        <v>-2.2595428698806E-4</v>
      </c>
      <c r="FM13" s="43">
        <v>5.20417301097471E-9</v>
      </c>
      <c r="FN13" s="43">
        <v>1.17243702350096E-12</v>
      </c>
      <c r="FO13" s="31">
        <v>0.551873338452037</v>
      </c>
      <c r="FP13" s="31">
        <v>0.0</v>
      </c>
      <c r="FQ13" s="31">
        <v>0.0</v>
      </c>
      <c r="FR13" s="31">
        <v>0.0</v>
      </c>
      <c r="FS13" s="31">
        <v>1.0</v>
      </c>
      <c r="FT13" s="31">
        <v>2266.0</v>
      </c>
      <c r="FU13" s="31">
        <v>1.0</v>
      </c>
      <c r="FV13" s="31">
        <v>26.0</v>
      </c>
      <c r="FW13" s="31">
        <v>4.1</v>
      </c>
      <c r="FX13" s="31">
        <v>111.5</v>
      </c>
      <c r="FY13" s="31">
        <v>1.12427</v>
      </c>
      <c r="FZ13" s="31">
        <v>2.55371</v>
      </c>
      <c r="GA13" s="31">
        <v>1.59668</v>
      </c>
      <c r="GB13" s="31">
        <v>2.31689</v>
      </c>
      <c r="GC13" s="31">
        <v>1.5979</v>
      </c>
      <c r="GD13" s="31">
        <v>2.38892</v>
      </c>
      <c r="GE13" s="31">
        <v>43.8641</v>
      </c>
      <c r="GF13" s="31">
        <v>15.3666</v>
      </c>
      <c r="GG13" s="31">
        <v>18.0</v>
      </c>
      <c r="GH13" s="31">
        <v>507.936</v>
      </c>
      <c r="GI13" s="31">
        <v>464.452</v>
      </c>
      <c r="GJ13" s="31">
        <v>35.5729</v>
      </c>
      <c r="GK13" s="31">
        <v>35.753</v>
      </c>
      <c r="GL13" s="31">
        <v>29.9992</v>
      </c>
      <c r="GM13" s="31">
        <v>35.7919</v>
      </c>
      <c r="GN13" s="31">
        <v>35.7298</v>
      </c>
      <c r="GO13" s="31">
        <v>22.56</v>
      </c>
      <c r="GP13" s="31">
        <v>100.0</v>
      </c>
      <c r="GQ13" s="31">
        <v>0.0</v>
      </c>
      <c r="GR13" s="31">
        <v>-999.9</v>
      </c>
      <c r="GS13" s="31">
        <v>460.0</v>
      </c>
      <c r="GT13" s="31">
        <v>0.0</v>
      </c>
      <c r="GU13" s="31">
        <v>102.518</v>
      </c>
      <c r="GV13" s="31">
        <v>99.658</v>
      </c>
    </row>
    <row r="14" ht="14.25" customHeight="1">
      <c r="A14" s="41" t="s">
        <v>94</v>
      </c>
      <c r="B14" s="41" t="s">
        <v>64</v>
      </c>
      <c r="C14" s="41" t="s">
        <v>86</v>
      </c>
      <c r="D14" s="31">
        <v>64.0</v>
      </c>
      <c r="E14" s="31">
        <v>1.7548867521E9</v>
      </c>
      <c r="F14" s="31">
        <v>9234.09999990463</v>
      </c>
      <c r="G14" s="31" t="s">
        <v>442</v>
      </c>
      <c r="H14" s="42">
        <v>0.5225925925925926</v>
      </c>
      <c r="I14" s="31" t="s">
        <v>409</v>
      </c>
      <c r="J14" s="31">
        <v>1.7548867521E9</v>
      </c>
      <c r="K14" s="31">
        <v>0.0043691738062254</v>
      </c>
      <c r="L14" s="31">
        <v>4.3691738062254</v>
      </c>
      <c r="M14" s="31">
        <v>5.160528815308</v>
      </c>
      <c r="N14" s="31">
        <v>451.431992650819</v>
      </c>
      <c r="O14" s="31">
        <v>415.314014900093</v>
      </c>
      <c r="P14" s="31">
        <v>41.9407042498577</v>
      </c>
      <c r="Q14" s="31">
        <v>45.5880972310711</v>
      </c>
      <c r="R14" s="31">
        <v>0.330198601681826</v>
      </c>
      <c r="S14" s="31">
        <v>2.75927569219586</v>
      </c>
      <c r="T14" s="31">
        <v>0.309712133209568</v>
      </c>
      <c r="U14" s="31">
        <v>0.195304699515938</v>
      </c>
      <c r="V14" s="31">
        <v>31.4471298970847</v>
      </c>
      <c r="W14" s="31">
        <v>33.2318322025357</v>
      </c>
      <c r="X14" s="31">
        <v>33.2316</v>
      </c>
      <c r="Y14" s="31">
        <v>5.11822430089178</v>
      </c>
      <c r="Z14" s="31">
        <v>69.3991512927848</v>
      </c>
      <c r="AA14" s="31">
        <v>3.7561970337804</v>
      </c>
      <c r="AB14" s="31">
        <v>5.41245384678201</v>
      </c>
      <c r="AC14" s="31">
        <v>1.36202726711138</v>
      </c>
      <c r="AD14" s="31">
        <v>-192.68056485454</v>
      </c>
      <c r="AE14" s="31">
        <v>148.772946924774</v>
      </c>
      <c r="AF14" s="31">
        <v>12.4370392565811</v>
      </c>
      <c r="AG14" s="31">
        <v>-0.023448776099741</v>
      </c>
      <c r="AH14" s="31">
        <v>0.0</v>
      </c>
      <c r="AI14" s="31">
        <v>0.0</v>
      </c>
      <c r="AJ14" s="31">
        <v>1.0</v>
      </c>
      <c r="AK14" s="31">
        <v>0.0</v>
      </c>
      <c r="AL14" s="31">
        <v>46917.0</v>
      </c>
      <c r="AM14" s="31" t="s">
        <v>410</v>
      </c>
      <c r="AN14" s="31">
        <v>8173.37</v>
      </c>
      <c r="AO14" s="31">
        <v>559.295999999999</v>
      </c>
      <c r="AP14" s="31">
        <v>2893.93</v>
      </c>
      <c r="AQ14" s="31">
        <v>0.806734786259515</v>
      </c>
      <c r="AR14" s="31">
        <v>-2.38169762951563</v>
      </c>
      <c r="AS14" s="31" t="s">
        <v>443</v>
      </c>
      <c r="AT14" s="31">
        <v>8226.38</v>
      </c>
      <c r="AU14" s="31">
        <v>812.410576923076</v>
      </c>
      <c r="AV14" s="31">
        <v>2400.74</v>
      </c>
      <c r="AW14" s="31">
        <v>0.661599932969385</v>
      </c>
      <c r="AX14" s="31">
        <v>0.5</v>
      </c>
      <c r="AY14" s="31">
        <v>160.299314972582</v>
      </c>
      <c r="AZ14" s="31">
        <v>5.160528815308</v>
      </c>
      <c r="BA14" s="31">
        <v>53.0270080204496</v>
      </c>
      <c r="BB14" s="31">
        <v>0.0470508962943082</v>
      </c>
      <c r="BC14" s="31">
        <v>0.205432491648408</v>
      </c>
      <c r="BD14" s="31">
        <v>537.938261720759</v>
      </c>
      <c r="BE14" s="31" t="s">
        <v>444</v>
      </c>
      <c r="BF14" s="31">
        <v>-1691.87</v>
      </c>
      <c r="BG14" s="31">
        <v>-1691.87</v>
      </c>
      <c r="BH14" s="31">
        <v>1.70472854203287</v>
      </c>
      <c r="BI14" s="31">
        <v>0.388096941334972</v>
      </c>
      <c r="BJ14" s="31">
        <v>0.107547210955558</v>
      </c>
      <c r="BK14" s="31">
        <v>0.862545601754342</v>
      </c>
      <c r="BL14" s="31">
        <v>0.211249386413459</v>
      </c>
      <c r="BM14" s="31">
        <v>-0.808223810457075</v>
      </c>
      <c r="BN14" s="31">
        <v>1.80822381045707</v>
      </c>
      <c r="BO14" s="31" t="s">
        <v>413</v>
      </c>
      <c r="BP14" s="31" t="s">
        <v>413</v>
      </c>
      <c r="BQ14" s="31" t="s">
        <v>413</v>
      </c>
      <c r="BR14" s="31" t="s">
        <v>413</v>
      </c>
      <c r="BS14" s="31" t="s">
        <v>413</v>
      </c>
      <c r="BT14" s="31" t="s">
        <v>413</v>
      </c>
      <c r="BU14" s="31" t="s">
        <v>413</v>
      </c>
      <c r="BV14" s="31" t="s">
        <v>413</v>
      </c>
      <c r="BW14" s="31" t="s">
        <v>413</v>
      </c>
      <c r="BX14" s="31" t="s">
        <v>413</v>
      </c>
      <c r="BY14" s="31" t="s">
        <v>413</v>
      </c>
      <c r="BZ14" s="31" t="s">
        <v>413</v>
      </c>
      <c r="CA14" s="31" t="s">
        <v>413</v>
      </c>
      <c r="CB14" s="31" t="s">
        <v>413</v>
      </c>
      <c r="CC14" s="31" t="s">
        <v>413</v>
      </c>
      <c r="CD14" s="31" t="s">
        <v>413</v>
      </c>
      <c r="CE14" s="31" t="s">
        <v>413</v>
      </c>
      <c r="CF14" s="31" t="s">
        <v>413</v>
      </c>
      <c r="CG14" s="31" t="s">
        <v>413</v>
      </c>
      <c r="CH14" s="31" t="s">
        <v>413</v>
      </c>
      <c r="CI14" s="31" t="s">
        <v>413</v>
      </c>
      <c r="CJ14" s="31" t="s">
        <v>413</v>
      </c>
      <c r="CK14" s="31" t="s">
        <v>413</v>
      </c>
      <c r="CL14" s="31" t="s">
        <v>413</v>
      </c>
      <c r="CM14" s="31" t="s">
        <v>413</v>
      </c>
      <c r="CN14" s="31" t="s">
        <v>413</v>
      </c>
      <c r="CO14" s="31" t="s">
        <v>413</v>
      </c>
      <c r="CP14" s="31" t="s">
        <v>413</v>
      </c>
      <c r="CQ14" s="31" t="s">
        <v>413</v>
      </c>
      <c r="CR14" s="31" t="s">
        <v>413</v>
      </c>
      <c r="CS14" s="31" t="s">
        <v>413</v>
      </c>
      <c r="CT14" s="31" t="s">
        <v>413</v>
      </c>
      <c r="CU14" s="31" t="s">
        <v>413</v>
      </c>
      <c r="CV14" s="31" t="s">
        <v>413</v>
      </c>
      <c r="CW14" s="31">
        <v>190.155</v>
      </c>
      <c r="CX14" s="31">
        <v>160.299314972582</v>
      </c>
      <c r="CY14" s="31">
        <v>0.842992900384332</v>
      </c>
      <c r="CZ14" s="31">
        <v>0.165376297741761</v>
      </c>
      <c r="DA14" s="31">
        <v>6.0</v>
      </c>
      <c r="DB14" s="31">
        <v>0.5</v>
      </c>
      <c r="DC14" s="31" t="s">
        <v>414</v>
      </c>
      <c r="DD14" s="31">
        <v>2.0</v>
      </c>
      <c r="DE14" s="31">
        <v>1.7548867521E9</v>
      </c>
      <c r="DF14" s="31">
        <v>451.432</v>
      </c>
      <c r="DG14" s="31">
        <v>459.991</v>
      </c>
      <c r="DH14" s="31">
        <v>37.1954</v>
      </c>
      <c r="DI14" s="31">
        <v>32.1477</v>
      </c>
      <c r="DJ14" s="31">
        <v>448.452</v>
      </c>
      <c r="DK14" s="31">
        <v>36.6435</v>
      </c>
      <c r="DL14" s="31">
        <v>500.029</v>
      </c>
      <c r="DM14" s="31">
        <v>100.885</v>
      </c>
      <c r="DN14" s="31">
        <v>0.100526</v>
      </c>
      <c r="DO14" s="31">
        <v>34.2317</v>
      </c>
      <c r="DP14" s="31">
        <v>33.2316</v>
      </c>
      <c r="DQ14" s="31">
        <v>999.9</v>
      </c>
      <c r="DR14" s="31">
        <v>0.0</v>
      </c>
      <c r="DS14" s="31">
        <v>0.0</v>
      </c>
      <c r="DT14" s="31">
        <v>8980.0</v>
      </c>
      <c r="DU14" s="31">
        <v>0.0</v>
      </c>
      <c r="DV14" s="31">
        <v>587.115</v>
      </c>
      <c r="DW14" s="31">
        <v>190.155</v>
      </c>
      <c r="DX14" s="31">
        <v>0.900163</v>
      </c>
      <c r="DY14" s="31">
        <v>0.0998373</v>
      </c>
      <c r="DZ14" s="31">
        <v>0.0</v>
      </c>
      <c r="EA14" s="31">
        <v>816.04</v>
      </c>
      <c r="EB14" s="31">
        <v>0.0999973</v>
      </c>
      <c r="EC14" s="31">
        <v>3103.51</v>
      </c>
      <c r="ED14" s="31">
        <v>1685.53</v>
      </c>
      <c r="EE14" s="31">
        <v>39.625</v>
      </c>
      <c r="EF14" s="31">
        <v>42.812</v>
      </c>
      <c r="EG14" s="31">
        <v>41.125</v>
      </c>
      <c r="EH14" s="31">
        <v>42.437</v>
      </c>
      <c r="EI14" s="31">
        <v>42.125</v>
      </c>
      <c r="EJ14" s="31">
        <v>171.08</v>
      </c>
      <c r="EK14" s="31">
        <v>18.97</v>
      </c>
      <c r="EL14" s="31">
        <v>0.0</v>
      </c>
      <c r="EM14" s="31">
        <v>156.200000047683</v>
      </c>
      <c r="EN14" s="31">
        <v>0.0</v>
      </c>
      <c r="EO14" s="31">
        <v>812.410576923076</v>
      </c>
      <c r="EP14" s="31">
        <v>-14.4535043524727</v>
      </c>
      <c r="EQ14" s="31">
        <v>-404.756238746488</v>
      </c>
      <c r="ER14" s="31">
        <v>3141.70999999999</v>
      </c>
      <c r="ES14" s="31">
        <v>15.0</v>
      </c>
      <c r="ET14" s="31">
        <v>1.7548864741E9</v>
      </c>
      <c r="EU14" s="42">
        <v>0.519375</v>
      </c>
      <c r="EV14" s="31">
        <v>1.7548864741E9</v>
      </c>
      <c r="EW14" s="31">
        <v>1.7548765351E9</v>
      </c>
      <c r="EX14" s="31">
        <v>17.0</v>
      </c>
      <c r="EY14" s="31">
        <v>0.036</v>
      </c>
      <c r="EZ14" s="31">
        <v>-0.002</v>
      </c>
      <c r="FA14" s="31">
        <v>2.978</v>
      </c>
      <c r="FB14" s="31">
        <v>0.297</v>
      </c>
      <c r="FC14" s="31">
        <v>460.0</v>
      </c>
      <c r="FD14" s="31">
        <v>20.0</v>
      </c>
      <c r="FE14" s="31">
        <v>0.17</v>
      </c>
      <c r="FF14" s="31">
        <v>0.06</v>
      </c>
      <c r="FG14" s="31">
        <v>100.0</v>
      </c>
      <c r="FH14" s="31">
        <v>100.0</v>
      </c>
      <c r="FI14" s="31">
        <v>2.98</v>
      </c>
      <c r="FJ14" s="31">
        <v>0.5519</v>
      </c>
      <c r="FK14" s="31">
        <v>3.0799258240917</v>
      </c>
      <c r="FL14" s="31">
        <v>-2.2595428698806E-4</v>
      </c>
      <c r="FM14" s="43">
        <v>5.20417301097471E-9</v>
      </c>
      <c r="FN14" s="43">
        <v>1.17243702350096E-12</v>
      </c>
      <c r="FO14" s="31">
        <v>0.551873338452037</v>
      </c>
      <c r="FP14" s="31">
        <v>0.0</v>
      </c>
      <c r="FQ14" s="31">
        <v>0.0</v>
      </c>
      <c r="FR14" s="31">
        <v>0.0</v>
      </c>
      <c r="FS14" s="31">
        <v>1.0</v>
      </c>
      <c r="FT14" s="31">
        <v>2266.0</v>
      </c>
      <c r="FU14" s="31">
        <v>1.0</v>
      </c>
      <c r="FV14" s="31">
        <v>26.0</v>
      </c>
      <c r="FW14" s="31">
        <v>4.6</v>
      </c>
      <c r="FX14" s="31">
        <v>170.3</v>
      </c>
      <c r="FY14" s="31">
        <v>1.12427</v>
      </c>
      <c r="FZ14" s="31">
        <v>2.56348</v>
      </c>
      <c r="GA14" s="31">
        <v>1.59668</v>
      </c>
      <c r="GB14" s="31">
        <v>2.31812</v>
      </c>
      <c r="GC14" s="31">
        <v>1.5979</v>
      </c>
      <c r="GD14" s="31">
        <v>2.39868</v>
      </c>
      <c r="GE14" s="31">
        <v>42.2975</v>
      </c>
      <c r="GF14" s="31">
        <v>14.8938</v>
      </c>
      <c r="GG14" s="31">
        <v>18.0</v>
      </c>
      <c r="GH14" s="31">
        <v>507.649</v>
      </c>
      <c r="GI14" s="31">
        <v>467.474</v>
      </c>
      <c r="GJ14" s="31">
        <v>34.2189</v>
      </c>
      <c r="GK14" s="31">
        <v>34.9253</v>
      </c>
      <c r="GL14" s="31">
        <v>30.0004</v>
      </c>
      <c r="GM14" s="31">
        <v>34.9138</v>
      </c>
      <c r="GN14" s="31">
        <v>34.8556</v>
      </c>
      <c r="GO14" s="31">
        <v>22.5641</v>
      </c>
      <c r="GP14" s="31">
        <v>100.0</v>
      </c>
      <c r="GQ14" s="31">
        <v>0.0</v>
      </c>
      <c r="GR14" s="31">
        <v>-999.9</v>
      </c>
      <c r="GS14" s="31">
        <v>460.0</v>
      </c>
      <c r="GT14" s="31">
        <v>15.5881</v>
      </c>
      <c r="GU14" s="31">
        <v>102.532</v>
      </c>
      <c r="GV14" s="31">
        <v>99.7866</v>
      </c>
    </row>
    <row r="15" ht="14.25" customHeight="1">
      <c r="A15" s="41" t="s">
        <v>94</v>
      </c>
      <c r="B15" s="41" t="s">
        <v>64</v>
      </c>
      <c r="C15" s="41" t="s">
        <v>87</v>
      </c>
      <c r="D15" s="31">
        <v>65.0</v>
      </c>
      <c r="E15" s="31">
        <v>1.7548868916E9</v>
      </c>
      <c r="F15" s="31">
        <v>9373.59999990463</v>
      </c>
      <c r="G15" s="31" t="s">
        <v>445</v>
      </c>
      <c r="H15" s="42">
        <v>0.5242013888888889</v>
      </c>
      <c r="I15" s="31" t="s">
        <v>409</v>
      </c>
      <c r="J15" s="31">
        <v>1.7548868916E9</v>
      </c>
      <c r="K15" s="31">
        <v>0.00637132396014451</v>
      </c>
      <c r="L15" s="31">
        <v>6.37132396014451</v>
      </c>
      <c r="M15" s="31">
        <v>5.73842775368776</v>
      </c>
      <c r="N15" s="31">
        <v>449.617991800303</v>
      </c>
      <c r="O15" s="31">
        <v>423.999084435388</v>
      </c>
      <c r="P15" s="31">
        <v>42.8153024665555</v>
      </c>
      <c r="Q15" s="31">
        <v>45.4022921746871</v>
      </c>
      <c r="R15" s="31">
        <v>0.585583630524178</v>
      </c>
      <c r="S15" s="31">
        <v>2.75623229191514</v>
      </c>
      <c r="T15" s="31">
        <v>0.524240254752506</v>
      </c>
      <c r="U15" s="31">
        <v>0.332624508032825</v>
      </c>
      <c r="V15" s="31">
        <v>31.4330966688345</v>
      </c>
      <c r="W15" s="31">
        <v>32.6300587552126</v>
      </c>
      <c r="X15" s="31">
        <v>33.2701</v>
      </c>
      <c r="Y15" s="31">
        <v>5.12928795846359</v>
      </c>
      <c r="Z15" s="31">
        <v>73.3279520711109</v>
      </c>
      <c r="AA15" s="31">
        <v>3.957253267363</v>
      </c>
      <c r="AB15" s="31">
        <v>5.3966504662852</v>
      </c>
      <c r="AC15" s="31">
        <v>1.17203469110059</v>
      </c>
      <c r="AD15" s="31">
        <v>-280.975386642373</v>
      </c>
      <c r="AE15" s="31">
        <v>135.086801146984</v>
      </c>
      <c r="AF15" s="31">
        <v>11.3046026411041</v>
      </c>
      <c r="AG15" s="31">
        <v>-103.15088618545</v>
      </c>
      <c r="AH15" s="31">
        <v>0.0</v>
      </c>
      <c r="AI15" s="31">
        <v>0.0</v>
      </c>
      <c r="AJ15" s="31">
        <v>1.0</v>
      </c>
      <c r="AK15" s="31">
        <v>0.0</v>
      </c>
      <c r="AL15" s="31">
        <v>46841.0</v>
      </c>
      <c r="AM15" s="31" t="s">
        <v>410</v>
      </c>
      <c r="AN15" s="31">
        <v>8173.37</v>
      </c>
      <c r="AO15" s="31">
        <v>559.295999999999</v>
      </c>
      <c r="AP15" s="31">
        <v>2893.93</v>
      </c>
      <c r="AQ15" s="31">
        <v>0.806734786259515</v>
      </c>
      <c r="AR15" s="31">
        <v>-2.38169762951563</v>
      </c>
      <c r="AS15" s="31" t="s">
        <v>446</v>
      </c>
      <c r="AT15" s="31">
        <v>8196.6</v>
      </c>
      <c r="AU15" s="31">
        <v>754.9338</v>
      </c>
      <c r="AV15" s="31">
        <v>2411.35</v>
      </c>
      <c r="AW15" s="31">
        <v>0.686924834636199</v>
      </c>
      <c r="AX15" s="31">
        <v>0.5</v>
      </c>
      <c r="AY15" s="31">
        <v>160.225400968308</v>
      </c>
      <c r="AZ15" s="31">
        <v>5.73842775368776</v>
      </c>
      <c r="BA15" s="31">
        <v>55.0314035323368</v>
      </c>
      <c r="BB15" s="31">
        <v>0.0506793887494126</v>
      </c>
      <c r="BC15" s="31">
        <v>0.200128558691189</v>
      </c>
      <c r="BD15" s="31">
        <v>538.469150157428</v>
      </c>
      <c r="BE15" s="31" t="s">
        <v>447</v>
      </c>
      <c r="BF15" s="31">
        <v>-886.6</v>
      </c>
      <c r="BG15" s="31">
        <v>-886.6</v>
      </c>
      <c r="BH15" s="31">
        <v>1.3676778568022</v>
      </c>
      <c r="BI15" s="31">
        <v>0.502256310738489</v>
      </c>
      <c r="BJ15" s="31">
        <v>0.127648768823418</v>
      </c>
      <c r="BK15" s="31">
        <v>0.894367118885302</v>
      </c>
      <c r="BL15" s="31">
        <v>0.206704776851532</v>
      </c>
      <c r="BM15" s="31">
        <v>-0.589853633657341</v>
      </c>
      <c r="BN15" s="31">
        <v>1.58985363365734</v>
      </c>
      <c r="BO15" s="31" t="s">
        <v>413</v>
      </c>
      <c r="BP15" s="31" t="s">
        <v>413</v>
      </c>
      <c r="BQ15" s="31" t="s">
        <v>413</v>
      </c>
      <c r="BR15" s="31" t="s">
        <v>413</v>
      </c>
      <c r="BS15" s="31" t="s">
        <v>413</v>
      </c>
      <c r="BT15" s="31" t="s">
        <v>413</v>
      </c>
      <c r="BU15" s="31" t="s">
        <v>413</v>
      </c>
      <c r="BV15" s="31" t="s">
        <v>413</v>
      </c>
      <c r="BW15" s="31" t="s">
        <v>413</v>
      </c>
      <c r="BX15" s="31" t="s">
        <v>413</v>
      </c>
      <c r="BY15" s="31" t="s">
        <v>413</v>
      </c>
      <c r="BZ15" s="31" t="s">
        <v>413</v>
      </c>
      <c r="CA15" s="31" t="s">
        <v>413</v>
      </c>
      <c r="CB15" s="31" t="s">
        <v>413</v>
      </c>
      <c r="CC15" s="31" t="s">
        <v>413</v>
      </c>
      <c r="CD15" s="31" t="s">
        <v>413</v>
      </c>
      <c r="CE15" s="31" t="s">
        <v>413</v>
      </c>
      <c r="CF15" s="31" t="s">
        <v>413</v>
      </c>
      <c r="CG15" s="31" t="s">
        <v>413</v>
      </c>
      <c r="CH15" s="31" t="s">
        <v>413</v>
      </c>
      <c r="CI15" s="31" t="s">
        <v>413</v>
      </c>
      <c r="CJ15" s="31" t="s">
        <v>413</v>
      </c>
      <c r="CK15" s="31" t="s">
        <v>413</v>
      </c>
      <c r="CL15" s="31" t="s">
        <v>413</v>
      </c>
      <c r="CM15" s="31" t="s">
        <v>413</v>
      </c>
      <c r="CN15" s="31" t="s">
        <v>413</v>
      </c>
      <c r="CO15" s="31" t="s">
        <v>413</v>
      </c>
      <c r="CP15" s="31" t="s">
        <v>413</v>
      </c>
      <c r="CQ15" s="31" t="s">
        <v>413</v>
      </c>
      <c r="CR15" s="31" t="s">
        <v>413</v>
      </c>
      <c r="CS15" s="31" t="s">
        <v>413</v>
      </c>
      <c r="CT15" s="31" t="s">
        <v>413</v>
      </c>
      <c r="CU15" s="31" t="s">
        <v>413</v>
      </c>
      <c r="CV15" s="31" t="s">
        <v>413</v>
      </c>
      <c r="CW15" s="31">
        <v>190.067</v>
      </c>
      <c r="CX15" s="31">
        <v>160.225400968308</v>
      </c>
      <c r="CY15" s="31">
        <v>0.842994317626458</v>
      </c>
      <c r="CZ15" s="31">
        <v>0.165379033019064</v>
      </c>
      <c r="DA15" s="31">
        <v>6.0</v>
      </c>
      <c r="DB15" s="31">
        <v>0.5</v>
      </c>
      <c r="DC15" s="31" t="s">
        <v>414</v>
      </c>
      <c r="DD15" s="31">
        <v>2.0</v>
      </c>
      <c r="DE15" s="31">
        <v>1.7548868916E9</v>
      </c>
      <c r="DF15" s="31">
        <v>449.618</v>
      </c>
      <c r="DG15" s="31">
        <v>459.944</v>
      </c>
      <c r="DH15" s="31">
        <v>39.1886</v>
      </c>
      <c r="DI15" s="31">
        <v>31.841</v>
      </c>
      <c r="DJ15" s="31">
        <v>446.638</v>
      </c>
      <c r="DK15" s="31">
        <v>38.6368</v>
      </c>
      <c r="DL15" s="31">
        <v>499.889</v>
      </c>
      <c r="DM15" s="31">
        <v>100.879</v>
      </c>
      <c r="DN15" s="31">
        <v>0.100705</v>
      </c>
      <c r="DO15" s="31">
        <v>34.1792</v>
      </c>
      <c r="DP15" s="31">
        <v>33.2701</v>
      </c>
      <c r="DQ15" s="31">
        <v>999.9</v>
      </c>
      <c r="DR15" s="31">
        <v>0.0</v>
      </c>
      <c r="DS15" s="31">
        <v>0.0</v>
      </c>
      <c r="DT15" s="31">
        <v>8964.38</v>
      </c>
      <c r="DU15" s="31">
        <v>0.0</v>
      </c>
      <c r="DV15" s="31">
        <v>612.417</v>
      </c>
      <c r="DW15" s="31">
        <v>190.067</v>
      </c>
      <c r="DX15" s="31">
        <v>0.900127</v>
      </c>
      <c r="DY15" s="31">
        <v>0.0998728</v>
      </c>
      <c r="DZ15" s="31">
        <v>0.0</v>
      </c>
      <c r="EA15" s="31">
        <v>750.83</v>
      </c>
      <c r="EB15" s="31">
        <v>0.0999973</v>
      </c>
      <c r="EC15" s="31">
        <v>2514.73</v>
      </c>
      <c r="ED15" s="31">
        <v>1684.73</v>
      </c>
      <c r="EE15" s="31">
        <v>39.562</v>
      </c>
      <c r="EF15" s="31">
        <v>42.812</v>
      </c>
      <c r="EG15" s="31">
        <v>41.062</v>
      </c>
      <c r="EH15" s="31">
        <v>42.5</v>
      </c>
      <c r="EI15" s="31">
        <v>42.125</v>
      </c>
      <c r="EJ15" s="31">
        <v>170.99</v>
      </c>
      <c r="EK15" s="31">
        <v>18.97</v>
      </c>
      <c r="EL15" s="31">
        <v>0.0</v>
      </c>
      <c r="EM15" s="31">
        <v>137.399999856948</v>
      </c>
      <c r="EN15" s="31">
        <v>0.0</v>
      </c>
      <c r="EO15" s="31">
        <v>754.9338</v>
      </c>
      <c r="EP15" s="31">
        <v>-23.4119229507193</v>
      </c>
      <c r="EQ15" s="31">
        <v>-480.937693511695</v>
      </c>
      <c r="ER15" s="31">
        <v>2588.0468</v>
      </c>
      <c r="ES15" s="31">
        <v>15.0</v>
      </c>
      <c r="ET15" s="31">
        <v>1.7548864741E9</v>
      </c>
      <c r="EU15" s="42">
        <v>0.519375</v>
      </c>
      <c r="EV15" s="31">
        <v>1.7548864741E9</v>
      </c>
      <c r="EW15" s="31">
        <v>1.7548765351E9</v>
      </c>
      <c r="EX15" s="31">
        <v>17.0</v>
      </c>
      <c r="EY15" s="31">
        <v>0.036</v>
      </c>
      <c r="EZ15" s="31">
        <v>-0.002</v>
      </c>
      <c r="FA15" s="31">
        <v>2.978</v>
      </c>
      <c r="FB15" s="31">
        <v>0.297</v>
      </c>
      <c r="FC15" s="31">
        <v>460.0</v>
      </c>
      <c r="FD15" s="31">
        <v>20.0</v>
      </c>
      <c r="FE15" s="31">
        <v>0.17</v>
      </c>
      <c r="FF15" s="31">
        <v>0.06</v>
      </c>
      <c r="FG15" s="31">
        <v>100.0</v>
      </c>
      <c r="FH15" s="31">
        <v>100.0</v>
      </c>
      <c r="FI15" s="31">
        <v>2.98</v>
      </c>
      <c r="FJ15" s="31">
        <v>0.5518</v>
      </c>
      <c r="FK15" s="31">
        <v>3.0799258240917</v>
      </c>
      <c r="FL15" s="31">
        <v>-2.2595428698806E-4</v>
      </c>
      <c r="FM15" s="43">
        <v>5.20417301097471E-9</v>
      </c>
      <c r="FN15" s="43">
        <v>1.17243702350096E-12</v>
      </c>
      <c r="FO15" s="31">
        <v>0.551873338452037</v>
      </c>
      <c r="FP15" s="31">
        <v>0.0</v>
      </c>
      <c r="FQ15" s="31">
        <v>0.0</v>
      </c>
      <c r="FR15" s="31">
        <v>0.0</v>
      </c>
      <c r="FS15" s="31">
        <v>1.0</v>
      </c>
      <c r="FT15" s="31">
        <v>2266.0</v>
      </c>
      <c r="FU15" s="31">
        <v>1.0</v>
      </c>
      <c r="FV15" s="31">
        <v>26.0</v>
      </c>
      <c r="FW15" s="31">
        <v>7.0</v>
      </c>
      <c r="FX15" s="31">
        <v>172.6</v>
      </c>
      <c r="FY15" s="31">
        <v>1.12427</v>
      </c>
      <c r="FZ15" s="31">
        <v>2.56226</v>
      </c>
      <c r="GA15" s="31">
        <v>1.59668</v>
      </c>
      <c r="GB15" s="31">
        <v>2.31812</v>
      </c>
      <c r="GC15" s="31">
        <v>1.5979</v>
      </c>
      <c r="GD15" s="31">
        <v>2.29858</v>
      </c>
      <c r="GE15" s="31">
        <v>42.1386</v>
      </c>
      <c r="GF15" s="31">
        <v>14.8675</v>
      </c>
      <c r="GG15" s="31">
        <v>18.0</v>
      </c>
      <c r="GH15" s="31">
        <v>506.602</v>
      </c>
      <c r="GI15" s="31">
        <v>468.074</v>
      </c>
      <c r="GJ15" s="31">
        <v>34.2765</v>
      </c>
      <c r="GK15" s="31">
        <v>35.0635</v>
      </c>
      <c r="GL15" s="31">
        <v>30.0005</v>
      </c>
      <c r="GM15" s="31">
        <v>35.0496</v>
      </c>
      <c r="GN15" s="31">
        <v>34.9903</v>
      </c>
      <c r="GO15" s="31">
        <v>22.5658</v>
      </c>
      <c r="GP15" s="31">
        <v>100.0</v>
      </c>
      <c r="GQ15" s="31">
        <v>0.0</v>
      </c>
      <c r="GR15" s="31">
        <v>-999.9</v>
      </c>
      <c r="GS15" s="31">
        <v>460.0</v>
      </c>
      <c r="GT15" s="31">
        <v>15.5881</v>
      </c>
      <c r="GU15" s="31">
        <v>102.519</v>
      </c>
      <c r="GV15" s="31">
        <v>99.7701</v>
      </c>
    </row>
    <row r="16" ht="14.25" customHeight="1">
      <c r="A16" s="41" t="s">
        <v>94</v>
      </c>
      <c r="B16" s="41" t="s">
        <v>66</v>
      </c>
      <c r="C16" s="41" t="s">
        <v>86</v>
      </c>
      <c r="D16" s="31">
        <v>54.0</v>
      </c>
      <c r="E16" s="31">
        <v>1.7548853386E9</v>
      </c>
      <c r="F16" s="31">
        <v>7820.59999990463</v>
      </c>
      <c r="G16" s="31" t="s">
        <v>448</v>
      </c>
      <c r="H16" s="42">
        <v>0.5062268518518519</v>
      </c>
      <c r="I16" s="31" t="s">
        <v>409</v>
      </c>
      <c r="J16" s="31">
        <v>1.7548853386E9</v>
      </c>
      <c r="K16" s="31">
        <v>0.00348829358298052</v>
      </c>
      <c r="L16" s="31">
        <v>3.48829358298052</v>
      </c>
      <c r="M16" s="31">
        <v>4.96441316526281</v>
      </c>
      <c r="N16" s="31">
        <v>452.119992960639</v>
      </c>
      <c r="O16" s="31">
        <v>415.165664512061</v>
      </c>
      <c r="P16" s="31">
        <v>41.9224773672746</v>
      </c>
      <c r="Q16" s="31">
        <v>45.6540407657775</v>
      </c>
      <c r="R16" s="31">
        <v>0.294605967983489</v>
      </c>
      <c r="S16" s="31">
        <v>2.76280543282735</v>
      </c>
      <c r="T16" s="31">
        <v>0.278199841425121</v>
      </c>
      <c r="U16" s="31">
        <v>0.175272747035903</v>
      </c>
      <c r="V16" s="31">
        <v>31.3848859564747</v>
      </c>
      <c r="W16" s="31">
        <v>33.4347225802234</v>
      </c>
      <c r="X16" s="31">
        <v>33.1588</v>
      </c>
      <c r="Y16" s="31">
        <v>5.09736066342758</v>
      </c>
      <c r="Z16" s="31">
        <v>71.9802093224012</v>
      </c>
      <c r="AA16" s="31">
        <v>3.88755088961253</v>
      </c>
      <c r="AB16" s="31">
        <v>5.40086077299398</v>
      </c>
      <c r="AC16" s="31">
        <v>1.20980977381505</v>
      </c>
      <c r="AD16" s="31">
        <v>-153.833747009441</v>
      </c>
      <c r="AE16" s="31">
        <v>154.072190302001</v>
      </c>
      <c r="AF16" s="31">
        <v>12.8565892346017</v>
      </c>
      <c r="AG16" s="31">
        <v>44.4799184836372</v>
      </c>
      <c r="AH16" s="31">
        <v>0.0</v>
      </c>
      <c r="AI16" s="31">
        <v>0.0</v>
      </c>
      <c r="AJ16" s="31">
        <v>1.0</v>
      </c>
      <c r="AK16" s="31">
        <v>0.0</v>
      </c>
      <c r="AL16" s="31">
        <v>47019.0</v>
      </c>
      <c r="AM16" s="31" t="s">
        <v>410</v>
      </c>
      <c r="AN16" s="31">
        <v>8173.37</v>
      </c>
      <c r="AO16" s="31">
        <v>559.295999999999</v>
      </c>
      <c r="AP16" s="31">
        <v>2893.93</v>
      </c>
      <c r="AQ16" s="31">
        <v>0.806734786259515</v>
      </c>
      <c r="AR16" s="31">
        <v>-2.38169762951563</v>
      </c>
      <c r="AS16" s="31" t="s">
        <v>449</v>
      </c>
      <c r="AT16" s="31">
        <v>8196.27</v>
      </c>
      <c r="AU16" s="31">
        <v>735.7918</v>
      </c>
      <c r="AV16" s="31">
        <v>2239.44</v>
      </c>
      <c r="AW16" s="31">
        <v>0.671439377701568</v>
      </c>
      <c r="AX16" s="31">
        <v>0.5</v>
      </c>
      <c r="AY16" s="31">
        <v>159.971715003354</v>
      </c>
      <c r="AZ16" s="31">
        <v>4.96441316526281</v>
      </c>
      <c r="BA16" s="31">
        <v>53.7056543858525</v>
      </c>
      <c r="BB16" s="31">
        <v>0.045921310493073</v>
      </c>
      <c r="BC16" s="31">
        <v>0.29225609973922</v>
      </c>
      <c r="BD16" s="31">
        <v>529.394257213006</v>
      </c>
      <c r="BE16" s="31" t="s">
        <v>450</v>
      </c>
      <c r="BF16" s="31">
        <v>-526.13</v>
      </c>
      <c r="BG16" s="31">
        <v>-526.13</v>
      </c>
      <c r="BH16" s="31">
        <v>1.23493819883542</v>
      </c>
      <c r="BI16" s="31">
        <v>0.54370281714077</v>
      </c>
      <c r="BJ16" s="31">
        <v>0.191367987696122</v>
      </c>
      <c r="BK16" s="31">
        <v>0.894951980306449</v>
      </c>
      <c r="BL16" s="31">
        <v>0.280339445069334</v>
      </c>
      <c r="BM16" s="31">
        <v>-0.388776231513144</v>
      </c>
      <c r="BN16" s="31">
        <v>1.38877623151314</v>
      </c>
      <c r="BO16" s="31" t="s">
        <v>413</v>
      </c>
      <c r="BP16" s="31" t="s">
        <v>413</v>
      </c>
      <c r="BQ16" s="31" t="s">
        <v>413</v>
      </c>
      <c r="BR16" s="31" t="s">
        <v>413</v>
      </c>
      <c r="BS16" s="31" t="s">
        <v>413</v>
      </c>
      <c r="BT16" s="31" t="s">
        <v>413</v>
      </c>
      <c r="BU16" s="31" t="s">
        <v>413</v>
      </c>
      <c r="BV16" s="31" t="s">
        <v>413</v>
      </c>
      <c r="BW16" s="31" t="s">
        <v>413</v>
      </c>
      <c r="BX16" s="31" t="s">
        <v>413</v>
      </c>
      <c r="BY16" s="31" t="s">
        <v>413</v>
      </c>
      <c r="BZ16" s="31" t="s">
        <v>413</v>
      </c>
      <c r="CA16" s="31" t="s">
        <v>413</v>
      </c>
      <c r="CB16" s="31" t="s">
        <v>413</v>
      </c>
      <c r="CC16" s="31" t="s">
        <v>413</v>
      </c>
      <c r="CD16" s="31" t="s">
        <v>413</v>
      </c>
      <c r="CE16" s="31" t="s">
        <v>413</v>
      </c>
      <c r="CF16" s="31" t="s">
        <v>413</v>
      </c>
      <c r="CG16" s="31" t="s">
        <v>413</v>
      </c>
      <c r="CH16" s="31" t="s">
        <v>413</v>
      </c>
      <c r="CI16" s="31" t="s">
        <v>413</v>
      </c>
      <c r="CJ16" s="31" t="s">
        <v>413</v>
      </c>
      <c r="CK16" s="31" t="s">
        <v>413</v>
      </c>
      <c r="CL16" s="31" t="s">
        <v>413</v>
      </c>
      <c r="CM16" s="31" t="s">
        <v>413</v>
      </c>
      <c r="CN16" s="31" t="s">
        <v>413</v>
      </c>
      <c r="CO16" s="31" t="s">
        <v>413</v>
      </c>
      <c r="CP16" s="31" t="s">
        <v>413</v>
      </c>
      <c r="CQ16" s="31" t="s">
        <v>413</v>
      </c>
      <c r="CR16" s="31" t="s">
        <v>413</v>
      </c>
      <c r="CS16" s="31" t="s">
        <v>413</v>
      </c>
      <c r="CT16" s="31" t="s">
        <v>413</v>
      </c>
      <c r="CU16" s="31" t="s">
        <v>413</v>
      </c>
      <c r="CV16" s="31" t="s">
        <v>413</v>
      </c>
      <c r="CW16" s="31">
        <v>189.765</v>
      </c>
      <c r="CX16" s="31">
        <v>159.971715003354</v>
      </c>
      <c r="CY16" s="31">
        <v>0.842999051476061</v>
      </c>
      <c r="CZ16" s="31">
        <v>0.165388169348798</v>
      </c>
      <c r="DA16" s="31">
        <v>6.0</v>
      </c>
      <c r="DB16" s="31">
        <v>0.5</v>
      </c>
      <c r="DC16" s="31" t="s">
        <v>414</v>
      </c>
      <c r="DD16" s="31">
        <v>2.0</v>
      </c>
      <c r="DE16" s="31">
        <v>1.7548853386E9</v>
      </c>
      <c r="DF16" s="31">
        <v>452.12</v>
      </c>
      <c r="DG16" s="31">
        <v>459.972</v>
      </c>
      <c r="DH16" s="31">
        <v>38.4991</v>
      </c>
      <c r="DI16" s="31">
        <v>34.4732</v>
      </c>
      <c r="DJ16" s="31">
        <v>449.169</v>
      </c>
      <c r="DK16" s="31">
        <v>37.9473</v>
      </c>
      <c r="DL16" s="31">
        <v>499.863</v>
      </c>
      <c r="DM16" s="31">
        <v>100.878</v>
      </c>
      <c r="DN16" s="31">
        <v>0.0997083</v>
      </c>
      <c r="DO16" s="31">
        <v>34.1932</v>
      </c>
      <c r="DP16" s="31">
        <v>33.1588</v>
      </c>
      <c r="DQ16" s="31">
        <v>999.9</v>
      </c>
      <c r="DR16" s="31">
        <v>0.0</v>
      </c>
      <c r="DS16" s="31">
        <v>0.0</v>
      </c>
      <c r="DT16" s="31">
        <v>8999.38</v>
      </c>
      <c r="DU16" s="31">
        <v>0.0</v>
      </c>
      <c r="DV16" s="31">
        <v>520.022</v>
      </c>
      <c r="DW16" s="31">
        <v>189.765</v>
      </c>
      <c r="DX16" s="31">
        <v>0.899967</v>
      </c>
      <c r="DY16" s="31">
        <v>0.100033</v>
      </c>
      <c r="DZ16" s="31">
        <v>0.0</v>
      </c>
      <c r="EA16" s="31">
        <v>729.025</v>
      </c>
      <c r="EB16" s="31">
        <v>0.0999973</v>
      </c>
      <c r="EC16" s="31">
        <v>2561.36</v>
      </c>
      <c r="ED16" s="31">
        <v>1681.96</v>
      </c>
      <c r="EE16" s="31">
        <v>39.187</v>
      </c>
      <c r="EF16" s="31">
        <v>42.375</v>
      </c>
      <c r="EG16" s="31">
        <v>40.75</v>
      </c>
      <c r="EH16" s="31">
        <v>42.062</v>
      </c>
      <c r="EI16" s="31">
        <v>41.812</v>
      </c>
      <c r="EJ16" s="31">
        <v>170.69</v>
      </c>
      <c r="EK16" s="31">
        <v>18.97</v>
      </c>
      <c r="EL16" s="31">
        <v>0.0</v>
      </c>
      <c r="EM16" s="31">
        <v>131.400000095367</v>
      </c>
      <c r="EN16" s="31">
        <v>0.0</v>
      </c>
      <c r="EO16" s="31">
        <v>735.7918</v>
      </c>
      <c r="EP16" s="31">
        <v>-32.578076743814</v>
      </c>
      <c r="EQ16" s="31">
        <v>-646.809230319153</v>
      </c>
      <c r="ER16" s="31">
        <v>2628.5088</v>
      </c>
      <c r="ES16" s="31">
        <v>15.0</v>
      </c>
      <c r="ET16" s="31">
        <v>1.7548850855E9</v>
      </c>
      <c r="EU16" s="42">
        <v>0.5032986111111111</v>
      </c>
      <c r="EV16" s="31">
        <v>1.7548850855E9</v>
      </c>
      <c r="EW16" s="31">
        <v>1.7548765351E9</v>
      </c>
      <c r="EX16" s="31">
        <v>15.0</v>
      </c>
      <c r="EY16" s="31">
        <v>0.058</v>
      </c>
      <c r="EZ16" s="31">
        <v>-0.002</v>
      </c>
      <c r="FA16" s="31">
        <v>2.95</v>
      </c>
      <c r="FB16" s="31">
        <v>0.297</v>
      </c>
      <c r="FC16" s="31">
        <v>460.0</v>
      </c>
      <c r="FD16" s="31">
        <v>20.0</v>
      </c>
      <c r="FE16" s="31">
        <v>0.24</v>
      </c>
      <c r="FF16" s="31">
        <v>0.06</v>
      </c>
      <c r="FG16" s="31">
        <v>100.0</v>
      </c>
      <c r="FH16" s="31">
        <v>100.0</v>
      </c>
      <c r="FI16" s="31">
        <v>2.951</v>
      </c>
      <c r="FJ16" s="31">
        <v>0.5518</v>
      </c>
      <c r="FK16" s="31">
        <v>3.05167991366422</v>
      </c>
      <c r="FL16" s="31">
        <v>-2.2595428698806E-4</v>
      </c>
      <c r="FM16" s="43">
        <v>5.20417301097471E-9</v>
      </c>
      <c r="FN16" s="43">
        <v>1.17243702350096E-12</v>
      </c>
      <c r="FO16" s="31">
        <v>0.551873338452037</v>
      </c>
      <c r="FP16" s="31">
        <v>0.0</v>
      </c>
      <c r="FQ16" s="31">
        <v>0.0</v>
      </c>
      <c r="FR16" s="31">
        <v>0.0</v>
      </c>
      <c r="FS16" s="31">
        <v>1.0</v>
      </c>
      <c r="FT16" s="31">
        <v>2266.0</v>
      </c>
      <c r="FU16" s="31">
        <v>1.0</v>
      </c>
      <c r="FV16" s="31">
        <v>26.0</v>
      </c>
      <c r="FW16" s="31">
        <v>4.2</v>
      </c>
      <c r="FX16" s="31">
        <v>146.7</v>
      </c>
      <c r="FY16" s="31">
        <v>1.12427</v>
      </c>
      <c r="FZ16" s="31">
        <v>2.55249</v>
      </c>
      <c r="GA16" s="31">
        <v>1.59546</v>
      </c>
      <c r="GB16" s="31">
        <v>2.31689</v>
      </c>
      <c r="GC16" s="31">
        <v>1.5979</v>
      </c>
      <c r="GD16" s="31">
        <v>2.37793</v>
      </c>
      <c r="GE16" s="31">
        <v>43.4808</v>
      </c>
      <c r="GF16" s="31">
        <v>15.0777</v>
      </c>
      <c r="GG16" s="31">
        <v>18.0</v>
      </c>
      <c r="GH16" s="31">
        <v>507.99</v>
      </c>
      <c r="GI16" s="31">
        <v>467.762</v>
      </c>
      <c r="GJ16" s="31">
        <v>34.2465</v>
      </c>
      <c r="GK16" s="31">
        <v>34.4962</v>
      </c>
      <c r="GL16" s="31">
        <v>29.9997</v>
      </c>
      <c r="GM16" s="31">
        <v>34.5549</v>
      </c>
      <c r="GN16" s="31">
        <v>34.506</v>
      </c>
      <c r="GO16" s="31">
        <v>22.55</v>
      </c>
      <c r="GP16" s="31">
        <v>100.0</v>
      </c>
      <c r="GQ16" s="31">
        <v>0.0</v>
      </c>
      <c r="GR16" s="31">
        <v>-999.9</v>
      </c>
      <c r="GS16" s="31">
        <v>460.0</v>
      </c>
      <c r="GT16" s="31">
        <v>15.5881</v>
      </c>
      <c r="GU16" s="31">
        <v>102.632</v>
      </c>
      <c r="GV16" s="31">
        <v>99.8669</v>
      </c>
    </row>
    <row r="17" ht="14.25" customHeight="1">
      <c r="A17" s="41" t="s">
        <v>94</v>
      </c>
      <c r="B17" s="41" t="s">
        <v>66</v>
      </c>
      <c r="C17" s="41" t="s">
        <v>87</v>
      </c>
      <c r="D17" s="31">
        <v>55.0</v>
      </c>
      <c r="E17" s="31">
        <v>1.7548854761E9</v>
      </c>
      <c r="F17" s="31">
        <v>7958.09999990463</v>
      </c>
      <c r="G17" s="31" t="s">
        <v>451</v>
      </c>
      <c r="H17" s="42">
        <v>0.507824074074074</v>
      </c>
      <c r="I17" s="31" t="s">
        <v>409</v>
      </c>
      <c r="J17" s="31">
        <v>1.7548854761E9</v>
      </c>
      <c r="K17" s="31">
        <v>0.00311977509362522</v>
      </c>
      <c r="L17" s="31">
        <v>3.11977509362522</v>
      </c>
      <c r="M17" s="31">
        <v>5.15657632399545</v>
      </c>
      <c r="N17" s="31">
        <v>452.116992682575</v>
      </c>
      <c r="O17" s="31">
        <v>409.350810408219</v>
      </c>
      <c r="P17" s="31">
        <v>41.3338570917449</v>
      </c>
      <c r="Q17" s="31">
        <v>45.6521367226681</v>
      </c>
      <c r="R17" s="31">
        <v>0.253791152106907</v>
      </c>
      <c r="S17" s="31">
        <v>2.76191447188579</v>
      </c>
      <c r="T17" s="31">
        <v>0.241510475084982</v>
      </c>
      <c r="U17" s="31">
        <v>0.151997884223457</v>
      </c>
      <c r="V17" s="31">
        <v>31.4304840156297</v>
      </c>
      <c r="W17" s="31">
        <v>33.4581375961904</v>
      </c>
      <c r="X17" s="31">
        <v>33.1111</v>
      </c>
      <c r="Y17" s="31">
        <v>5.08373055357734</v>
      </c>
      <c r="Z17" s="31">
        <v>71.350653773993</v>
      </c>
      <c r="AA17" s="31">
        <v>3.83698805374989</v>
      </c>
      <c r="AB17" s="31">
        <v>5.37764946892254</v>
      </c>
      <c r="AC17" s="31">
        <v>1.24674249982744</v>
      </c>
      <c r="AD17" s="31">
        <v>-137.582081628872</v>
      </c>
      <c r="AE17" s="31">
        <v>149.615054606747</v>
      </c>
      <c r="AF17" s="31">
        <v>12.4810539809348</v>
      </c>
      <c r="AG17" s="31">
        <v>55.9445109744396</v>
      </c>
      <c r="AH17" s="31">
        <v>0.0</v>
      </c>
      <c r="AI17" s="31">
        <v>0.0</v>
      </c>
      <c r="AJ17" s="31">
        <v>1.0</v>
      </c>
      <c r="AK17" s="31">
        <v>0.0</v>
      </c>
      <c r="AL17" s="31">
        <v>47006.0</v>
      </c>
      <c r="AM17" s="31" t="s">
        <v>410</v>
      </c>
      <c r="AN17" s="31">
        <v>8173.37</v>
      </c>
      <c r="AO17" s="31">
        <v>559.295999999999</v>
      </c>
      <c r="AP17" s="31">
        <v>2893.93</v>
      </c>
      <c r="AQ17" s="31">
        <v>0.806734786259515</v>
      </c>
      <c r="AR17" s="31">
        <v>-2.38169762951563</v>
      </c>
      <c r="AS17" s="31" t="s">
        <v>452</v>
      </c>
      <c r="AT17" s="31">
        <v>8199.9</v>
      </c>
      <c r="AU17" s="31">
        <v>664.668846153846</v>
      </c>
      <c r="AV17" s="31">
        <v>2128.71</v>
      </c>
      <c r="AW17" s="31">
        <v>0.687759795296754</v>
      </c>
      <c r="AX17" s="31">
        <v>0.5</v>
      </c>
      <c r="AY17" s="31">
        <v>160.203600008098</v>
      </c>
      <c r="AZ17" s="31">
        <v>5.15657632399545</v>
      </c>
      <c r="BA17" s="31">
        <v>55.0907975736863</v>
      </c>
      <c r="BB17" s="31">
        <v>0.0470543355650561</v>
      </c>
      <c r="BC17" s="31">
        <v>0.35947592673497</v>
      </c>
      <c r="BD17" s="31">
        <v>522.963531313294</v>
      </c>
      <c r="BE17" s="31" t="s">
        <v>453</v>
      </c>
      <c r="BF17" s="31">
        <v>-309.67</v>
      </c>
      <c r="BG17" s="31">
        <v>-309.67</v>
      </c>
      <c r="BH17" s="31">
        <v>1.14547307994043</v>
      </c>
      <c r="BI17" s="31">
        <v>0.600415502852776</v>
      </c>
      <c r="BJ17" s="31">
        <v>0.238862529654139</v>
      </c>
      <c r="BK17" s="31">
        <v>0.932858477015085</v>
      </c>
      <c r="BL17" s="31">
        <v>0.327768720921566</v>
      </c>
      <c r="BM17" s="31">
        <v>-0.279734291511209</v>
      </c>
      <c r="BN17" s="31">
        <v>1.2797342915112</v>
      </c>
      <c r="BO17" s="31" t="s">
        <v>413</v>
      </c>
      <c r="BP17" s="31" t="s">
        <v>413</v>
      </c>
      <c r="BQ17" s="31" t="s">
        <v>413</v>
      </c>
      <c r="BR17" s="31" t="s">
        <v>413</v>
      </c>
      <c r="BS17" s="31" t="s">
        <v>413</v>
      </c>
      <c r="BT17" s="31" t="s">
        <v>413</v>
      </c>
      <c r="BU17" s="31" t="s">
        <v>413</v>
      </c>
      <c r="BV17" s="31" t="s">
        <v>413</v>
      </c>
      <c r="BW17" s="31" t="s">
        <v>413</v>
      </c>
      <c r="BX17" s="31" t="s">
        <v>413</v>
      </c>
      <c r="BY17" s="31" t="s">
        <v>413</v>
      </c>
      <c r="BZ17" s="31" t="s">
        <v>413</v>
      </c>
      <c r="CA17" s="31" t="s">
        <v>413</v>
      </c>
      <c r="CB17" s="31" t="s">
        <v>413</v>
      </c>
      <c r="CC17" s="31" t="s">
        <v>413</v>
      </c>
      <c r="CD17" s="31" t="s">
        <v>413</v>
      </c>
      <c r="CE17" s="31" t="s">
        <v>413</v>
      </c>
      <c r="CF17" s="31" t="s">
        <v>413</v>
      </c>
      <c r="CG17" s="31" t="s">
        <v>413</v>
      </c>
      <c r="CH17" s="31" t="s">
        <v>413</v>
      </c>
      <c r="CI17" s="31" t="s">
        <v>413</v>
      </c>
      <c r="CJ17" s="31" t="s">
        <v>413</v>
      </c>
      <c r="CK17" s="31" t="s">
        <v>413</v>
      </c>
      <c r="CL17" s="31" t="s">
        <v>413</v>
      </c>
      <c r="CM17" s="31" t="s">
        <v>413</v>
      </c>
      <c r="CN17" s="31" t="s">
        <v>413</v>
      </c>
      <c r="CO17" s="31" t="s">
        <v>413</v>
      </c>
      <c r="CP17" s="31" t="s">
        <v>413</v>
      </c>
      <c r="CQ17" s="31" t="s">
        <v>413</v>
      </c>
      <c r="CR17" s="31" t="s">
        <v>413</v>
      </c>
      <c r="CS17" s="31" t="s">
        <v>413</v>
      </c>
      <c r="CT17" s="31" t="s">
        <v>413</v>
      </c>
      <c r="CU17" s="31" t="s">
        <v>413</v>
      </c>
      <c r="CV17" s="31" t="s">
        <v>413</v>
      </c>
      <c r="CW17" s="31">
        <v>190.04</v>
      </c>
      <c r="CX17" s="31">
        <v>160.203600008098</v>
      </c>
      <c r="CY17" s="31">
        <v>0.842999368596602</v>
      </c>
      <c r="CZ17" s="31">
        <v>0.165388781391442</v>
      </c>
      <c r="DA17" s="31">
        <v>6.0</v>
      </c>
      <c r="DB17" s="31">
        <v>0.5</v>
      </c>
      <c r="DC17" s="31" t="s">
        <v>414</v>
      </c>
      <c r="DD17" s="31">
        <v>2.0</v>
      </c>
      <c r="DE17" s="31">
        <v>1.7548854761E9</v>
      </c>
      <c r="DF17" s="31">
        <v>452.117</v>
      </c>
      <c r="DG17" s="31">
        <v>459.998</v>
      </c>
      <c r="DH17" s="31">
        <v>37.9997</v>
      </c>
      <c r="DI17" s="31">
        <v>34.398</v>
      </c>
      <c r="DJ17" s="31">
        <v>449.165</v>
      </c>
      <c r="DK17" s="31">
        <v>37.4478</v>
      </c>
      <c r="DL17" s="31">
        <v>499.968</v>
      </c>
      <c r="DM17" s="31">
        <v>100.874</v>
      </c>
      <c r="DN17" s="31">
        <v>0.100167</v>
      </c>
      <c r="DO17" s="31">
        <v>34.1159</v>
      </c>
      <c r="DP17" s="31">
        <v>33.1111</v>
      </c>
      <c r="DQ17" s="31">
        <v>999.9</v>
      </c>
      <c r="DR17" s="31">
        <v>0.0</v>
      </c>
      <c r="DS17" s="31">
        <v>0.0</v>
      </c>
      <c r="DT17" s="31">
        <v>8995.0</v>
      </c>
      <c r="DU17" s="31">
        <v>0.0</v>
      </c>
      <c r="DV17" s="31">
        <v>391.559</v>
      </c>
      <c r="DW17" s="31">
        <v>190.04</v>
      </c>
      <c r="DX17" s="31">
        <v>0.899967</v>
      </c>
      <c r="DY17" s="31">
        <v>0.100033</v>
      </c>
      <c r="DZ17" s="31">
        <v>0.0</v>
      </c>
      <c r="EA17" s="31">
        <v>660.905</v>
      </c>
      <c r="EB17" s="31">
        <v>0.0999973</v>
      </c>
      <c r="EC17" s="31">
        <v>2470.27</v>
      </c>
      <c r="ED17" s="31">
        <v>1684.4</v>
      </c>
      <c r="EE17" s="31">
        <v>39.125</v>
      </c>
      <c r="EF17" s="31">
        <v>42.25</v>
      </c>
      <c r="EG17" s="31">
        <v>40.625</v>
      </c>
      <c r="EH17" s="31">
        <v>41.937</v>
      </c>
      <c r="EI17" s="31">
        <v>41.687</v>
      </c>
      <c r="EJ17" s="31">
        <v>170.94</v>
      </c>
      <c r="EK17" s="31">
        <v>19.0</v>
      </c>
      <c r="EL17" s="31">
        <v>0.0</v>
      </c>
      <c r="EM17" s="31">
        <v>135.599999904632</v>
      </c>
      <c r="EN17" s="31">
        <v>0.0</v>
      </c>
      <c r="EO17" s="31">
        <v>664.668846153846</v>
      </c>
      <c r="EP17" s="31">
        <v>-24.3897434855108</v>
      </c>
      <c r="EQ17" s="31">
        <v>-126.310085292785</v>
      </c>
      <c r="ER17" s="31">
        <v>2471.98653846153</v>
      </c>
      <c r="ES17" s="31">
        <v>15.0</v>
      </c>
      <c r="ET17" s="31">
        <v>1.7548850855E9</v>
      </c>
      <c r="EU17" s="42">
        <v>0.5032986111111111</v>
      </c>
      <c r="EV17" s="31">
        <v>1.7548850855E9</v>
      </c>
      <c r="EW17" s="31">
        <v>1.7548765351E9</v>
      </c>
      <c r="EX17" s="31">
        <v>15.0</v>
      </c>
      <c r="EY17" s="31">
        <v>0.058</v>
      </c>
      <c r="EZ17" s="31">
        <v>-0.002</v>
      </c>
      <c r="FA17" s="31">
        <v>2.95</v>
      </c>
      <c r="FB17" s="31">
        <v>0.297</v>
      </c>
      <c r="FC17" s="31">
        <v>460.0</v>
      </c>
      <c r="FD17" s="31">
        <v>20.0</v>
      </c>
      <c r="FE17" s="31">
        <v>0.24</v>
      </c>
      <c r="FF17" s="31">
        <v>0.06</v>
      </c>
      <c r="FG17" s="31">
        <v>100.0</v>
      </c>
      <c r="FH17" s="31">
        <v>100.0</v>
      </c>
      <c r="FI17" s="31">
        <v>2.952</v>
      </c>
      <c r="FJ17" s="31">
        <v>0.5519</v>
      </c>
      <c r="FK17" s="31">
        <v>3.05167991366422</v>
      </c>
      <c r="FL17" s="31">
        <v>-2.2595428698806E-4</v>
      </c>
      <c r="FM17" s="43">
        <v>5.20417301097471E-9</v>
      </c>
      <c r="FN17" s="43">
        <v>1.17243702350096E-12</v>
      </c>
      <c r="FO17" s="31">
        <v>0.551873338452037</v>
      </c>
      <c r="FP17" s="31">
        <v>0.0</v>
      </c>
      <c r="FQ17" s="31">
        <v>0.0</v>
      </c>
      <c r="FR17" s="31">
        <v>0.0</v>
      </c>
      <c r="FS17" s="31">
        <v>1.0</v>
      </c>
      <c r="FT17" s="31">
        <v>2266.0</v>
      </c>
      <c r="FU17" s="31">
        <v>1.0</v>
      </c>
      <c r="FV17" s="31">
        <v>26.0</v>
      </c>
      <c r="FW17" s="31">
        <v>6.5</v>
      </c>
      <c r="FX17" s="31">
        <v>149.0</v>
      </c>
      <c r="FY17" s="31">
        <v>1.12427</v>
      </c>
      <c r="FZ17" s="31">
        <v>2.55371</v>
      </c>
      <c r="GA17" s="31">
        <v>1.59668</v>
      </c>
      <c r="GB17" s="31">
        <v>2.31689</v>
      </c>
      <c r="GC17" s="31">
        <v>1.5979</v>
      </c>
      <c r="GD17" s="31">
        <v>2.31323</v>
      </c>
      <c r="GE17" s="31">
        <v>43.3719</v>
      </c>
      <c r="GF17" s="31">
        <v>15.0689</v>
      </c>
      <c r="GG17" s="31">
        <v>18.0</v>
      </c>
      <c r="GH17" s="31">
        <v>507.916</v>
      </c>
      <c r="GI17" s="31">
        <v>467.842</v>
      </c>
      <c r="GJ17" s="31">
        <v>34.0966</v>
      </c>
      <c r="GK17" s="31">
        <v>34.3585</v>
      </c>
      <c r="GL17" s="31">
        <v>29.9997</v>
      </c>
      <c r="GM17" s="31">
        <v>34.4227</v>
      </c>
      <c r="GN17" s="31">
        <v>34.3755</v>
      </c>
      <c r="GO17" s="31">
        <v>22.5487</v>
      </c>
      <c r="GP17" s="31">
        <v>100.0</v>
      </c>
      <c r="GQ17" s="31">
        <v>0.0</v>
      </c>
      <c r="GR17" s="31">
        <v>-999.9</v>
      </c>
      <c r="GS17" s="31">
        <v>460.0</v>
      </c>
      <c r="GT17" s="31">
        <v>15.5881</v>
      </c>
      <c r="GU17" s="31">
        <v>102.649</v>
      </c>
      <c r="GV17" s="31">
        <v>99.8947</v>
      </c>
    </row>
    <row r="18" ht="14.25" customHeight="1">
      <c r="A18" s="41" t="s">
        <v>94</v>
      </c>
      <c r="B18" s="41" t="s">
        <v>67</v>
      </c>
      <c r="C18" s="41" t="s">
        <v>86</v>
      </c>
      <c r="D18" s="31">
        <v>3.0</v>
      </c>
      <c r="E18" s="31">
        <v>1.75487781E9</v>
      </c>
      <c r="F18" s="31">
        <v>292.0</v>
      </c>
      <c r="G18" s="31" t="s">
        <v>454</v>
      </c>
      <c r="H18" s="42">
        <v>0.41909722222222223</v>
      </c>
      <c r="I18" s="31" t="s">
        <v>409</v>
      </c>
      <c r="J18" s="31">
        <v>1.75487781E9</v>
      </c>
      <c r="K18" s="31">
        <v>0.00482902208283024</v>
      </c>
      <c r="L18" s="31">
        <v>4.82902208283024</v>
      </c>
      <c r="M18" s="31">
        <v>6.80599376040849</v>
      </c>
      <c r="N18" s="31">
        <v>449.153990392927</v>
      </c>
      <c r="O18" s="31">
        <v>414.226211702501</v>
      </c>
      <c r="P18" s="31">
        <v>41.840027603693</v>
      </c>
      <c r="Q18" s="31">
        <v>45.3680014094469</v>
      </c>
      <c r="R18" s="31">
        <v>0.4378160307401</v>
      </c>
      <c r="S18" s="31">
        <v>2.76095660778625</v>
      </c>
      <c r="T18" s="31">
        <v>0.402583278232179</v>
      </c>
      <c r="U18" s="31">
        <v>0.254543378498449</v>
      </c>
      <c r="V18" s="31">
        <v>31.4186504519777</v>
      </c>
      <c r="W18" s="31">
        <v>30.9232822900085</v>
      </c>
      <c r="X18" s="31">
        <v>30.9996</v>
      </c>
      <c r="Y18" s="31">
        <v>4.51127541972884</v>
      </c>
      <c r="Z18" s="31">
        <v>69.8897869723159</v>
      </c>
      <c r="AA18" s="31">
        <v>3.3468085878205</v>
      </c>
      <c r="AB18" s="31">
        <v>4.78869479047948</v>
      </c>
      <c r="AC18" s="31">
        <v>1.16446683190834</v>
      </c>
      <c r="AD18" s="31">
        <v>-212.959873852813</v>
      </c>
      <c r="AE18" s="31">
        <v>156.395321355768</v>
      </c>
      <c r="AF18" s="31">
        <v>12.7863125928749</v>
      </c>
      <c r="AG18" s="31">
        <v>-12.3595894521928</v>
      </c>
      <c r="AH18" s="31">
        <v>0.0</v>
      </c>
      <c r="AI18" s="31">
        <v>0.0</v>
      </c>
      <c r="AJ18" s="31">
        <v>1.0</v>
      </c>
      <c r="AK18" s="31">
        <v>0.0</v>
      </c>
      <c r="AL18" s="31">
        <v>47298.0</v>
      </c>
      <c r="AM18" s="31" t="s">
        <v>410</v>
      </c>
      <c r="AN18" s="31">
        <v>8173.37</v>
      </c>
      <c r="AO18" s="31">
        <v>559.295999999999</v>
      </c>
      <c r="AP18" s="31">
        <v>2893.93</v>
      </c>
      <c r="AQ18" s="31">
        <v>0.806734786259515</v>
      </c>
      <c r="AR18" s="31">
        <v>-2.38169762951563</v>
      </c>
      <c r="AS18" s="31" t="s">
        <v>455</v>
      </c>
      <c r="AT18" s="31">
        <v>8185.73</v>
      </c>
      <c r="AU18" s="31">
        <v>871.771346153846</v>
      </c>
      <c r="AV18" s="31">
        <v>2535.96</v>
      </c>
      <c r="AW18" s="31">
        <v>0.656236160604328</v>
      </c>
      <c r="AX18" s="31">
        <v>0.5</v>
      </c>
      <c r="AY18" s="31">
        <v>160.141428006206</v>
      </c>
      <c r="AZ18" s="31">
        <v>6.80599376040849</v>
      </c>
      <c r="BA18" s="31">
        <v>52.5452979342436</v>
      </c>
      <c r="BB18" s="31">
        <v>0.0573723583229698</v>
      </c>
      <c r="BC18" s="31">
        <v>0.141157589236423</v>
      </c>
      <c r="BD18" s="31">
        <v>544.443127796082</v>
      </c>
      <c r="BE18" s="31" t="s">
        <v>456</v>
      </c>
      <c r="BF18" s="31">
        <v>-1877.33</v>
      </c>
      <c r="BG18" s="31">
        <v>-1877.33</v>
      </c>
      <c r="BH18" s="31">
        <v>1.7402837584189</v>
      </c>
      <c r="BI18" s="31">
        <v>0.377085723767564</v>
      </c>
      <c r="BJ18" s="31">
        <v>0.0750263033244886</v>
      </c>
      <c r="BK18" s="31">
        <v>0.841917824094612</v>
      </c>
      <c r="BL18" s="31">
        <v>0.153330243627052</v>
      </c>
      <c r="BM18" s="31">
        <v>-0.812041305238807</v>
      </c>
      <c r="BN18" s="31">
        <v>1.8120413052388</v>
      </c>
      <c r="BO18" s="31" t="s">
        <v>413</v>
      </c>
      <c r="BP18" s="31" t="s">
        <v>413</v>
      </c>
      <c r="BQ18" s="31" t="s">
        <v>413</v>
      </c>
      <c r="BR18" s="31" t="s">
        <v>413</v>
      </c>
      <c r="BS18" s="31" t="s">
        <v>413</v>
      </c>
      <c r="BT18" s="31" t="s">
        <v>413</v>
      </c>
      <c r="BU18" s="31" t="s">
        <v>413</v>
      </c>
      <c r="BV18" s="31" t="s">
        <v>413</v>
      </c>
      <c r="BW18" s="31" t="s">
        <v>413</v>
      </c>
      <c r="BX18" s="31" t="s">
        <v>413</v>
      </c>
      <c r="BY18" s="31" t="s">
        <v>413</v>
      </c>
      <c r="BZ18" s="31" t="s">
        <v>413</v>
      </c>
      <c r="CA18" s="31" t="s">
        <v>413</v>
      </c>
      <c r="CB18" s="31" t="s">
        <v>413</v>
      </c>
      <c r="CC18" s="31" t="s">
        <v>413</v>
      </c>
      <c r="CD18" s="31" t="s">
        <v>413</v>
      </c>
      <c r="CE18" s="31" t="s">
        <v>413</v>
      </c>
      <c r="CF18" s="31" t="s">
        <v>413</v>
      </c>
      <c r="CG18" s="31" t="s">
        <v>413</v>
      </c>
      <c r="CH18" s="31" t="s">
        <v>413</v>
      </c>
      <c r="CI18" s="31" t="s">
        <v>413</v>
      </c>
      <c r="CJ18" s="31" t="s">
        <v>413</v>
      </c>
      <c r="CK18" s="31" t="s">
        <v>413</v>
      </c>
      <c r="CL18" s="31" t="s">
        <v>413</v>
      </c>
      <c r="CM18" s="31" t="s">
        <v>413</v>
      </c>
      <c r="CN18" s="31" t="s">
        <v>413</v>
      </c>
      <c r="CO18" s="31" t="s">
        <v>413</v>
      </c>
      <c r="CP18" s="31" t="s">
        <v>413</v>
      </c>
      <c r="CQ18" s="31" t="s">
        <v>413</v>
      </c>
      <c r="CR18" s="31" t="s">
        <v>413</v>
      </c>
      <c r="CS18" s="31" t="s">
        <v>413</v>
      </c>
      <c r="CT18" s="31" t="s">
        <v>413</v>
      </c>
      <c r="CU18" s="31" t="s">
        <v>413</v>
      </c>
      <c r="CV18" s="31" t="s">
        <v>413</v>
      </c>
      <c r="CW18" s="31">
        <v>189.966</v>
      </c>
      <c r="CX18" s="31">
        <v>160.141428006206</v>
      </c>
      <c r="CY18" s="31">
        <v>0.843000473801659</v>
      </c>
      <c r="CZ18" s="31">
        <v>0.165390914437203</v>
      </c>
      <c r="DA18" s="31">
        <v>6.0</v>
      </c>
      <c r="DB18" s="31">
        <v>0.5</v>
      </c>
      <c r="DC18" s="31" t="s">
        <v>414</v>
      </c>
      <c r="DD18" s="31">
        <v>2.0</v>
      </c>
      <c r="DE18" s="31">
        <v>1.75487781E9</v>
      </c>
      <c r="DF18" s="31">
        <v>449.154</v>
      </c>
      <c r="DG18" s="31">
        <v>459.927</v>
      </c>
      <c r="DH18" s="31">
        <v>33.1342</v>
      </c>
      <c r="DI18" s="31">
        <v>27.5298</v>
      </c>
      <c r="DJ18" s="31">
        <v>446.853</v>
      </c>
      <c r="DK18" s="31">
        <v>32.5823</v>
      </c>
      <c r="DL18" s="31">
        <v>499.859</v>
      </c>
      <c r="DM18" s="31">
        <v>100.908</v>
      </c>
      <c r="DN18" s="31">
        <v>0.0996775</v>
      </c>
      <c r="DO18" s="31">
        <v>32.0503</v>
      </c>
      <c r="DP18" s="31">
        <v>30.9996</v>
      </c>
      <c r="DQ18" s="31">
        <v>999.9</v>
      </c>
      <c r="DR18" s="31">
        <v>0.0</v>
      </c>
      <c r="DS18" s="31">
        <v>0.0</v>
      </c>
      <c r="DT18" s="31">
        <v>8986.88</v>
      </c>
      <c r="DU18" s="31">
        <v>0.0</v>
      </c>
      <c r="DV18" s="31">
        <v>1345.63</v>
      </c>
      <c r="DW18" s="31">
        <v>189.966</v>
      </c>
      <c r="DX18" s="31">
        <v>0.89995</v>
      </c>
      <c r="DY18" s="31">
        <v>0.10005</v>
      </c>
      <c r="DZ18" s="31">
        <v>0.0</v>
      </c>
      <c r="EA18" s="31">
        <v>865.705</v>
      </c>
      <c r="EB18" s="31">
        <v>0.0999973</v>
      </c>
      <c r="EC18" s="31">
        <v>3931.62</v>
      </c>
      <c r="ED18" s="31">
        <v>1683.73</v>
      </c>
      <c r="EE18" s="31">
        <v>37.937</v>
      </c>
      <c r="EF18" s="31">
        <v>41.875</v>
      </c>
      <c r="EG18" s="31">
        <v>39.562</v>
      </c>
      <c r="EH18" s="31">
        <v>41.25</v>
      </c>
      <c r="EI18" s="31">
        <v>40.437</v>
      </c>
      <c r="EJ18" s="31">
        <v>170.87</v>
      </c>
      <c r="EK18" s="31">
        <v>19.0</v>
      </c>
      <c r="EL18" s="31">
        <v>0.0</v>
      </c>
      <c r="EM18" s="31">
        <v>155.400000095367</v>
      </c>
      <c r="EN18" s="31">
        <v>0.0</v>
      </c>
      <c r="EO18" s="31">
        <v>871.771346153846</v>
      </c>
      <c r="EP18" s="31">
        <v>-32.2063247962291</v>
      </c>
      <c r="EQ18" s="31">
        <v>-467.811282895377</v>
      </c>
      <c r="ER18" s="31">
        <v>3941.31769230769</v>
      </c>
      <c r="ES18" s="31">
        <v>15.0</v>
      </c>
      <c r="ET18" s="31">
        <v>1.754877537E9</v>
      </c>
      <c r="EU18" s="42">
        <v>0.4159375</v>
      </c>
      <c r="EV18" s="31">
        <v>1.754877537E9</v>
      </c>
      <c r="EW18" s="31">
        <v>1.7548765351E9</v>
      </c>
      <c r="EX18" s="31">
        <v>3.0</v>
      </c>
      <c r="EY18" s="31">
        <v>0.273</v>
      </c>
      <c r="EZ18" s="31">
        <v>-0.002</v>
      </c>
      <c r="FA18" s="31">
        <v>2.298</v>
      </c>
      <c r="FB18" s="31">
        <v>0.297</v>
      </c>
      <c r="FC18" s="31">
        <v>460.0</v>
      </c>
      <c r="FD18" s="31">
        <v>20.0</v>
      </c>
      <c r="FE18" s="31">
        <v>0.39</v>
      </c>
      <c r="FF18" s="31">
        <v>0.06</v>
      </c>
      <c r="FG18" s="31">
        <v>100.0</v>
      </c>
      <c r="FH18" s="31">
        <v>100.0</v>
      </c>
      <c r="FI18" s="31">
        <v>2.301</v>
      </c>
      <c r="FJ18" s="31">
        <v>0.5519</v>
      </c>
      <c r="FK18" s="31">
        <v>2.40041772269655</v>
      </c>
      <c r="FL18" s="31">
        <v>-2.2595428698806E-4</v>
      </c>
      <c r="FM18" s="43">
        <v>5.20417301097471E-9</v>
      </c>
      <c r="FN18" s="43">
        <v>1.17243702350096E-12</v>
      </c>
      <c r="FO18" s="31">
        <v>0.551873338452037</v>
      </c>
      <c r="FP18" s="31">
        <v>0.0</v>
      </c>
      <c r="FQ18" s="31">
        <v>0.0</v>
      </c>
      <c r="FR18" s="31">
        <v>0.0</v>
      </c>
      <c r="FS18" s="31">
        <v>1.0</v>
      </c>
      <c r="FT18" s="31">
        <v>2266.0</v>
      </c>
      <c r="FU18" s="31">
        <v>1.0</v>
      </c>
      <c r="FV18" s="31">
        <v>26.0</v>
      </c>
      <c r="FW18" s="31">
        <v>4.5</v>
      </c>
      <c r="FX18" s="31">
        <v>21.2</v>
      </c>
      <c r="FY18" s="31">
        <v>1.10352</v>
      </c>
      <c r="FZ18" s="31">
        <v>2.49512</v>
      </c>
      <c r="GA18" s="31">
        <v>1.59668</v>
      </c>
      <c r="GB18" s="31">
        <v>2.33521</v>
      </c>
      <c r="GC18" s="31">
        <v>1.5979</v>
      </c>
      <c r="GD18" s="31">
        <v>2.34375</v>
      </c>
      <c r="GE18" s="31">
        <v>36.8842</v>
      </c>
      <c r="GF18" s="31">
        <v>16.0758</v>
      </c>
      <c r="GG18" s="31">
        <v>18.0</v>
      </c>
      <c r="GH18" s="31">
        <v>504.899</v>
      </c>
      <c r="GI18" s="31">
        <v>516.529</v>
      </c>
      <c r="GJ18" s="31">
        <v>31.5087</v>
      </c>
      <c r="GK18" s="31">
        <v>32.1281</v>
      </c>
      <c r="GL18" s="31">
        <v>30.0018</v>
      </c>
      <c r="GM18" s="31">
        <v>31.9025</v>
      </c>
      <c r="GN18" s="31">
        <v>31.8047</v>
      </c>
      <c r="GO18" s="31">
        <v>22.133</v>
      </c>
      <c r="GP18" s="31">
        <v>100.0</v>
      </c>
      <c r="GQ18" s="31">
        <v>42.1428</v>
      </c>
      <c r="GR18" s="31">
        <v>-999.9</v>
      </c>
      <c r="GS18" s="31">
        <v>460.0</v>
      </c>
      <c r="GT18" s="31">
        <v>0.0</v>
      </c>
      <c r="GU18" s="31">
        <v>103.125</v>
      </c>
      <c r="GV18" s="31">
        <v>100.033</v>
      </c>
    </row>
    <row r="19" ht="14.25" customHeight="1">
      <c r="A19" s="41" t="s">
        <v>94</v>
      </c>
      <c r="B19" s="41" t="s">
        <v>67</v>
      </c>
      <c r="C19" s="41" t="s">
        <v>87</v>
      </c>
      <c r="D19" s="31">
        <v>4.0</v>
      </c>
      <c r="E19" s="31">
        <v>1.7548779555E9</v>
      </c>
      <c r="F19" s="31">
        <v>437.5</v>
      </c>
      <c r="G19" s="31" t="s">
        <v>457</v>
      </c>
      <c r="H19" s="42">
        <v>0.420775462962963</v>
      </c>
      <c r="I19" s="31" t="s">
        <v>409</v>
      </c>
      <c r="J19" s="31">
        <v>1.7548779555E9</v>
      </c>
      <c r="K19" s="31">
        <v>0.0043508016080376</v>
      </c>
      <c r="L19" s="31">
        <v>4.3508016080376</v>
      </c>
      <c r="M19" s="31">
        <v>3.66832074307549</v>
      </c>
      <c r="N19" s="31">
        <v>452.96899482844</v>
      </c>
      <c r="O19" s="31">
        <v>425.069993933151</v>
      </c>
      <c r="P19" s="31">
        <v>42.9351260655746</v>
      </c>
      <c r="Q19" s="31">
        <v>45.7531257777142</v>
      </c>
      <c r="R19" s="31">
        <v>0.338473322074739</v>
      </c>
      <c r="S19" s="31">
        <v>2.76399532942988</v>
      </c>
      <c r="T19" s="31">
        <v>0.317017257995224</v>
      </c>
      <c r="U19" s="31">
        <v>0.199950080152486</v>
      </c>
      <c r="V19" s="31">
        <v>31.4223630156083</v>
      </c>
      <c r="W19" s="31">
        <v>31.7673714586839</v>
      </c>
      <c r="X19" s="31">
        <v>32.0311</v>
      </c>
      <c r="Y19" s="31">
        <v>4.78349514398558</v>
      </c>
      <c r="Z19" s="31">
        <v>69.2846868957192</v>
      </c>
      <c r="AA19" s="31">
        <v>3.45377928473939</v>
      </c>
      <c r="AB19" s="31">
        <v>4.984909998854</v>
      </c>
      <c r="AC19" s="31">
        <v>1.32971585924618</v>
      </c>
      <c r="AD19" s="31">
        <v>-191.870350914458</v>
      </c>
      <c r="AE19" s="31">
        <v>108.898346839123</v>
      </c>
      <c r="AF19" s="31">
        <v>8.96990778084356</v>
      </c>
      <c r="AG19" s="31">
        <v>-42.5797332788833</v>
      </c>
      <c r="AH19" s="31">
        <v>0.0</v>
      </c>
      <c r="AI19" s="31">
        <v>0.0</v>
      </c>
      <c r="AJ19" s="31">
        <v>1.0</v>
      </c>
      <c r="AK19" s="31">
        <v>0.0</v>
      </c>
      <c r="AL19" s="31">
        <v>47272.0</v>
      </c>
      <c r="AM19" s="31" t="s">
        <v>410</v>
      </c>
      <c r="AN19" s="31">
        <v>8173.37</v>
      </c>
      <c r="AO19" s="31">
        <v>559.295999999999</v>
      </c>
      <c r="AP19" s="31">
        <v>2893.93</v>
      </c>
      <c r="AQ19" s="31">
        <v>0.806734786259515</v>
      </c>
      <c r="AR19" s="31">
        <v>-2.38169762951563</v>
      </c>
      <c r="AS19" s="31" t="s">
        <v>458</v>
      </c>
      <c r="AT19" s="31">
        <v>8165.45</v>
      </c>
      <c r="AU19" s="31">
        <v>566.0878</v>
      </c>
      <c r="AV19" s="31">
        <v>1732.78</v>
      </c>
      <c r="AW19" s="31">
        <v>0.673306594028093</v>
      </c>
      <c r="AX19" s="31">
        <v>0.5</v>
      </c>
      <c r="AY19" s="31">
        <v>160.169100008087</v>
      </c>
      <c r="AZ19" s="31">
        <v>3.66832074307549</v>
      </c>
      <c r="BA19" s="31">
        <v>53.9214555974951</v>
      </c>
      <c r="BB19" s="31">
        <v>0.0377726938110138</v>
      </c>
      <c r="BC19" s="31">
        <v>0.670108149909394</v>
      </c>
      <c r="BD19" s="31">
        <v>495.167546811272</v>
      </c>
      <c r="BE19" s="31" t="s">
        <v>459</v>
      </c>
      <c r="BF19" s="31">
        <v>-2970.13</v>
      </c>
      <c r="BG19" s="31">
        <v>-2970.13</v>
      </c>
      <c r="BH19" s="31">
        <v>2.71408372672814</v>
      </c>
      <c r="BI19" s="31">
        <v>0.248078785262741</v>
      </c>
      <c r="BJ19" s="31">
        <v>0.198011275464439</v>
      </c>
      <c r="BK19" s="31">
        <v>0.994212277287121</v>
      </c>
      <c r="BL19" s="31">
        <v>0.497358472462921</v>
      </c>
      <c r="BM19" s="31">
        <v>-1.30161123852594</v>
      </c>
      <c r="BN19" s="31">
        <v>2.30161123852594</v>
      </c>
      <c r="BO19" s="31" t="s">
        <v>413</v>
      </c>
      <c r="BP19" s="31" t="s">
        <v>413</v>
      </c>
      <c r="BQ19" s="31" t="s">
        <v>413</v>
      </c>
      <c r="BR19" s="31" t="s">
        <v>413</v>
      </c>
      <c r="BS19" s="31" t="s">
        <v>413</v>
      </c>
      <c r="BT19" s="31" t="s">
        <v>413</v>
      </c>
      <c r="BU19" s="31" t="s">
        <v>413</v>
      </c>
      <c r="BV19" s="31" t="s">
        <v>413</v>
      </c>
      <c r="BW19" s="31" t="s">
        <v>413</v>
      </c>
      <c r="BX19" s="31" t="s">
        <v>413</v>
      </c>
      <c r="BY19" s="31" t="s">
        <v>413</v>
      </c>
      <c r="BZ19" s="31" t="s">
        <v>413</v>
      </c>
      <c r="CA19" s="31" t="s">
        <v>413</v>
      </c>
      <c r="CB19" s="31" t="s">
        <v>413</v>
      </c>
      <c r="CC19" s="31" t="s">
        <v>413</v>
      </c>
      <c r="CD19" s="31" t="s">
        <v>413</v>
      </c>
      <c r="CE19" s="31" t="s">
        <v>413</v>
      </c>
      <c r="CF19" s="31" t="s">
        <v>413</v>
      </c>
      <c r="CG19" s="31" t="s">
        <v>413</v>
      </c>
      <c r="CH19" s="31" t="s">
        <v>413</v>
      </c>
      <c r="CI19" s="31" t="s">
        <v>413</v>
      </c>
      <c r="CJ19" s="31" t="s">
        <v>413</v>
      </c>
      <c r="CK19" s="31" t="s">
        <v>413</v>
      </c>
      <c r="CL19" s="31" t="s">
        <v>413</v>
      </c>
      <c r="CM19" s="31" t="s">
        <v>413</v>
      </c>
      <c r="CN19" s="31" t="s">
        <v>413</v>
      </c>
      <c r="CO19" s="31" t="s">
        <v>413</v>
      </c>
      <c r="CP19" s="31" t="s">
        <v>413</v>
      </c>
      <c r="CQ19" s="31" t="s">
        <v>413</v>
      </c>
      <c r="CR19" s="31" t="s">
        <v>413</v>
      </c>
      <c r="CS19" s="31" t="s">
        <v>413</v>
      </c>
      <c r="CT19" s="31" t="s">
        <v>413</v>
      </c>
      <c r="CU19" s="31" t="s">
        <v>413</v>
      </c>
      <c r="CV19" s="31" t="s">
        <v>413</v>
      </c>
      <c r="CW19" s="31">
        <v>190.0</v>
      </c>
      <c r="CX19" s="31">
        <v>160.169100008087</v>
      </c>
      <c r="CY19" s="31">
        <v>0.842995263200458</v>
      </c>
      <c r="CZ19" s="31">
        <v>0.165380857976885</v>
      </c>
      <c r="DA19" s="31">
        <v>6.0</v>
      </c>
      <c r="DB19" s="31">
        <v>0.5</v>
      </c>
      <c r="DC19" s="31" t="s">
        <v>414</v>
      </c>
      <c r="DD19" s="31">
        <v>2.0</v>
      </c>
      <c r="DE19" s="31">
        <v>1.7548779555E9</v>
      </c>
      <c r="DF19" s="31">
        <v>452.969</v>
      </c>
      <c r="DG19" s="31">
        <v>459.736</v>
      </c>
      <c r="DH19" s="31">
        <v>34.1934</v>
      </c>
      <c r="DI19" s="31">
        <v>29.1509</v>
      </c>
      <c r="DJ19" s="31">
        <v>450.669</v>
      </c>
      <c r="DK19" s="31">
        <v>33.6415</v>
      </c>
      <c r="DL19" s="31">
        <v>499.994</v>
      </c>
      <c r="DM19" s="31">
        <v>100.907</v>
      </c>
      <c r="DN19" s="31">
        <v>0.100191</v>
      </c>
      <c r="DO19" s="31">
        <v>32.7619</v>
      </c>
      <c r="DP19" s="31">
        <v>32.0311</v>
      </c>
      <c r="DQ19" s="31">
        <v>999.9</v>
      </c>
      <c r="DR19" s="31">
        <v>0.0</v>
      </c>
      <c r="DS19" s="31">
        <v>0.0</v>
      </c>
      <c r="DT19" s="31">
        <v>9003.12</v>
      </c>
      <c r="DU19" s="31">
        <v>0.0</v>
      </c>
      <c r="DV19" s="31">
        <v>1337.18</v>
      </c>
      <c r="DW19" s="31">
        <v>190.0</v>
      </c>
      <c r="DX19" s="31">
        <v>0.90011</v>
      </c>
      <c r="DY19" s="31">
        <v>0.0998905</v>
      </c>
      <c r="DZ19" s="31">
        <v>0.0</v>
      </c>
      <c r="EA19" s="31">
        <v>563.14</v>
      </c>
      <c r="EB19" s="31">
        <v>0.0999973</v>
      </c>
      <c r="EC19" s="31">
        <v>3049.92</v>
      </c>
      <c r="ED19" s="31">
        <v>1684.12</v>
      </c>
      <c r="EE19" s="31">
        <v>38.687</v>
      </c>
      <c r="EF19" s="31">
        <v>42.625</v>
      </c>
      <c r="EG19" s="31">
        <v>40.312</v>
      </c>
      <c r="EH19" s="31">
        <v>42.0</v>
      </c>
      <c r="EI19" s="31">
        <v>41.125</v>
      </c>
      <c r="EJ19" s="31">
        <v>170.93</v>
      </c>
      <c r="EK19" s="31">
        <v>18.97</v>
      </c>
      <c r="EL19" s="31">
        <v>0.0</v>
      </c>
      <c r="EM19" s="31">
        <v>143.400000095367</v>
      </c>
      <c r="EN19" s="31">
        <v>0.0</v>
      </c>
      <c r="EO19" s="31">
        <v>566.0878</v>
      </c>
      <c r="EP19" s="31">
        <v>-27.9015386555444</v>
      </c>
      <c r="EQ19" s="31">
        <v>-161.212307985923</v>
      </c>
      <c r="ER19" s="31">
        <v>3064.7484</v>
      </c>
      <c r="ES19" s="31">
        <v>15.0</v>
      </c>
      <c r="ET19" s="31">
        <v>1.754877537E9</v>
      </c>
      <c r="EU19" s="42">
        <v>0.4159375</v>
      </c>
      <c r="EV19" s="31">
        <v>1.754877537E9</v>
      </c>
      <c r="EW19" s="31">
        <v>1.7548765351E9</v>
      </c>
      <c r="EX19" s="31">
        <v>3.0</v>
      </c>
      <c r="EY19" s="31">
        <v>0.273</v>
      </c>
      <c r="EZ19" s="31">
        <v>-0.002</v>
      </c>
      <c r="FA19" s="31">
        <v>2.298</v>
      </c>
      <c r="FB19" s="31">
        <v>0.297</v>
      </c>
      <c r="FC19" s="31">
        <v>460.0</v>
      </c>
      <c r="FD19" s="31">
        <v>20.0</v>
      </c>
      <c r="FE19" s="31">
        <v>0.39</v>
      </c>
      <c r="FF19" s="31">
        <v>0.06</v>
      </c>
      <c r="FG19" s="31">
        <v>100.0</v>
      </c>
      <c r="FH19" s="31">
        <v>100.0</v>
      </c>
      <c r="FI19" s="31">
        <v>2.3</v>
      </c>
      <c r="FJ19" s="31">
        <v>0.5519</v>
      </c>
      <c r="FK19" s="31">
        <v>2.40041772269655</v>
      </c>
      <c r="FL19" s="31">
        <v>-2.2595428698806E-4</v>
      </c>
      <c r="FM19" s="43">
        <v>5.20417301097471E-9</v>
      </c>
      <c r="FN19" s="43">
        <v>1.17243702350096E-12</v>
      </c>
      <c r="FO19" s="31">
        <v>0.551873338452037</v>
      </c>
      <c r="FP19" s="31">
        <v>0.0</v>
      </c>
      <c r="FQ19" s="31">
        <v>0.0</v>
      </c>
      <c r="FR19" s="31">
        <v>0.0</v>
      </c>
      <c r="FS19" s="31">
        <v>1.0</v>
      </c>
      <c r="FT19" s="31">
        <v>2266.0</v>
      </c>
      <c r="FU19" s="31">
        <v>1.0</v>
      </c>
      <c r="FV19" s="31">
        <v>26.0</v>
      </c>
      <c r="FW19" s="31">
        <v>7.0</v>
      </c>
      <c r="FX19" s="31">
        <v>23.7</v>
      </c>
      <c r="FY19" s="31">
        <v>1.10352</v>
      </c>
      <c r="FZ19" s="31">
        <v>2.49756</v>
      </c>
      <c r="GA19" s="31">
        <v>1.59668</v>
      </c>
      <c r="GB19" s="31">
        <v>2.33521</v>
      </c>
      <c r="GC19" s="31">
        <v>1.5979</v>
      </c>
      <c r="GD19" s="31">
        <v>2.29736</v>
      </c>
      <c r="GE19" s="31">
        <v>37.6263</v>
      </c>
      <c r="GF19" s="31">
        <v>16.0671</v>
      </c>
      <c r="GG19" s="31">
        <v>18.0</v>
      </c>
      <c r="GH19" s="31">
        <v>503.68</v>
      </c>
      <c r="GI19" s="31">
        <v>512.432</v>
      </c>
      <c r="GJ19" s="31">
        <v>32.2498</v>
      </c>
      <c r="GK19" s="31">
        <v>32.8108</v>
      </c>
      <c r="GL19" s="31">
        <v>30.0017</v>
      </c>
      <c r="GM19" s="31">
        <v>32.6039</v>
      </c>
      <c r="GN19" s="31">
        <v>32.5115</v>
      </c>
      <c r="GO19" s="31">
        <v>22.1391</v>
      </c>
      <c r="GP19" s="31">
        <v>100.0</v>
      </c>
      <c r="GQ19" s="31">
        <v>15.8401</v>
      </c>
      <c r="GR19" s="31">
        <v>-999.9</v>
      </c>
      <c r="GS19" s="31">
        <v>460.0</v>
      </c>
      <c r="GT19" s="31">
        <v>0.0</v>
      </c>
      <c r="GU19" s="31">
        <v>103.04</v>
      </c>
      <c r="GV19" s="31">
        <v>99.9471</v>
      </c>
    </row>
    <row r="20" ht="14.25" customHeight="1">
      <c r="A20" s="41" t="s">
        <v>111</v>
      </c>
      <c r="B20" s="41" t="s">
        <v>53</v>
      </c>
      <c r="C20" s="41" t="s">
        <v>86</v>
      </c>
      <c r="D20" s="31">
        <v>56.0</v>
      </c>
      <c r="E20" s="31">
        <v>1.7548856191E9</v>
      </c>
      <c r="F20" s="31">
        <v>8101.09999990463</v>
      </c>
      <c r="G20" s="31" t="s">
        <v>460</v>
      </c>
      <c r="H20" s="42">
        <v>0.5094791666666667</v>
      </c>
      <c r="I20" s="31" t="s">
        <v>409</v>
      </c>
      <c r="J20" s="31">
        <v>1.7548856191E9</v>
      </c>
      <c r="K20" s="31">
        <v>0.00129646126300763</v>
      </c>
      <c r="L20" s="31">
        <v>1.29646126300763</v>
      </c>
      <c r="M20" s="31">
        <v>1.19511193725799</v>
      </c>
      <c r="N20" s="31">
        <v>457.897998310898</v>
      </c>
      <c r="O20" s="31">
        <v>420.160702082087</v>
      </c>
      <c r="P20" s="31">
        <v>42.4266751954434</v>
      </c>
      <c r="Q20" s="31">
        <v>46.2372838552251</v>
      </c>
      <c r="R20" s="31">
        <v>0.075777698790967</v>
      </c>
      <c r="S20" s="31">
        <v>2.76443191439593</v>
      </c>
      <c r="T20" s="31">
        <v>0.0746423603885864</v>
      </c>
      <c r="U20" s="31">
        <v>0.0467520638578292</v>
      </c>
      <c r="V20" s="31">
        <v>31.4253652362414</v>
      </c>
      <c r="W20" s="31">
        <v>33.6200440098768</v>
      </c>
      <c r="X20" s="31">
        <v>33.805</v>
      </c>
      <c r="Y20" s="31">
        <v>5.28516753519272</v>
      </c>
      <c r="Z20" s="31">
        <v>68.3739449605455</v>
      </c>
      <c r="AA20" s="31">
        <v>3.6085333538777</v>
      </c>
      <c r="AB20" s="31">
        <v>5.27764392702508</v>
      </c>
      <c r="AC20" s="31">
        <v>1.67663418131501</v>
      </c>
      <c r="AD20" s="31">
        <v>-57.1739416986366</v>
      </c>
      <c r="AE20" s="31">
        <v>-3.80041936090744</v>
      </c>
      <c r="AF20" s="31">
        <v>-0.31729993705944</v>
      </c>
      <c r="AG20" s="31">
        <v>-29.8662957603621</v>
      </c>
      <c r="AH20" s="31">
        <v>0.0</v>
      </c>
      <c r="AI20" s="31">
        <v>0.0</v>
      </c>
      <c r="AJ20" s="31">
        <v>1.0</v>
      </c>
      <c r="AK20" s="31">
        <v>0.0</v>
      </c>
      <c r="AL20" s="31">
        <v>47127.0</v>
      </c>
      <c r="AM20" s="31" t="s">
        <v>410</v>
      </c>
      <c r="AN20" s="31">
        <v>8173.37</v>
      </c>
      <c r="AO20" s="31">
        <v>559.295999999999</v>
      </c>
      <c r="AP20" s="31">
        <v>2893.93</v>
      </c>
      <c r="AQ20" s="31">
        <v>0.806734786259515</v>
      </c>
      <c r="AR20" s="31">
        <v>-2.38169762951563</v>
      </c>
      <c r="AS20" s="31" t="s">
        <v>461</v>
      </c>
      <c r="AT20" s="31">
        <v>8204.68</v>
      </c>
      <c r="AU20" s="31">
        <v>284.927799999999</v>
      </c>
      <c r="AV20" s="31">
        <v>669.01</v>
      </c>
      <c r="AW20" s="31">
        <v>0.574105319800899</v>
      </c>
      <c r="AX20" s="31">
        <v>0.5</v>
      </c>
      <c r="AY20" s="31">
        <v>160.176714008415</v>
      </c>
      <c r="AZ20" s="31">
        <v>1.19511193725799</v>
      </c>
      <c r="BA20" s="31">
        <v>45.9791518102292</v>
      </c>
      <c r="BB20" s="31">
        <v>0.0223303967053894</v>
      </c>
      <c r="BC20" s="31">
        <v>3.32569019895068</v>
      </c>
      <c r="BD20" s="31">
        <v>340.46527306115</v>
      </c>
      <c r="BE20" s="31" t="s">
        <v>462</v>
      </c>
      <c r="BF20" s="31">
        <v>-1182.93</v>
      </c>
      <c r="BG20" s="31">
        <v>-1182.93</v>
      </c>
      <c r="BH20" s="31">
        <v>2.76817984783486</v>
      </c>
      <c r="BI20" s="31">
        <v>0.207394516021037</v>
      </c>
      <c r="BJ20" s="31">
        <v>0.545743537918888</v>
      </c>
      <c r="BK20" s="31">
        <v>3.50075833530816</v>
      </c>
      <c r="BL20" s="31">
        <v>0.953005910134093</v>
      </c>
      <c r="BM20" s="31">
        <v>-0.86103635670779</v>
      </c>
      <c r="BN20" s="31">
        <v>1.86103635670779</v>
      </c>
      <c r="BO20" s="31" t="s">
        <v>413</v>
      </c>
      <c r="BP20" s="31" t="s">
        <v>413</v>
      </c>
      <c r="BQ20" s="31" t="s">
        <v>413</v>
      </c>
      <c r="BR20" s="31" t="s">
        <v>413</v>
      </c>
      <c r="BS20" s="31" t="s">
        <v>413</v>
      </c>
      <c r="BT20" s="31" t="s">
        <v>413</v>
      </c>
      <c r="BU20" s="31" t="s">
        <v>413</v>
      </c>
      <c r="BV20" s="31" t="s">
        <v>413</v>
      </c>
      <c r="BW20" s="31" t="s">
        <v>413</v>
      </c>
      <c r="BX20" s="31" t="s">
        <v>413</v>
      </c>
      <c r="BY20" s="31" t="s">
        <v>413</v>
      </c>
      <c r="BZ20" s="31" t="s">
        <v>413</v>
      </c>
      <c r="CA20" s="31" t="s">
        <v>413</v>
      </c>
      <c r="CB20" s="31" t="s">
        <v>413</v>
      </c>
      <c r="CC20" s="31" t="s">
        <v>413</v>
      </c>
      <c r="CD20" s="31" t="s">
        <v>413</v>
      </c>
      <c r="CE20" s="31" t="s">
        <v>413</v>
      </c>
      <c r="CF20" s="31" t="s">
        <v>413</v>
      </c>
      <c r="CG20" s="31" t="s">
        <v>413</v>
      </c>
      <c r="CH20" s="31" t="s">
        <v>413</v>
      </c>
      <c r="CI20" s="31" t="s">
        <v>413</v>
      </c>
      <c r="CJ20" s="31" t="s">
        <v>413</v>
      </c>
      <c r="CK20" s="31" t="s">
        <v>413</v>
      </c>
      <c r="CL20" s="31" t="s">
        <v>413</v>
      </c>
      <c r="CM20" s="31" t="s">
        <v>413</v>
      </c>
      <c r="CN20" s="31" t="s">
        <v>413</v>
      </c>
      <c r="CO20" s="31" t="s">
        <v>413</v>
      </c>
      <c r="CP20" s="31" t="s">
        <v>413</v>
      </c>
      <c r="CQ20" s="31" t="s">
        <v>413</v>
      </c>
      <c r="CR20" s="31" t="s">
        <v>413</v>
      </c>
      <c r="CS20" s="31" t="s">
        <v>413</v>
      </c>
      <c r="CT20" s="31" t="s">
        <v>413</v>
      </c>
      <c r="CU20" s="31" t="s">
        <v>413</v>
      </c>
      <c r="CV20" s="31" t="s">
        <v>413</v>
      </c>
      <c r="CW20" s="31">
        <v>190.008</v>
      </c>
      <c r="CX20" s="31">
        <v>160.176714008415</v>
      </c>
      <c r="CY20" s="31">
        <v>0.842999842156199</v>
      </c>
      <c r="CZ20" s="31">
        <v>0.165389695361466</v>
      </c>
      <c r="DA20" s="31">
        <v>6.0</v>
      </c>
      <c r="DB20" s="31">
        <v>0.5</v>
      </c>
      <c r="DC20" s="31" t="s">
        <v>414</v>
      </c>
      <c r="DD20" s="31">
        <v>2.0</v>
      </c>
      <c r="DE20" s="31">
        <v>1.7548856191E9</v>
      </c>
      <c r="DF20" s="31">
        <v>457.898</v>
      </c>
      <c r="DG20" s="31">
        <v>460.044</v>
      </c>
      <c r="DH20" s="31">
        <v>35.7361</v>
      </c>
      <c r="DI20" s="31">
        <v>34.2363</v>
      </c>
      <c r="DJ20" s="31">
        <v>454.948</v>
      </c>
      <c r="DK20" s="31">
        <v>35.1842</v>
      </c>
      <c r="DL20" s="31">
        <v>500.119</v>
      </c>
      <c r="DM20" s="31">
        <v>100.877</v>
      </c>
      <c r="DN20" s="31">
        <v>0.100257</v>
      </c>
      <c r="DO20" s="31">
        <v>33.7795</v>
      </c>
      <c r="DP20" s="31">
        <v>33.805</v>
      </c>
      <c r="DQ20" s="31">
        <v>999.9</v>
      </c>
      <c r="DR20" s="31">
        <v>0.0</v>
      </c>
      <c r="DS20" s="31">
        <v>0.0</v>
      </c>
      <c r="DT20" s="31">
        <v>9008.12</v>
      </c>
      <c r="DU20" s="31">
        <v>0.0</v>
      </c>
      <c r="DV20" s="31">
        <v>496.929</v>
      </c>
      <c r="DW20" s="31">
        <v>190.008</v>
      </c>
      <c r="DX20" s="31">
        <v>0.899967</v>
      </c>
      <c r="DY20" s="31">
        <v>0.100033</v>
      </c>
      <c r="DZ20" s="31">
        <v>0.0</v>
      </c>
      <c r="EA20" s="31">
        <v>281.235</v>
      </c>
      <c r="EB20" s="31">
        <v>0.0999973</v>
      </c>
      <c r="EC20" s="31">
        <v>980.065</v>
      </c>
      <c r="ED20" s="31">
        <v>1684.11</v>
      </c>
      <c r="EE20" s="31">
        <v>38.875</v>
      </c>
      <c r="EF20" s="31">
        <v>41.937</v>
      </c>
      <c r="EG20" s="31">
        <v>40.375</v>
      </c>
      <c r="EH20" s="31">
        <v>41.75</v>
      </c>
      <c r="EI20" s="31">
        <v>41.5</v>
      </c>
      <c r="EJ20" s="31">
        <v>170.91</v>
      </c>
      <c r="EK20" s="31">
        <v>19.0</v>
      </c>
      <c r="EL20" s="31">
        <v>0.0</v>
      </c>
      <c r="EM20" s="31">
        <v>140.400000095367</v>
      </c>
      <c r="EN20" s="31">
        <v>0.0</v>
      </c>
      <c r="EO20" s="31">
        <v>284.927799999999</v>
      </c>
      <c r="EP20" s="31">
        <v>1.97999996986166</v>
      </c>
      <c r="EQ20" s="31">
        <v>-348.234615373913</v>
      </c>
      <c r="ER20" s="31">
        <v>991.092999999999</v>
      </c>
      <c r="ES20" s="31">
        <v>15.0</v>
      </c>
      <c r="ET20" s="31">
        <v>1.7548850855E9</v>
      </c>
      <c r="EU20" s="42">
        <v>0.5032986111111111</v>
      </c>
      <c r="EV20" s="31">
        <v>1.7548850855E9</v>
      </c>
      <c r="EW20" s="31">
        <v>1.7548765351E9</v>
      </c>
      <c r="EX20" s="31">
        <v>15.0</v>
      </c>
      <c r="EY20" s="31">
        <v>0.058</v>
      </c>
      <c r="EZ20" s="31">
        <v>-0.002</v>
      </c>
      <c r="FA20" s="31">
        <v>2.95</v>
      </c>
      <c r="FB20" s="31">
        <v>0.297</v>
      </c>
      <c r="FC20" s="31">
        <v>460.0</v>
      </c>
      <c r="FD20" s="31">
        <v>20.0</v>
      </c>
      <c r="FE20" s="31">
        <v>0.24</v>
      </c>
      <c r="FF20" s="31">
        <v>0.06</v>
      </c>
      <c r="FG20" s="31">
        <v>100.0</v>
      </c>
      <c r="FH20" s="31">
        <v>100.0</v>
      </c>
      <c r="FI20" s="31">
        <v>2.95</v>
      </c>
      <c r="FJ20" s="31">
        <v>0.5519</v>
      </c>
      <c r="FK20" s="31">
        <v>3.05167991366422</v>
      </c>
      <c r="FL20" s="31">
        <v>-2.2595428698806E-4</v>
      </c>
      <c r="FM20" s="43">
        <v>5.20417301097471E-9</v>
      </c>
      <c r="FN20" s="43">
        <v>1.17243702350096E-12</v>
      </c>
      <c r="FO20" s="31">
        <v>0.551873338452037</v>
      </c>
      <c r="FP20" s="31">
        <v>0.0</v>
      </c>
      <c r="FQ20" s="31">
        <v>0.0</v>
      </c>
      <c r="FR20" s="31">
        <v>0.0</v>
      </c>
      <c r="FS20" s="31">
        <v>1.0</v>
      </c>
      <c r="FT20" s="31">
        <v>2266.0</v>
      </c>
      <c r="FU20" s="31">
        <v>1.0</v>
      </c>
      <c r="FV20" s="31">
        <v>26.0</v>
      </c>
      <c r="FW20" s="31">
        <v>8.9</v>
      </c>
      <c r="FX20" s="31">
        <v>151.4</v>
      </c>
      <c r="FY20" s="31">
        <v>1.12427</v>
      </c>
      <c r="FZ20" s="31">
        <v>2.55615</v>
      </c>
      <c r="GA20" s="31">
        <v>1.59668</v>
      </c>
      <c r="GB20" s="31">
        <v>2.31689</v>
      </c>
      <c r="GC20" s="31">
        <v>1.5979</v>
      </c>
      <c r="GD20" s="31">
        <v>2.39502</v>
      </c>
      <c r="GE20" s="31">
        <v>43.182</v>
      </c>
      <c r="GF20" s="31">
        <v>15.0514</v>
      </c>
      <c r="GG20" s="31">
        <v>18.0</v>
      </c>
      <c r="GH20" s="31">
        <v>506.556</v>
      </c>
      <c r="GI20" s="31">
        <v>468.717</v>
      </c>
      <c r="GJ20" s="31">
        <v>33.9008</v>
      </c>
      <c r="GK20" s="31">
        <v>34.1654</v>
      </c>
      <c r="GL20" s="31">
        <v>29.9997</v>
      </c>
      <c r="GM20" s="31">
        <v>34.2499</v>
      </c>
      <c r="GN20" s="31">
        <v>34.2077</v>
      </c>
      <c r="GO20" s="31">
        <v>22.5484</v>
      </c>
      <c r="GP20" s="31">
        <v>100.0</v>
      </c>
      <c r="GQ20" s="31">
        <v>0.0</v>
      </c>
      <c r="GR20" s="31">
        <v>-999.9</v>
      </c>
      <c r="GS20" s="31">
        <v>460.0</v>
      </c>
      <c r="GT20" s="31">
        <v>15.5881</v>
      </c>
      <c r="GU20" s="31">
        <v>102.672</v>
      </c>
      <c r="GV20" s="31">
        <v>99.9222</v>
      </c>
    </row>
    <row r="21" ht="14.25" customHeight="1">
      <c r="A21" s="41" t="s">
        <v>111</v>
      </c>
      <c r="B21" s="41" t="s">
        <v>53</v>
      </c>
      <c r="C21" s="41" t="s">
        <v>87</v>
      </c>
      <c r="D21" s="31">
        <v>57.0</v>
      </c>
      <c r="E21" s="31">
        <v>1.7548857611E9</v>
      </c>
      <c r="F21" s="31">
        <v>8243.09999990463</v>
      </c>
      <c r="G21" s="31" t="s">
        <v>463</v>
      </c>
      <c r="H21" s="42">
        <v>0.5111226851851852</v>
      </c>
      <c r="I21" s="31" t="s">
        <v>409</v>
      </c>
      <c r="J21" s="31">
        <v>1.7548857611E9</v>
      </c>
      <c r="K21" s="31">
        <v>0.00194497483844029</v>
      </c>
      <c r="L21" s="31">
        <v>1.94497483844029</v>
      </c>
      <c r="M21" s="31">
        <v>1.58839852865065</v>
      </c>
      <c r="N21" s="31">
        <v>457.058997737399</v>
      </c>
      <c r="O21" s="31">
        <v>423.495864837365</v>
      </c>
      <c r="P21" s="31">
        <v>42.7631120277776</v>
      </c>
      <c r="Q21" s="31">
        <v>46.1521982771994</v>
      </c>
      <c r="R21" s="31">
        <v>0.118930467478928</v>
      </c>
      <c r="S21" s="31">
        <v>2.75772896628055</v>
      </c>
      <c r="T21" s="31">
        <v>0.116152794166354</v>
      </c>
      <c r="U21" s="31">
        <v>0.0728396559915689</v>
      </c>
      <c r="V21" s="31">
        <v>31.3933621087809</v>
      </c>
      <c r="W21" s="31">
        <v>33.4311768398359</v>
      </c>
      <c r="X21" s="31">
        <v>33.7524</v>
      </c>
      <c r="Y21" s="31">
        <v>5.26965846067335</v>
      </c>
      <c r="Z21" s="31">
        <v>69.2681314941626</v>
      </c>
      <c r="AA21" s="31">
        <v>3.65352007314648</v>
      </c>
      <c r="AB21" s="31">
        <v>5.27446026670198</v>
      </c>
      <c r="AC21" s="31">
        <v>1.61613838752686</v>
      </c>
      <c r="AD21" s="31">
        <v>-85.773390375217</v>
      </c>
      <c r="AE21" s="31">
        <v>2.42339734969107</v>
      </c>
      <c r="AF21" s="31">
        <v>0.202760231851503</v>
      </c>
      <c r="AG21" s="31">
        <v>-51.7538706848935</v>
      </c>
      <c r="AH21" s="31">
        <v>0.0</v>
      </c>
      <c r="AI21" s="31">
        <v>0.0</v>
      </c>
      <c r="AJ21" s="31">
        <v>1.0</v>
      </c>
      <c r="AK21" s="31">
        <v>0.0</v>
      </c>
      <c r="AL21" s="31">
        <v>46945.0</v>
      </c>
      <c r="AM21" s="31" t="s">
        <v>410</v>
      </c>
      <c r="AN21" s="31">
        <v>8173.37</v>
      </c>
      <c r="AO21" s="31">
        <v>559.295999999999</v>
      </c>
      <c r="AP21" s="31">
        <v>2893.93</v>
      </c>
      <c r="AQ21" s="31">
        <v>0.806734786259515</v>
      </c>
      <c r="AR21" s="31">
        <v>-2.38169762951563</v>
      </c>
      <c r="AS21" s="31" t="s">
        <v>464</v>
      </c>
      <c r="AT21" s="31">
        <v>8200.05</v>
      </c>
      <c r="AU21" s="31">
        <v>269.919423076923</v>
      </c>
      <c r="AV21" s="31">
        <v>696.38</v>
      </c>
      <c r="AW21" s="31">
        <v>0.612396359635654</v>
      </c>
      <c r="AX21" s="31">
        <v>0.5</v>
      </c>
      <c r="AY21" s="31">
        <v>160.016243994187</v>
      </c>
      <c r="AZ21" s="31">
        <v>1.58839852865065</v>
      </c>
      <c r="BA21" s="31">
        <v>48.9966826523053</v>
      </c>
      <c r="BB21" s="31">
        <v>0.0248105820950935</v>
      </c>
      <c r="BC21" s="31">
        <v>3.15567649846348</v>
      </c>
      <c r="BD21" s="31">
        <v>347.414176153754</v>
      </c>
      <c r="BE21" s="31" t="s">
        <v>465</v>
      </c>
      <c r="BF21" s="31">
        <v>-1617.13</v>
      </c>
      <c r="BG21" s="31">
        <v>-1617.13</v>
      </c>
      <c r="BH21" s="31">
        <v>3.32219477871277</v>
      </c>
      <c r="BI21" s="31">
        <v>0.184334875113173</v>
      </c>
      <c r="BJ21" s="31">
        <v>0.487147145016914</v>
      </c>
      <c r="BK21" s="31">
        <v>3.11094348664378</v>
      </c>
      <c r="BL21" s="31">
        <v>0.941282445128444</v>
      </c>
      <c r="BM21" s="31">
        <v>-1.10437942254645</v>
      </c>
      <c r="BN21" s="31">
        <v>2.10437942254645</v>
      </c>
      <c r="BO21" s="31" t="s">
        <v>413</v>
      </c>
      <c r="BP21" s="31" t="s">
        <v>413</v>
      </c>
      <c r="BQ21" s="31" t="s">
        <v>413</v>
      </c>
      <c r="BR21" s="31" t="s">
        <v>413</v>
      </c>
      <c r="BS21" s="31" t="s">
        <v>413</v>
      </c>
      <c r="BT21" s="31" t="s">
        <v>413</v>
      </c>
      <c r="BU21" s="31" t="s">
        <v>413</v>
      </c>
      <c r="BV21" s="31" t="s">
        <v>413</v>
      </c>
      <c r="BW21" s="31" t="s">
        <v>413</v>
      </c>
      <c r="BX21" s="31" t="s">
        <v>413</v>
      </c>
      <c r="BY21" s="31" t="s">
        <v>413</v>
      </c>
      <c r="BZ21" s="31" t="s">
        <v>413</v>
      </c>
      <c r="CA21" s="31" t="s">
        <v>413</v>
      </c>
      <c r="CB21" s="31" t="s">
        <v>413</v>
      </c>
      <c r="CC21" s="31" t="s">
        <v>413</v>
      </c>
      <c r="CD21" s="31" t="s">
        <v>413</v>
      </c>
      <c r="CE21" s="31" t="s">
        <v>413</v>
      </c>
      <c r="CF21" s="31" t="s">
        <v>413</v>
      </c>
      <c r="CG21" s="31" t="s">
        <v>413</v>
      </c>
      <c r="CH21" s="31" t="s">
        <v>413</v>
      </c>
      <c r="CI21" s="31" t="s">
        <v>413</v>
      </c>
      <c r="CJ21" s="31" t="s">
        <v>413</v>
      </c>
      <c r="CK21" s="31" t="s">
        <v>413</v>
      </c>
      <c r="CL21" s="31" t="s">
        <v>413</v>
      </c>
      <c r="CM21" s="31" t="s">
        <v>413</v>
      </c>
      <c r="CN21" s="31" t="s">
        <v>413</v>
      </c>
      <c r="CO21" s="31" t="s">
        <v>413</v>
      </c>
      <c r="CP21" s="31" t="s">
        <v>413</v>
      </c>
      <c r="CQ21" s="31" t="s">
        <v>413</v>
      </c>
      <c r="CR21" s="31" t="s">
        <v>413</v>
      </c>
      <c r="CS21" s="31" t="s">
        <v>413</v>
      </c>
      <c r="CT21" s="31" t="s">
        <v>413</v>
      </c>
      <c r="CU21" s="31" t="s">
        <v>413</v>
      </c>
      <c r="CV21" s="31" t="s">
        <v>413</v>
      </c>
      <c r="CW21" s="31">
        <v>189.818</v>
      </c>
      <c r="CX21" s="31">
        <v>160.016243994187</v>
      </c>
      <c r="CY21" s="31">
        <v>0.842998261461963</v>
      </c>
      <c r="CZ21" s="31">
        <v>0.165386644621589</v>
      </c>
      <c r="DA21" s="31">
        <v>6.0</v>
      </c>
      <c r="DB21" s="31">
        <v>0.5</v>
      </c>
      <c r="DC21" s="31" t="s">
        <v>414</v>
      </c>
      <c r="DD21" s="31">
        <v>2.0</v>
      </c>
      <c r="DE21" s="31">
        <v>1.7548857611E9</v>
      </c>
      <c r="DF21" s="31">
        <v>457.059</v>
      </c>
      <c r="DG21" s="31">
        <v>460.033</v>
      </c>
      <c r="DH21" s="31">
        <v>36.1819</v>
      </c>
      <c r="DI21" s="31">
        <v>33.9315</v>
      </c>
      <c r="DJ21" s="31">
        <v>454.117</v>
      </c>
      <c r="DK21" s="31">
        <v>35.63</v>
      </c>
      <c r="DL21" s="31">
        <v>499.805</v>
      </c>
      <c r="DM21" s="31">
        <v>100.877</v>
      </c>
      <c r="DN21" s="31">
        <v>0.0994571</v>
      </c>
      <c r="DO21" s="31">
        <v>33.7687</v>
      </c>
      <c r="DP21" s="31">
        <v>33.7524</v>
      </c>
      <c r="DQ21" s="31">
        <v>999.9</v>
      </c>
      <c r="DR21" s="31">
        <v>0.0</v>
      </c>
      <c r="DS21" s="31">
        <v>0.0</v>
      </c>
      <c r="DT21" s="31">
        <v>8972.5</v>
      </c>
      <c r="DU21" s="31">
        <v>0.0</v>
      </c>
      <c r="DV21" s="31">
        <v>1576.81</v>
      </c>
      <c r="DW21" s="31">
        <v>189.818</v>
      </c>
      <c r="DX21" s="31">
        <v>0.899984</v>
      </c>
      <c r="DY21" s="31">
        <v>0.100016</v>
      </c>
      <c r="DZ21" s="31">
        <v>0.0</v>
      </c>
      <c r="EA21" s="31">
        <v>269.67</v>
      </c>
      <c r="EB21" s="31">
        <v>0.0999973</v>
      </c>
      <c r="EC21" s="31">
        <v>1634.38</v>
      </c>
      <c r="ED21" s="31">
        <v>1682.44</v>
      </c>
      <c r="EE21" s="31">
        <v>38.75</v>
      </c>
      <c r="EF21" s="31">
        <v>42.062</v>
      </c>
      <c r="EG21" s="31">
        <v>40.25</v>
      </c>
      <c r="EH21" s="31">
        <v>41.687</v>
      </c>
      <c r="EI21" s="31">
        <v>41.375</v>
      </c>
      <c r="EJ21" s="31">
        <v>170.74</v>
      </c>
      <c r="EK21" s="31">
        <v>18.97</v>
      </c>
      <c r="EL21" s="31">
        <v>0.0</v>
      </c>
      <c r="EM21" s="31">
        <v>140.0</v>
      </c>
      <c r="EN21" s="31">
        <v>0.0</v>
      </c>
      <c r="EO21" s="31">
        <v>269.919423076923</v>
      </c>
      <c r="EP21" s="31">
        <v>-7.31470076742</v>
      </c>
      <c r="EQ21" s="31">
        <v>-529.491283431314</v>
      </c>
      <c r="ER21" s="31">
        <v>1660.30769230769</v>
      </c>
      <c r="ES21" s="31">
        <v>15.0</v>
      </c>
      <c r="ET21" s="31">
        <v>1.7548857791E9</v>
      </c>
      <c r="EU21" s="42">
        <v>0.5113310185185185</v>
      </c>
      <c r="EV21" s="31">
        <v>1.7548857791E9</v>
      </c>
      <c r="EW21" s="31">
        <v>1.7548765351E9</v>
      </c>
      <c r="EX21" s="31">
        <v>16.0</v>
      </c>
      <c r="EY21" s="31">
        <v>-0.008</v>
      </c>
      <c r="EZ21" s="31">
        <v>-0.002</v>
      </c>
      <c r="FA21" s="31">
        <v>2.942</v>
      </c>
      <c r="FB21" s="31">
        <v>0.297</v>
      </c>
      <c r="FC21" s="31">
        <v>460.0</v>
      </c>
      <c r="FD21" s="31">
        <v>20.0</v>
      </c>
      <c r="FE21" s="31">
        <v>0.23</v>
      </c>
      <c r="FF21" s="31">
        <v>0.06</v>
      </c>
      <c r="FG21" s="31">
        <v>100.0</v>
      </c>
      <c r="FH21" s="31">
        <v>100.0</v>
      </c>
      <c r="FI21" s="31">
        <v>2.942</v>
      </c>
      <c r="FJ21" s="31">
        <v>0.5519</v>
      </c>
      <c r="FK21" s="31">
        <v>3.05167991366422</v>
      </c>
      <c r="FL21" s="31">
        <v>-2.2595428698806E-4</v>
      </c>
      <c r="FM21" s="43">
        <v>5.20417301097471E-9</v>
      </c>
      <c r="FN21" s="43">
        <v>1.17243702350096E-12</v>
      </c>
      <c r="FO21" s="31">
        <v>0.551873338452037</v>
      </c>
      <c r="FP21" s="31">
        <v>0.0</v>
      </c>
      <c r="FQ21" s="31">
        <v>0.0</v>
      </c>
      <c r="FR21" s="31">
        <v>0.0</v>
      </c>
      <c r="FS21" s="31">
        <v>1.0</v>
      </c>
      <c r="FT21" s="31">
        <v>2266.0</v>
      </c>
      <c r="FU21" s="31">
        <v>1.0</v>
      </c>
      <c r="FV21" s="31">
        <v>26.0</v>
      </c>
      <c r="FW21" s="31">
        <v>11.3</v>
      </c>
      <c r="FX21" s="31">
        <v>153.8</v>
      </c>
      <c r="FY21" s="31">
        <v>1.12427</v>
      </c>
      <c r="FZ21" s="31">
        <v>2.55981</v>
      </c>
      <c r="GA21" s="31">
        <v>1.59668</v>
      </c>
      <c r="GB21" s="31">
        <v>2.31689</v>
      </c>
      <c r="GC21" s="31">
        <v>1.5979</v>
      </c>
      <c r="GD21" s="31">
        <v>2.36328</v>
      </c>
      <c r="GE21" s="31">
        <v>43.1009</v>
      </c>
      <c r="GF21" s="31">
        <v>15.0251</v>
      </c>
      <c r="GG21" s="31">
        <v>18.0</v>
      </c>
      <c r="GH21" s="31">
        <v>506.688</v>
      </c>
      <c r="GI21" s="31">
        <v>468.922</v>
      </c>
      <c r="GJ21" s="31">
        <v>33.7293</v>
      </c>
      <c r="GK21" s="31">
        <v>34.0959</v>
      </c>
      <c r="GL21" s="31">
        <v>30.0003</v>
      </c>
      <c r="GM21" s="31">
        <v>34.1795</v>
      </c>
      <c r="GN21" s="31">
        <v>34.1446</v>
      </c>
      <c r="GO21" s="31">
        <v>22.5493</v>
      </c>
      <c r="GP21" s="31">
        <v>100.0</v>
      </c>
      <c r="GQ21" s="31">
        <v>0.0</v>
      </c>
      <c r="GR21" s="31">
        <v>-999.9</v>
      </c>
      <c r="GS21" s="31">
        <v>460.0</v>
      </c>
      <c r="GT21" s="31">
        <v>15.5881</v>
      </c>
      <c r="GU21" s="31">
        <v>102.667</v>
      </c>
      <c r="GV21" s="31">
        <v>99.919</v>
      </c>
    </row>
    <row r="22" ht="14.25" customHeight="1">
      <c r="A22" s="41" t="s">
        <v>111</v>
      </c>
      <c r="B22" s="41" t="s">
        <v>57</v>
      </c>
      <c r="C22" s="41" t="s">
        <v>86</v>
      </c>
      <c r="D22" s="31">
        <v>30.0</v>
      </c>
      <c r="E22" s="31">
        <v>1.7548819501E9</v>
      </c>
      <c r="F22" s="31">
        <v>4432.09999990463</v>
      </c>
      <c r="G22" s="31" t="s">
        <v>466</v>
      </c>
      <c r="H22" s="42">
        <v>0.4670138888888889</v>
      </c>
      <c r="I22" s="31" t="s">
        <v>409</v>
      </c>
      <c r="J22" s="31">
        <v>1.7548819501E9</v>
      </c>
      <c r="K22" s="31">
        <v>0.00402625527106277</v>
      </c>
      <c r="L22" s="31">
        <v>4.02625527106277</v>
      </c>
      <c r="M22" s="31">
        <v>1.8191843745585</v>
      </c>
      <c r="N22" s="31">
        <v>455.557997392324</v>
      </c>
      <c r="O22" s="31">
        <v>432.254044988128</v>
      </c>
      <c r="P22" s="31">
        <v>43.6629208045446</v>
      </c>
      <c r="Q22" s="31">
        <v>46.016903699685</v>
      </c>
      <c r="R22" s="31">
        <v>0.258617780939235</v>
      </c>
      <c r="S22" s="31">
        <v>2.75831539748418</v>
      </c>
      <c r="T22" s="31">
        <v>0.245862405378288</v>
      </c>
      <c r="U22" s="31">
        <v>0.154757582305341</v>
      </c>
      <c r="V22" s="31">
        <v>31.4494706304914</v>
      </c>
      <c r="W22" s="31">
        <v>34.9037236206662</v>
      </c>
      <c r="X22" s="31">
        <v>35.2287</v>
      </c>
      <c r="Y22" s="31">
        <v>5.72030089027056</v>
      </c>
      <c r="Z22" s="31">
        <v>70.2105402574498</v>
      </c>
      <c r="AA22" s="31">
        <v>4.1469133865264</v>
      </c>
      <c r="AB22" s="31">
        <v>5.9063972037822</v>
      </c>
      <c r="AC22" s="31">
        <v>1.57338750374416</v>
      </c>
      <c r="AD22" s="31">
        <v>-177.557857453868</v>
      </c>
      <c r="AE22" s="31">
        <v>86.2942657212289</v>
      </c>
      <c r="AF22" s="31">
        <v>7.34335827406673</v>
      </c>
      <c r="AG22" s="31">
        <v>-52.4707628280812</v>
      </c>
      <c r="AH22" s="31">
        <v>0.0</v>
      </c>
      <c r="AI22" s="31">
        <v>0.0</v>
      </c>
      <c r="AJ22" s="31">
        <v>1.0</v>
      </c>
      <c r="AK22" s="31">
        <v>0.0</v>
      </c>
      <c r="AL22" s="31">
        <v>46651.0</v>
      </c>
      <c r="AM22" s="31" t="s">
        <v>410</v>
      </c>
      <c r="AN22" s="31">
        <v>8173.37</v>
      </c>
      <c r="AO22" s="31">
        <v>559.295999999999</v>
      </c>
      <c r="AP22" s="31">
        <v>2893.93</v>
      </c>
      <c r="AQ22" s="31">
        <v>0.806734786259515</v>
      </c>
      <c r="AR22" s="31">
        <v>-2.38169762951563</v>
      </c>
      <c r="AS22" s="31" t="s">
        <v>467</v>
      </c>
      <c r="AT22" s="31">
        <v>8140.34</v>
      </c>
      <c r="AU22" s="31">
        <v>340.4464</v>
      </c>
      <c r="AV22" s="31">
        <v>900.08</v>
      </c>
      <c r="AW22" s="31">
        <v>0.62175984356946</v>
      </c>
      <c r="AX22" s="31">
        <v>0.5</v>
      </c>
      <c r="AY22" s="31">
        <v>160.303557010617</v>
      </c>
      <c r="AZ22" s="31">
        <v>1.8191843745585</v>
      </c>
      <c r="BA22" s="31">
        <v>49.8351572652747</v>
      </c>
      <c r="BB22" s="31">
        <v>0.0262057940722794</v>
      </c>
      <c r="BC22" s="31">
        <v>2.21519198293485</v>
      </c>
      <c r="BD22" s="31">
        <v>391.631078220293</v>
      </c>
      <c r="BE22" s="31" t="s">
        <v>468</v>
      </c>
      <c r="BF22" s="31">
        <v>-482.87</v>
      </c>
      <c r="BG22" s="31">
        <v>-482.87</v>
      </c>
      <c r="BH22" s="31">
        <v>1.53647453559683</v>
      </c>
      <c r="BI22" s="31">
        <v>0.404666546151343</v>
      </c>
      <c r="BJ22" s="31">
        <v>0.590455460791281</v>
      </c>
      <c r="BK22" s="31">
        <v>1.6421944692239</v>
      </c>
      <c r="BL22" s="31">
        <v>0.854031081531409</v>
      </c>
      <c r="BM22" s="31">
        <v>-0.573956238456623</v>
      </c>
      <c r="BN22" s="31">
        <v>1.57395623845662</v>
      </c>
      <c r="BO22" s="31" t="s">
        <v>413</v>
      </c>
      <c r="BP22" s="31" t="s">
        <v>413</v>
      </c>
      <c r="BQ22" s="31" t="s">
        <v>413</v>
      </c>
      <c r="BR22" s="31" t="s">
        <v>413</v>
      </c>
      <c r="BS22" s="31" t="s">
        <v>413</v>
      </c>
      <c r="BT22" s="31" t="s">
        <v>413</v>
      </c>
      <c r="BU22" s="31" t="s">
        <v>413</v>
      </c>
      <c r="BV22" s="31" t="s">
        <v>413</v>
      </c>
      <c r="BW22" s="31" t="s">
        <v>413</v>
      </c>
      <c r="BX22" s="31" t="s">
        <v>413</v>
      </c>
      <c r="BY22" s="31" t="s">
        <v>413</v>
      </c>
      <c r="BZ22" s="31" t="s">
        <v>413</v>
      </c>
      <c r="CA22" s="31" t="s">
        <v>413</v>
      </c>
      <c r="CB22" s="31" t="s">
        <v>413</v>
      </c>
      <c r="CC22" s="31" t="s">
        <v>413</v>
      </c>
      <c r="CD22" s="31" t="s">
        <v>413</v>
      </c>
      <c r="CE22" s="31" t="s">
        <v>413</v>
      </c>
      <c r="CF22" s="31" t="s">
        <v>413</v>
      </c>
      <c r="CG22" s="31" t="s">
        <v>413</v>
      </c>
      <c r="CH22" s="31" t="s">
        <v>413</v>
      </c>
      <c r="CI22" s="31" t="s">
        <v>413</v>
      </c>
      <c r="CJ22" s="31" t="s">
        <v>413</v>
      </c>
      <c r="CK22" s="31" t="s">
        <v>413</v>
      </c>
      <c r="CL22" s="31" t="s">
        <v>413</v>
      </c>
      <c r="CM22" s="31" t="s">
        <v>413</v>
      </c>
      <c r="CN22" s="31" t="s">
        <v>413</v>
      </c>
      <c r="CO22" s="31" t="s">
        <v>413</v>
      </c>
      <c r="CP22" s="31" t="s">
        <v>413</v>
      </c>
      <c r="CQ22" s="31" t="s">
        <v>413</v>
      </c>
      <c r="CR22" s="31" t="s">
        <v>413</v>
      </c>
      <c r="CS22" s="31" t="s">
        <v>413</v>
      </c>
      <c r="CT22" s="31" t="s">
        <v>413</v>
      </c>
      <c r="CU22" s="31" t="s">
        <v>413</v>
      </c>
      <c r="CV22" s="31" t="s">
        <v>413</v>
      </c>
      <c r="CW22" s="31">
        <v>190.159</v>
      </c>
      <c r="CX22" s="31">
        <v>160.303557010617</v>
      </c>
      <c r="CY22" s="31">
        <v>0.842997475852404</v>
      </c>
      <c r="CZ22" s="31">
        <v>0.16538512839514</v>
      </c>
      <c r="DA22" s="31">
        <v>6.0</v>
      </c>
      <c r="DB22" s="31">
        <v>0.5</v>
      </c>
      <c r="DC22" s="31" t="s">
        <v>414</v>
      </c>
      <c r="DD22" s="31">
        <v>2.0</v>
      </c>
      <c r="DE22" s="31">
        <v>1.7548819501E9</v>
      </c>
      <c r="DF22" s="31">
        <v>455.558</v>
      </c>
      <c r="DG22" s="31">
        <v>459.942</v>
      </c>
      <c r="DH22" s="31">
        <v>41.0536</v>
      </c>
      <c r="DI22" s="31">
        <v>36.4205</v>
      </c>
      <c r="DJ22" s="31">
        <v>452.769</v>
      </c>
      <c r="DK22" s="31">
        <v>40.5018</v>
      </c>
      <c r="DL22" s="31">
        <v>500.006</v>
      </c>
      <c r="DM22" s="31">
        <v>100.912</v>
      </c>
      <c r="DN22" s="31">
        <v>0.100174</v>
      </c>
      <c r="DO22" s="31">
        <v>35.809</v>
      </c>
      <c r="DP22" s="31">
        <v>35.2287</v>
      </c>
      <c r="DQ22" s="31">
        <v>999.9</v>
      </c>
      <c r="DR22" s="31">
        <v>0.0</v>
      </c>
      <c r="DS22" s="31">
        <v>0.0</v>
      </c>
      <c r="DT22" s="31">
        <v>8972.5</v>
      </c>
      <c r="DU22" s="31">
        <v>0.0</v>
      </c>
      <c r="DV22" s="31">
        <v>573.513</v>
      </c>
      <c r="DW22" s="31">
        <v>190.159</v>
      </c>
      <c r="DX22" s="31">
        <v>0.900057</v>
      </c>
      <c r="DY22" s="31">
        <v>0.0999431</v>
      </c>
      <c r="DZ22" s="31">
        <v>0.0</v>
      </c>
      <c r="EA22" s="31">
        <v>341.285</v>
      </c>
      <c r="EB22" s="31">
        <v>0.0999973</v>
      </c>
      <c r="EC22" s="31">
        <v>1234.35</v>
      </c>
      <c r="ED22" s="31">
        <v>1685.51</v>
      </c>
      <c r="EE22" s="31">
        <v>41.125</v>
      </c>
      <c r="EF22" s="31">
        <v>44.375</v>
      </c>
      <c r="EG22" s="31">
        <v>42.625</v>
      </c>
      <c r="EH22" s="31">
        <v>44.125</v>
      </c>
      <c r="EI22" s="31">
        <v>43.687</v>
      </c>
      <c r="EJ22" s="31">
        <v>171.06</v>
      </c>
      <c r="EK22" s="31">
        <v>19.0</v>
      </c>
      <c r="EL22" s="31">
        <v>0.0</v>
      </c>
      <c r="EM22" s="31">
        <v>140.400000095367</v>
      </c>
      <c r="EN22" s="31">
        <v>0.0</v>
      </c>
      <c r="EO22" s="31">
        <v>340.4464</v>
      </c>
      <c r="EP22" s="31">
        <v>-14.5569231060005</v>
      </c>
      <c r="EQ22" s="31">
        <v>18.962307556095</v>
      </c>
      <c r="ER22" s="31">
        <v>1235.6168</v>
      </c>
      <c r="ES22" s="31">
        <v>15.0</v>
      </c>
      <c r="ET22" s="31">
        <v>1.7548819701E9</v>
      </c>
      <c r="EU22" s="42">
        <v>0.4672453703703704</v>
      </c>
      <c r="EV22" s="31">
        <v>1.7548819701E9</v>
      </c>
      <c r="EW22" s="31">
        <v>1.7548765351E9</v>
      </c>
      <c r="EX22" s="31">
        <v>10.0</v>
      </c>
      <c r="EY22" s="31">
        <v>-0.039</v>
      </c>
      <c r="EZ22" s="31">
        <v>-0.002</v>
      </c>
      <c r="FA22" s="31">
        <v>2.789</v>
      </c>
      <c r="FB22" s="31">
        <v>0.297</v>
      </c>
      <c r="FC22" s="31">
        <v>460.0</v>
      </c>
      <c r="FD22" s="31">
        <v>20.0</v>
      </c>
      <c r="FE22" s="31">
        <v>0.86</v>
      </c>
      <c r="FF22" s="31">
        <v>0.06</v>
      </c>
      <c r="FG22" s="31">
        <v>100.0</v>
      </c>
      <c r="FH22" s="31">
        <v>100.0</v>
      </c>
      <c r="FI22" s="31">
        <v>2.789</v>
      </c>
      <c r="FJ22" s="31">
        <v>0.5518</v>
      </c>
      <c r="FK22" s="31">
        <v>2.92973507697512</v>
      </c>
      <c r="FL22" s="31">
        <v>-2.2595428698806E-4</v>
      </c>
      <c r="FM22" s="43">
        <v>5.20417301097471E-9</v>
      </c>
      <c r="FN22" s="43">
        <v>1.17243702350096E-12</v>
      </c>
      <c r="FO22" s="31">
        <v>0.551873338452037</v>
      </c>
      <c r="FP22" s="31">
        <v>0.0</v>
      </c>
      <c r="FQ22" s="31">
        <v>0.0</v>
      </c>
      <c r="FR22" s="31">
        <v>0.0</v>
      </c>
      <c r="FS22" s="31">
        <v>1.0</v>
      </c>
      <c r="FT22" s="31">
        <v>2266.0</v>
      </c>
      <c r="FU22" s="31">
        <v>1.0</v>
      </c>
      <c r="FV22" s="31">
        <v>26.0</v>
      </c>
      <c r="FW22" s="31">
        <v>11.2</v>
      </c>
      <c r="FX22" s="31">
        <v>90.2</v>
      </c>
      <c r="FY22" s="31">
        <v>1.12183</v>
      </c>
      <c r="FZ22" s="31">
        <v>2.55859</v>
      </c>
      <c r="GA22" s="31">
        <v>1.59668</v>
      </c>
      <c r="GB22" s="31">
        <v>2.31567</v>
      </c>
      <c r="GC22" s="31">
        <v>1.5979</v>
      </c>
      <c r="GD22" s="31">
        <v>2.28516</v>
      </c>
      <c r="GE22" s="31">
        <v>44.5293</v>
      </c>
      <c r="GF22" s="31">
        <v>15.533</v>
      </c>
      <c r="GG22" s="31">
        <v>18.0</v>
      </c>
      <c r="GH22" s="31">
        <v>508.612</v>
      </c>
      <c r="GI22" s="31">
        <v>462.023</v>
      </c>
      <c r="GJ22" s="31">
        <v>35.8758</v>
      </c>
      <c r="GK22" s="31">
        <v>35.9951</v>
      </c>
      <c r="GL22" s="31">
        <v>30.0015</v>
      </c>
      <c r="GM22" s="31">
        <v>35.9655</v>
      </c>
      <c r="GN22" s="31">
        <v>35.9119</v>
      </c>
      <c r="GO22" s="31">
        <v>22.5085</v>
      </c>
      <c r="GP22" s="31">
        <v>100.0</v>
      </c>
      <c r="GQ22" s="31">
        <v>0.0</v>
      </c>
      <c r="GR22" s="31">
        <v>-999.9</v>
      </c>
      <c r="GS22" s="31">
        <v>460.0</v>
      </c>
      <c r="GT22" s="31">
        <v>0.0</v>
      </c>
      <c r="GU22" s="31">
        <v>102.506</v>
      </c>
      <c r="GV22" s="31">
        <v>99.5895</v>
      </c>
    </row>
    <row r="23" ht="14.25" customHeight="1">
      <c r="A23" s="41" t="s">
        <v>111</v>
      </c>
      <c r="B23" s="41" t="s">
        <v>57</v>
      </c>
      <c r="C23" s="41" t="s">
        <v>87</v>
      </c>
      <c r="D23" s="31">
        <v>31.0</v>
      </c>
      <c r="E23" s="31">
        <v>1.7548820931E9</v>
      </c>
      <c r="F23" s="31">
        <v>4575.09999990463</v>
      </c>
      <c r="G23" s="31" t="s">
        <v>469</v>
      </c>
      <c r="H23" s="42">
        <v>0.4686689814814815</v>
      </c>
      <c r="I23" s="31" t="s">
        <v>409</v>
      </c>
      <c r="J23" s="31">
        <v>1.7548820931E9</v>
      </c>
      <c r="K23" s="31">
        <v>0.00241450122424399</v>
      </c>
      <c r="L23" s="31">
        <v>2.41450122424399</v>
      </c>
      <c r="M23" s="31">
        <v>1.70609825560825</v>
      </c>
      <c r="N23" s="31">
        <v>456.655997557672</v>
      </c>
      <c r="O23" s="31">
        <v>419.869125135948</v>
      </c>
      <c r="P23" s="31">
        <v>42.4105810344442</v>
      </c>
      <c r="Q23" s="31">
        <v>46.1263880334468</v>
      </c>
      <c r="R23" s="31">
        <v>0.122769206370559</v>
      </c>
      <c r="S23" s="31">
        <v>2.75967795197188</v>
      </c>
      <c r="T23" s="31">
        <v>0.119813764634816</v>
      </c>
      <c r="U23" s="31">
        <v>0.0751432118183572</v>
      </c>
      <c r="V23" s="31">
        <v>31.3804287392225</v>
      </c>
      <c r="W23" s="31">
        <v>35.4334353515623</v>
      </c>
      <c r="X23" s="31">
        <v>35.6064</v>
      </c>
      <c r="Y23" s="31">
        <v>5.84083659907549</v>
      </c>
      <c r="Z23" s="31">
        <v>65.7641932410028</v>
      </c>
      <c r="AA23" s="31">
        <v>3.90347449679519</v>
      </c>
      <c r="AB23" s="31">
        <v>5.93556205044639</v>
      </c>
      <c r="AC23" s="31">
        <v>1.93736210228029</v>
      </c>
      <c r="AD23" s="31">
        <v>-106.47950398916</v>
      </c>
      <c r="AE23" s="31">
        <v>43.4585672378131</v>
      </c>
      <c r="AF23" s="31">
        <v>3.70475542584405</v>
      </c>
      <c r="AG23" s="31">
        <v>-27.9357525862805</v>
      </c>
      <c r="AH23" s="31">
        <v>0.0</v>
      </c>
      <c r="AI23" s="31">
        <v>0.0</v>
      </c>
      <c r="AJ23" s="31">
        <v>1.0</v>
      </c>
      <c r="AK23" s="31">
        <v>0.0</v>
      </c>
      <c r="AL23" s="31">
        <v>46674.0</v>
      </c>
      <c r="AM23" s="31" t="s">
        <v>410</v>
      </c>
      <c r="AN23" s="31">
        <v>8173.37</v>
      </c>
      <c r="AO23" s="31">
        <v>559.295999999999</v>
      </c>
      <c r="AP23" s="31">
        <v>2893.93</v>
      </c>
      <c r="AQ23" s="31">
        <v>0.806734786259515</v>
      </c>
      <c r="AR23" s="31">
        <v>-2.38169762951563</v>
      </c>
      <c r="AS23" s="31" t="s">
        <v>470</v>
      </c>
      <c r="AT23" s="31">
        <v>8177.42</v>
      </c>
      <c r="AU23" s="31">
        <v>320.834</v>
      </c>
      <c r="AV23" s="31">
        <v>779.65</v>
      </c>
      <c r="AW23" s="31">
        <v>0.588489706919771</v>
      </c>
      <c r="AX23" s="31">
        <v>0.5</v>
      </c>
      <c r="AY23" s="31">
        <v>159.948201004778</v>
      </c>
      <c r="AZ23" s="31">
        <v>1.70609825560825</v>
      </c>
      <c r="BA23" s="31">
        <v>47.0639349658234</v>
      </c>
      <c r="BB23" s="31">
        <v>0.0255569981996969</v>
      </c>
      <c r="BC23" s="31">
        <v>2.71183223241197</v>
      </c>
      <c r="BD23" s="31">
        <v>366.967363868002</v>
      </c>
      <c r="BE23" s="31" t="s">
        <v>471</v>
      </c>
      <c r="BF23" s="31">
        <v>-425.53</v>
      </c>
      <c r="BG23" s="31">
        <v>-425.53</v>
      </c>
      <c r="BH23" s="31">
        <v>1.54579619059834</v>
      </c>
      <c r="BI23" s="31">
        <v>0.380703297432748</v>
      </c>
      <c r="BJ23" s="31">
        <v>0.63693492315015</v>
      </c>
      <c r="BK23" s="31">
        <v>2.08217686086932</v>
      </c>
      <c r="BL23" s="31">
        <v>0.905615184221595</v>
      </c>
      <c r="BM23" s="31">
        <v>-0.504936116984351</v>
      </c>
      <c r="BN23" s="31">
        <v>1.50493611698435</v>
      </c>
      <c r="BO23" s="31" t="s">
        <v>413</v>
      </c>
      <c r="BP23" s="31" t="s">
        <v>413</v>
      </c>
      <c r="BQ23" s="31" t="s">
        <v>413</v>
      </c>
      <c r="BR23" s="31" t="s">
        <v>413</v>
      </c>
      <c r="BS23" s="31" t="s">
        <v>413</v>
      </c>
      <c r="BT23" s="31" t="s">
        <v>413</v>
      </c>
      <c r="BU23" s="31" t="s">
        <v>413</v>
      </c>
      <c r="BV23" s="31" t="s">
        <v>413</v>
      </c>
      <c r="BW23" s="31" t="s">
        <v>413</v>
      </c>
      <c r="BX23" s="31" t="s">
        <v>413</v>
      </c>
      <c r="BY23" s="31" t="s">
        <v>413</v>
      </c>
      <c r="BZ23" s="31" t="s">
        <v>413</v>
      </c>
      <c r="CA23" s="31" t="s">
        <v>413</v>
      </c>
      <c r="CB23" s="31" t="s">
        <v>413</v>
      </c>
      <c r="CC23" s="31" t="s">
        <v>413</v>
      </c>
      <c r="CD23" s="31" t="s">
        <v>413</v>
      </c>
      <c r="CE23" s="31" t="s">
        <v>413</v>
      </c>
      <c r="CF23" s="31" t="s">
        <v>413</v>
      </c>
      <c r="CG23" s="31" t="s">
        <v>413</v>
      </c>
      <c r="CH23" s="31" t="s">
        <v>413</v>
      </c>
      <c r="CI23" s="31" t="s">
        <v>413</v>
      </c>
      <c r="CJ23" s="31" t="s">
        <v>413</v>
      </c>
      <c r="CK23" s="31" t="s">
        <v>413</v>
      </c>
      <c r="CL23" s="31" t="s">
        <v>413</v>
      </c>
      <c r="CM23" s="31" t="s">
        <v>413</v>
      </c>
      <c r="CN23" s="31" t="s">
        <v>413</v>
      </c>
      <c r="CO23" s="31" t="s">
        <v>413</v>
      </c>
      <c r="CP23" s="31" t="s">
        <v>413</v>
      </c>
      <c r="CQ23" s="31" t="s">
        <v>413</v>
      </c>
      <c r="CR23" s="31" t="s">
        <v>413</v>
      </c>
      <c r="CS23" s="31" t="s">
        <v>413</v>
      </c>
      <c r="CT23" s="31" t="s">
        <v>413</v>
      </c>
      <c r="CU23" s="31" t="s">
        <v>413</v>
      </c>
      <c r="CV23" s="31" t="s">
        <v>413</v>
      </c>
      <c r="CW23" s="31">
        <v>189.737</v>
      </c>
      <c r="CX23" s="31">
        <v>159.948201004778</v>
      </c>
      <c r="CY23" s="31">
        <v>0.842999525684386</v>
      </c>
      <c r="CZ23" s="31">
        <v>0.165389084570866</v>
      </c>
      <c r="DA23" s="31">
        <v>6.0</v>
      </c>
      <c r="DB23" s="31">
        <v>0.5</v>
      </c>
      <c r="DC23" s="31" t="s">
        <v>414</v>
      </c>
      <c r="DD23" s="31">
        <v>2.0</v>
      </c>
      <c r="DE23" s="31">
        <v>1.7548820931E9</v>
      </c>
      <c r="DF23" s="31">
        <v>456.656</v>
      </c>
      <c r="DG23" s="31">
        <v>460.027</v>
      </c>
      <c r="DH23" s="31">
        <v>38.6448</v>
      </c>
      <c r="DI23" s="31">
        <v>35.8589</v>
      </c>
      <c r="DJ23" s="31">
        <v>453.867</v>
      </c>
      <c r="DK23" s="31">
        <v>38.0929</v>
      </c>
      <c r="DL23" s="31">
        <v>499.916</v>
      </c>
      <c r="DM23" s="31">
        <v>100.909</v>
      </c>
      <c r="DN23" s="31">
        <v>0.100049</v>
      </c>
      <c r="DO23" s="31">
        <v>35.8985</v>
      </c>
      <c r="DP23" s="31">
        <v>35.6064</v>
      </c>
      <c r="DQ23" s="31">
        <v>999.9</v>
      </c>
      <c r="DR23" s="31">
        <v>0.0</v>
      </c>
      <c r="DS23" s="31">
        <v>0.0</v>
      </c>
      <c r="DT23" s="31">
        <v>8980.0</v>
      </c>
      <c r="DU23" s="31">
        <v>0.0</v>
      </c>
      <c r="DV23" s="31">
        <v>471.442</v>
      </c>
      <c r="DW23" s="31">
        <v>189.737</v>
      </c>
      <c r="DX23" s="31">
        <v>0.89995</v>
      </c>
      <c r="DY23" s="31">
        <v>0.10005</v>
      </c>
      <c r="DZ23" s="31">
        <v>0.0</v>
      </c>
      <c r="EA23" s="31">
        <v>315.11</v>
      </c>
      <c r="EB23" s="31">
        <v>0.0999973</v>
      </c>
      <c r="EC23" s="31">
        <v>1117.75</v>
      </c>
      <c r="ED23" s="31">
        <v>1681.7</v>
      </c>
      <c r="EE23" s="31">
        <v>41.0</v>
      </c>
      <c r="EF23" s="31">
        <v>44.187</v>
      </c>
      <c r="EG23" s="31">
        <v>42.437</v>
      </c>
      <c r="EH23" s="31">
        <v>43.937</v>
      </c>
      <c r="EI23" s="31">
        <v>43.625</v>
      </c>
      <c r="EJ23" s="31">
        <v>170.66</v>
      </c>
      <c r="EK23" s="31">
        <v>18.97</v>
      </c>
      <c r="EL23" s="31">
        <v>0.0</v>
      </c>
      <c r="EM23" s="31">
        <v>141.0</v>
      </c>
      <c r="EN23" s="31">
        <v>0.0</v>
      </c>
      <c r="EO23" s="31">
        <v>320.834</v>
      </c>
      <c r="EP23" s="31">
        <v>-43.8373074936963</v>
      </c>
      <c r="EQ23" s="31">
        <v>-142.582307865919</v>
      </c>
      <c r="ER23" s="31">
        <v>1131.5352</v>
      </c>
      <c r="ES23" s="31">
        <v>15.0</v>
      </c>
      <c r="ET23" s="31">
        <v>1.7548819701E9</v>
      </c>
      <c r="EU23" s="42">
        <v>0.4672453703703704</v>
      </c>
      <c r="EV23" s="31">
        <v>1.7548819701E9</v>
      </c>
      <c r="EW23" s="31">
        <v>1.7548765351E9</v>
      </c>
      <c r="EX23" s="31">
        <v>10.0</v>
      </c>
      <c r="EY23" s="31">
        <v>-0.039</v>
      </c>
      <c r="EZ23" s="31">
        <v>-0.002</v>
      </c>
      <c r="FA23" s="31">
        <v>2.789</v>
      </c>
      <c r="FB23" s="31">
        <v>0.297</v>
      </c>
      <c r="FC23" s="31">
        <v>460.0</v>
      </c>
      <c r="FD23" s="31">
        <v>20.0</v>
      </c>
      <c r="FE23" s="31">
        <v>0.86</v>
      </c>
      <c r="FF23" s="31">
        <v>0.06</v>
      </c>
      <c r="FG23" s="31">
        <v>100.0</v>
      </c>
      <c r="FH23" s="31">
        <v>100.0</v>
      </c>
      <c r="FI23" s="31">
        <v>2.789</v>
      </c>
      <c r="FJ23" s="31">
        <v>0.5519</v>
      </c>
      <c r="FK23" s="31">
        <v>2.89071154982083</v>
      </c>
      <c r="FL23" s="31">
        <v>-2.2595428698806E-4</v>
      </c>
      <c r="FM23" s="43">
        <v>5.20417301097471E-9</v>
      </c>
      <c r="FN23" s="43">
        <v>1.17243702350096E-12</v>
      </c>
      <c r="FO23" s="31">
        <v>0.551873338452037</v>
      </c>
      <c r="FP23" s="31">
        <v>0.0</v>
      </c>
      <c r="FQ23" s="31">
        <v>0.0</v>
      </c>
      <c r="FR23" s="31">
        <v>0.0</v>
      </c>
      <c r="FS23" s="31">
        <v>1.0</v>
      </c>
      <c r="FT23" s="31">
        <v>2266.0</v>
      </c>
      <c r="FU23" s="31">
        <v>1.0</v>
      </c>
      <c r="FV23" s="31">
        <v>26.0</v>
      </c>
      <c r="FW23" s="31">
        <v>2.0</v>
      </c>
      <c r="FX23" s="31">
        <v>92.6</v>
      </c>
      <c r="FY23" s="31">
        <v>1.12183</v>
      </c>
      <c r="FZ23" s="31">
        <v>2.55737</v>
      </c>
      <c r="GA23" s="31">
        <v>1.59546</v>
      </c>
      <c r="GB23" s="31">
        <v>2.31567</v>
      </c>
      <c r="GC23" s="31">
        <v>1.5979</v>
      </c>
      <c r="GD23" s="31">
        <v>2.38647</v>
      </c>
      <c r="GE23" s="31">
        <v>44.3621</v>
      </c>
      <c r="GF23" s="31">
        <v>15.5242</v>
      </c>
      <c r="GG23" s="31">
        <v>18.0</v>
      </c>
      <c r="GH23" s="31">
        <v>507.21</v>
      </c>
      <c r="GI23" s="31">
        <v>462.092</v>
      </c>
      <c r="GJ23" s="31">
        <v>35.8901</v>
      </c>
      <c r="GK23" s="31">
        <v>36.2331</v>
      </c>
      <c r="GL23" s="31">
        <v>30.0005</v>
      </c>
      <c r="GM23" s="31">
        <v>36.1655</v>
      </c>
      <c r="GN23" s="31">
        <v>36.089</v>
      </c>
      <c r="GO23" s="31">
        <v>22.5197</v>
      </c>
      <c r="GP23" s="31">
        <v>100.0</v>
      </c>
      <c r="GQ23" s="31">
        <v>0.0</v>
      </c>
      <c r="GR23" s="31">
        <v>-999.9</v>
      </c>
      <c r="GS23" s="31">
        <v>460.0</v>
      </c>
      <c r="GT23" s="31">
        <v>0.0</v>
      </c>
      <c r="GU23" s="31">
        <v>102.463</v>
      </c>
      <c r="GV23" s="31">
        <v>99.5344</v>
      </c>
    </row>
    <row r="24" ht="14.25" customHeight="1">
      <c r="A24" s="41" t="s">
        <v>111</v>
      </c>
      <c r="B24" s="41" t="s">
        <v>59</v>
      </c>
      <c r="C24" s="41" t="s">
        <v>86</v>
      </c>
      <c r="D24" s="31">
        <v>26.0</v>
      </c>
      <c r="E24" s="31">
        <v>1.7548813955E9</v>
      </c>
      <c r="F24" s="31">
        <v>3877.5</v>
      </c>
      <c r="G24" s="31" t="s">
        <v>472</v>
      </c>
      <c r="H24" s="42">
        <v>0.4605902777777778</v>
      </c>
      <c r="I24" s="31" t="s">
        <v>409</v>
      </c>
      <c r="J24" s="31">
        <v>1.7548813955E9</v>
      </c>
      <c r="K24" s="31">
        <v>0.00105469831116577</v>
      </c>
      <c r="L24" s="31">
        <v>1.05469831116577</v>
      </c>
      <c r="M24" s="31">
        <v>0.652942953767284</v>
      </c>
      <c r="N24" s="31">
        <v>458.580999058124</v>
      </c>
      <c r="O24" s="31">
        <v>417.846477810619</v>
      </c>
      <c r="P24" s="31">
        <v>42.214452607221</v>
      </c>
      <c r="Q24" s="31">
        <v>46.3298050344826</v>
      </c>
      <c r="R24" s="31">
        <v>0.0441343966975605</v>
      </c>
      <c r="S24" s="31">
        <v>2.75434055242088</v>
      </c>
      <c r="T24" s="31">
        <v>0.0437452523108329</v>
      </c>
      <c r="U24" s="31">
        <v>0.0273754596708792</v>
      </c>
      <c r="V24" s="31">
        <v>31.407478443445</v>
      </c>
      <c r="W24" s="31">
        <v>36.1706205754526</v>
      </c>
      <c r="X24" s="31">
        <v>36.3507</v>
      </c>
      <c r="Y24" s="31">
        <v>6.08483874332974</v>
      </c>
      <c r="Z24" s="31">
        <v>62.2154838999622</v>
      </c>
      <c r="AA24" s="31">
        <v>3.7678118312955</v>
      </c>
      <c r="AB24" s="31">
        <v>6.05606771033695</v>
      </c>
      <c r="AC24" s="31">
        <v>2.31702691203424</v>
      </c>
      <c r="AD24" s="31">
        <v>-46.5121955224104</v>
      </c>
      <c r="AE24" s="31">
        <v>-12.8297094792874</v>
      </c>
      <c r="AF24" s="31">
        <v>-1.10174669009853</v>
      </c>
      <c r="AG24" s="31">
        <v>-29.0361732483514</v>
      </c>
      <c r="AH24" s="31">
        <v>0.0</v>
      </c>
      <c r="AI24" s="31">
        <v>0.0</v>
      </c>
      <c r="AJ24" s="31">
        <v>1.0</v>
      </c>
      <c r="AK24" s="31">
        <v>0.0</v>
      </c>
      <c r="AL24" s="31">
        <v>46474.0</v>
      </c>
      <c r="AM24" s="31" t="s">
        <v>410</v>
      </c>
      <c r="AN24" s="31">
        <v>8173.37</v>
      </c>
      <c r="AO24" s="31">
        <v>559.295999999999</v>
      </c>
      <c r="AP24" s="31">
        <v>2893.93</v>
      </c>
      <c r="AQ24" s="31">
        <v>0.806734786259515</v>
      </c>
      <c r="AR24" s="31">
        <v>-2.38169762951563</v>
      </c>
      <c r="AS24" s="31" t="s">
        <v>473</v>
      </c>
      <c r="AT24" s="31">
        <v>8116.83</v>
      </c>
      <c r="AU24" s="31">
        <v>303.9194</v>
      </c>
      <c r="AV24" s="31">
        <v>828.02</v>
      </c>
      <c r="AW24" s="31">
        <v>0.632956450327286</v>
      </c>
      <c r="AX24" s="31">
        <v>0.5</v>
      </c>
      <c r="AY24" s="31">
        <v>160.082628001784</v>
      </c>
      <c r="AZ24" s="31">
        <v>0.652942953767284</v>
      </c>
      <c r="BA24" s="31">
        <v>50.6626659895366</v>
      </c>
      <c r="BB24" s="31">
        <v>0.0189567139243184</v>
      </c>
      <c r="BC24" s="31">
        <v>2.49500012077002</v>
      </c>
      <c r="BD24" s="31">
        <v>377.34262130474</v>
      </c>
      <c r="BE24" s="31" t="s">
        <v>474</v>
      </c>
      <c r="BF24" s="31">
        <v>-642.47</v>
      </c>
      <c r="BG24" s="31">
        <v>-642.47</v>
      </c>
      <c r="BH24" s="31">
        <v>1.77591120987415</v>
      </c>
      <c r="BI24" s="31">
        <v>0.356412216336051</v>
      </c>
      <c r="BJ24" s="31">
        <v>0.584184481393507</v>
      </c>
      <c r="BK24" s="31">
        <v>1.95033045057382</v>
      </c>
      <c r="BL24" s="31">
        <v>0.884896733278106</v>
      </c>
      <c r="BM24" s="31">
        <v>-0.753437117306176</v>
      </c>
      <c r="BN24" s="31">
        <v>1.75343711730617</v>
      </c>
      <c r="BO24" s="31" t="s">
        <v>413</v>
      </c>
      <c r="BP24" s="31" t="s">
        <v>413</v>
      </c>
      <c r="BQ24" s="31" t="s">
        <v>413</v>
      </c>
      <c r="BR24" s="31" t="s">
        <v>413</v>
      </c>
      <c r="BS24" s="31" t="s">
        <v>413</v>
      </c>
      <c r="BT24" s="31" t="s">
        <v>413</v>
      </c>
      <c r="BU24" s="31" t="s">
        <v>413</v>
      </c>
      <c r="BV24" s="31" t="s">
        <v>413</v>
      </c>
      <c r="BW24" s="31" t="s">
        <v>413</v>
      </c>
      <c r="BX24" s="31" t="s">
        <v>413</v>
      </c>
      <c r="BY24" s="31" t="s">
        <v>413</v>
      </c>
      <c r="BZ24" s="31" t="s">
        <v>413</v>
      </c>
      <c r="CA24" s="31" t="s">
        <v>413</v>
      </c>
      <c r="CB24" s="31" t="s">
        <v>413</v>
      </c>
      <c r="CC24" s="31" t="s">
        <v>413</v>
      </c>
      <c r="CD24" s="31" t="s">
        <v>413</v>
      </c>
      <c r="CE24" s="31" t="s">
        <v>413</v>
      </c>
      <c r="CF24" s="31" t="s">
        <v>413</v>
      </c>
      <c r="CG24" s="31" t="s">
        <v>413</v>
      </c>
      <c r="CH24" s="31" t="s">
        <v>413</v>
      </c>
      <c r="CI24" s="31" t="s">
        <v>413</v>
      </c>
      <c r="CJ24" s="31" t="s">
        <v>413</v>
      </c>
      <c r="CK24" s="31" t="s">
        <v>413</v>
      </c>
      <c r="CL24" s="31" t="s">
        <v>413</v>
      </c>
      <c r="CM24" s="31" t="s">
        <v>413</v>
      </c>
      <c r="CN24" s="31" t="s">
        <v>413</v>
      </c>
      <c r="CO24" s="31" t="s">
        <v>413</v>
      </c>
      <c r="CP24" s="31" t="s">
        <v>413</v>
      </c>
      <c r="CQ24" s="31" t="s">
        <v>413</v>
      </c>
      <c r="CR24" s="31" t="s">
        <v>413</v>
      </c>
      <c r="CS24" s="31" t="s">
        <v>413</v>
      </c>
      <c r="CT24" s="31" t="s">
        <v>413</v>
      </c>
      <c r="CU24" s="31" t="s">
        <v>413</v>
      </c>
      <c r="CV24" s="31" t="s">
        <v>413</v>
      </c>
      <c r="CW24" s="31">
        <v>189.896</v>
      </c>
      <c r="CX24" s="31">
        <v>160.082628001784</v>
      </c>
      <c r="CY24" s="31">
        <v>0.843001579821507</v>
      </c>
      <c r="CZ24" s="31">
        <v>0.165393049055509</v>
      </c>
      <c r="DA24" s="31">
        <v>6.0</v>
      </c>
      <c r="DB24" s="31">
        <v>0.5</v>
      </c>
      <c r="DC24" s="31" t="s">
        <v>414</v>
      </c>
      <c r="DD24" s="31">
        <v>2.0</v>
      </c>
      <c r="DE24" s="31">
        <v>1.7548813955E9</v>
      </c>
      <c r="DF24" s="31">
        <v>458.581</v>
      </c>
      <c r="DG24" s="31">
        <v>459.945</v>
      </c>
      <c r="DH24" s="31">
        <v>37.2945</v>
      </c>
      <c r="DI24" s="31">
        <v>36.076</v>
      </c>
      <c r="DJ24" s="31">
        <v>455.753</v>
      </c>
      <c r="DK24" s="31">
        <v>36.7426</v>
      </c>
      <c r="DL24" s="31">
        <v>499.974</v>
      </c>
      <c r="DM24" s="31">
        <v>100.928</v>
      </c>
      <c r="DN24" s="31">
        <v>0.100619</v>
      </c>
      <c r="DO24" s="31">
        <v>36.2643</v>
      </c>
      <c r="DP24" s="31">
        <v>36.3507</v>
      </c>
      <c r="DQ24" s="31">
        <v>999.9</v>
      </c>
      <c r="DR24" s="31">
        <v>0.0</v>
      </c>
      <c r="DS24" s="31">
        <v>0.0</v>
      </c>
      <c r="DT24" s="31">
        <v>8950.0</v>
      </c>
      <c r="DU24" s="31">
        <v>0.0</v>
      </c>
      <c r="DV24" s="31">
        <v>724.965</v>
      </c>
      <c r="DW24" s="31">
        <v>189.896</v>
      </c>
      <c r="DX24" s="31">
        <v>0.899905</v>
      </c>
      <c r="DY24" s="31">
        <v>0.100095</v>
      </c>
      <c r="DZ24" s="31">
        <v>0.0</v>
      </c>
      <c r="EA24" s="31">
        <v>299.69</v>
      </c>
      <c r="EB24" s="31">
        <v>0.0999973</v>
      </c>
      <c r="EC24" s="31">
        <v>1527.41</v>
      </c>
      <c r="ED24" s="31">
        <v>1683.08</v>
      </c>
      <c r="EE24" s="31">
        <v>41.375</v>
      </c>
      <c r="EF24" s="31">
        <v>45.0</v>
      </c>
      <c r="EG24" s="31">
        <v>42.937</v>
      </c>
      <c r="EH24" s="31">
        <v>44.625</v>
      </c>
      <c r="EI24" s="31">
        <v>44.062</v>
      </c>
      <c r="EJ24" s="31">
        <v>170.8</v>
      </c>
      <c r="EK24" s="31">
        <v>19.0</v>
      </c>
      <c r="EL24" s="31">
        <v>0.0</v>
      </c>
      <c r="EM24" s="31">
        <v>132.599999904632</v>
      </c>
      <c r="EN24" s="31">
        <v>0.0</v>
      </c>
      <c r="EO24" s="31">
        <v>303.9194</v>
      </c>
      <c r="EP24" s="31">
        <v>-11.8488462277211</v>
      </c>
      <c r="EQ24" s="31">
        <v>-937.338462789111</v>
      </c>
      <c r="ER24" s="31">
        <v>1592.80679999999</v>
      </c>
      <c r="ES24" s="31">
        <v>15.0</v>
      </c>
      <c r="ET24" s="31">
        <v>1.754881279E9</v>
      </c>
      <c r="EU24" s="42">
        <v>0.45924768518518516</v>
      </c>
      <c r="EV24" s="31">
        <v>1.754881279E9</v>
      </c>
      <c r="EW24" s="31">
        <v>1.7548765351E9</v>
      </c>
      <c r="EX24" s="31">
        <v>9.0</v>
      </c>
      <c r="EY24" s="31">
        <v>0.098</v>
      </c>
      <c r="EZ24" s="31">
        <v>-0.002</v>
      </c>
      <c r="FA24" s="31">
        <v>2.828</v>
      </c>
      <c r="FB24" s="31">
        <v>0.297</v>
      </c>
      <c r="FC24" s="31">
        <v>460.0</v>
      </c>
      <c r="FD24" s="31">
        <v>20.0</v>
      </c>
      <c r="FE24" s="31">
        <v>0.56</v>
      </c>
      <c r="FF24" s="31">
        <v>0.06</v>
      </c>
      <c r="FG24" s="31">
        <v>100.0</v>
      </c>
      <c r="FH24" s="31">
        <v>100.0</v>
      </c>
      <c r="FI24" s="31">
        <v>2.828</v>
      </c>
      <c r="FJ24" s="31">
        <v>0.5519</v>
      </c>
      <c r="FK24" s="31">
        <v>2.92973507697512</v>
      </c>
      <c r="FL24" s="31">
        <v>-2.2595428698806E-4</v>
      </c>
      <c r="FM24" s="43">
        <v>5.20417301097471E-9</v>
      </c>
      <c r="FN24" s="43">
        <v>1.17243702350096E-12</v>
      </c>
      <c r="FO24" s="31">
        <v>0.551873338452037</v>
      </c>
      <c r="FP24" s="31">
        <v>0.0</v>
      </c>
      <c r="FQ24" s="31">
        <v>0.0</v>
      </c>
      <c r="FR24" s="31">
        <v>0.0</v>
      </c>
      <c r="FS24" s="31">
        <v>1.0</v>
      </c>
      <c r="FT24" s="31">
        <v>2266.0</v>
      </c>
      <c r="FU24" s="31">
        <v>1.0</v>
      </c>
      <c r="FV24" s="31">
        <v>26.0</v>
      </c>
      <c r="FW24" s="31">
        <v>1.9</v>
      </c>
      <c r="FX24" s="31">
        <v>81.0</v>
      </c>
      <c r="FY24" s="31">
        <v>1.12061</v>
      </c>
      <c r="FZ24" s="31">
        <v>2.55127</v>
      </c>
      <c r="GA24" s="31">
        <v>1.59668</v>
      </c>
      <c r="GB24" s="31">
        <v>2.31689</v>
      </c>
      <c r="GC24" s="31">
        <v>1.5979</v>
      </c>
      <c r="GD24" s="31">
        <v>2.40601</v>
      </c>
      <c r="GE24" s="31">
        <v>44.0847</v>
      </c>
      <c r="GF24" s="31">
        <v>15.6293</v>
      </c>
      <c r="GG24" s="31">
        <v>18.0</v>
      </c>
      <c r="GH24" s="31">
        <v>505.557</v>
      </c>
      <c r="GI24" s="31">
        <v>467.667</v>
      </c>
      <c r="GJ24" s="31">
        <v>36.0898</v>
      </c>
      <c r="GK24" s="31">
        <v>35.8682</v>
      </c>
      <c r="GL24" s="31">
        <v>30.0001</v>
      </c>
      <c r="GM24" s="31">
        <v>35.795</v>
      </c>
      <c r="GN24" s="31">
        <v>35.7189</v>
      </c>
      <c r="GO24" s="31">
        <v>22.4822</v>
      </c>
      <c r="GP24" s="31">
        <v>100.0</v>
      </c>
      <c r="GQ24" s="31">
        <v>0.0</v>
      </c>
      <c r="GR24" s="31">
        <v>-999.9</v>
      </c>
      <c r="GS24" s="31">
        <v>460.0</v>
      </c>
      <c r="GT24" s="31">
        <v>0.0</v>
      </c>
      <c r="GU24" s="31">
        <v>102.544</v>
      </c>
      <c r="GV24" s="31">
        <v>99.6112</v>
      </c>
    </row>
    <row r="25" ht="14.25" customHeight="1">
      <c r="A25" s="41" t="s">
        <v>111</v>
      </c>
      <c r="B25" s="41" t="s">
        <v>59</v>
      </c>
      <c r="C25" s="41" t="s">
        <v>87</v>
      </c>
      <c r="D25" s="31">
        <v>27.0</v>
      </c>
      <c r="E25" s="31">
        <v>1.7548815315E9</v>
      </c>
      <c r="F25" s="31">
        <v>4013.5</v>
      </c>
      <c r="G25" s="31" t="s">
        <v>475</v>
      </c>
      <c r="H25" s="42">
        <v>0.46216435185185184</v>
      </c>
      <c r="I25" s="31" t="s">
        <v>409</v>
      </c>
      <c r="J25" s="31">
        <v>1.7548815315E9</v>
      </c>
      <c r="K25" s="31">
        <v>0.00500998484866513</v>
      </c>
      <c r="L25" s="31">
        <v>5.00998484866513</v>
      </c>
      <c r="M25" s="31">
        <v>3.39742588666071</v>
      </c>
      <c r="N25" s="31">
        <v>453.20499515218</v>
      </c>
      <c r="O25" s="31">
        <v>426.647203533363</v>
      </c>
      <c r="P25" s="31">
        <v>43.1012576656948</v>
      </c>
      <c r="Q25" s="31">
        <v>45.7842102553628</v>
      </c>
      <c r="R25" s="31">
        <v>0.358175329385898</v>
      </c>
      <c r="S25" s="31">
        <v>2.7632066776402</v>
      </c>
      <c r="T25" s="31">
        <v>0.334237086403404</v>
      </c>
      <c r="U25" s="31">
        <v>0.210915465385742</v>
      </c>
      <c r="V25" s="31">
        <v>31.4266548757697</v>
      </c>
      <c r="W25" s="31">
        <v>34.96559713525</v>
      </c>
      <c r="X25" s="31">
        <v>35.0886</v>
      </c>
      <c r="Y25" s="31">
        <v>5.67614353146092</v>
      </c>
      <c r="Z25" s="31">
        <v>70.4373272534753</v>
      </c>
      <c r="AA25" s="31">
        <v>4.2361646396006</v>
      </c>
      <c r="AB25" s="31">
        <v>6.01409054655973</v>
      </c>
      <c r="AC25" s="31">
        <v>1.43997889186031</v>
      </c>
      <c r="AD25" s="31">
        <v>-220.940331826132</v>
      </c>
      <c r="AE25" s="31">
        <v>156.26952832678</v>
      </c>
      <c r="AF25" s="31">
        <v>13.2866796771056</v>
      </c>
      <c r="AG25" s="31">
        <v>-19.9574689464765</v>
      </c>
      <c r="AH25" s="31">
        <v>0.0</v>
      </c>
      <c r="AI25" s="31">
        <v>0.0</v>
      </c>
      <c r="AJ25" s="31">
        <v>1.0</v>
      </c>
      <c r="AK25" s="31">
        <v>0.0</v>
      </c>
      <c r="AL25" s="31">
        <v>46734.0</v>
      </c>
      <c r="AM25" s="31" t="s">
        <v>410</v>
      </c>
      <c r="AN25" s="31">
        <v>8173.37</v>
      </c>
      <c r="AO25" s="31">
        <v>559.295999999999</v>
      </c>
      <c r="AP25" s="31">
        <v>2893.93</v>
      </c>
      <c r="AQ25" s="31">
        <v>0.806734786259515</v>
      </c>
      <c r="AR25" s="31">
        <v>-2.38169762951563</v>
      </c>
      <c r="AS25" s="31" t="s">
        <v>476</v>
      </c>
      <c r="AT25" s="31">
        <v>8197.0</v>
      </c>
      <c r="AU25" s="31">
        <v>730.215384615384</v>
      </c>
      <c r="AV25" s="31">
        <v>2122.0</v>
      </c>
      <c r="AW25" s="31">
        <v>0.655883419125643</v>
      </c>
      <c r="AX25" s="31">
        <v>0.5</v>
      </c>
      <c r="AY25" s="31">
        <v>160.191771023714</v>
      </c>
      <c r="AZ25" s="31">
        <v>3.39742588666071</v>
      </c>
      <c r="BA25" s="31">
        <v>52.5335632474131</v>
      </c>
      <c r="BB25" s="31">
        <v>0.0360762820664539</v>
      </c>
      <c r="BC25" s="31">
        <v>0.363774740810556</v>
      </c>
      <c r="BD25" s="31">
        <v>522.557587242366</v>
      </c>
      <c r="BE25" s="31" t="s">
        <v>477</v>
      </c>
      <c r="BF25" s="31">
        <v>-630.67</v>
      </c>
      <c r="BG25" s="31">
        <v>-630.67</v>
      </c>
      <c r="BH25" s="31">
        <v>1.29720546654099</v>
      </c>
      <c r="BI25" s="31">
        <v>0.505612592640823</v>
      </c>
      <c r="BJ25" s="31">
        <v>0.219012086477898</v>
      </c>
      <c r="BK25" s="31">
        <v>0.890625873732079</v>
      </c>
      <c r="BL25" s="31">
        <v>0.330642833095037</v>
      </c>
      <c r="BM25" s="31">
        <v>-0.436685806022484</v>
      </c>
      <c r="BN25" s="31">
        <v>1.43668580602248</v>
      </c>
      <c r="BO25" s="31" t="s">
        <v>413</v>
      </c>
      <c r="BP25" s="31" t="s">
        <v>413</v>
      </c>
      <c r="BQ25" s="31" t="s">
        <v>413</v>
      </c>
      <c r="BR25" s="31" t="s">
        <v>413</v>
      </c>
      <c r="BS25" s="31" t="s">
        <v>413</v>
      </c>
      <c r="BT25" s="31" t="s">
        <v>413</v>
      </c>
      <c r="BU25" s="31" t="s">
        <v>413</v>
      </c>
      <c r="BV25" s="31" t="s">
        <v>413</v>
      </c>
      <c r="BW25" s="31" t="s">
        <v>413</v>
      </c>
      <c r="BX25" s="31" t="s">
        <v>413</v>
      </c>
      <c r="BY25" s="31" t="s">
        <v>413</v>
      </c>
      <c r="BZ25" s="31" t="s">
        <v>413</v>
      </c>
      <c r="CA25" s="31" t="s">
        <v>413</v>
      </c>
      <c r="CB25" s="31" t="s">
        <v>413</v>
      </c>
      <c r="CC25" s="31" t="s">
        <v>413</v>
      </c>
      <c r="CD25" s="31" t="s">
        <v>413</v>
      </c>
      <c r="CE25" s="31" t="s">
        <v>413</v>
      </c>
      <c r="CF25" s="31" t="s">
        <v>413</v>
      </c>
      <c r="CG25" s="31" t="s">
        <v>413</v>
      </c>
      <c r="CH25" s="31" t="s">
        <v>413</v>
      </c>
      <c r="CI25" s="31" t="s">
        <v>413</v>
      </c>
      <c r="CJ25" s="31" t="s">
        <v>413</v>
      </c>
      <c r="CK25" s="31" t="s">
        <v>413</v>
      </c>
      <c r="CL25" s="31" t="s">
        <v>413</v>
      </c>
      <c r="CM25" s="31" t="s">
        <v>413</v>
      </c>
      <c r="CN25" s="31" t="s">
        <v>413</v>
      </c>
      <c r="CO25" s="31" t="s">
        <v>413</v>
      </c>
      <c r="CP25" s="31" t="s">
        <v>413</v>
      </c>
      <c r="CQ25" s="31" t="s">
        <v>413</v>
      </c>
      <c r="CR25" s="31" t="s">
        <v>413</v>
      </c>
      <c r="CS25" s="31" t="s">
        <v>413</v>
      </c>
      <c r="CT25" s="31" t="s">
        <v>413</v>
      </c>
      <c r="CU25" s="31" t="s">
        <v>413</v>
      </c>
      <c r="CV25" s="31" t="s">
        <v>413</v>
      </c>
      <c r="CW25" s="31">
        <v>190.027</v>
      </c>
      <c r="CX25" s="31">
        <v>160.191771023714</v>
      </c>
      <c r="CY25" s="31">
        <v>0.842994790338819</v>
      </c>
      <c r="CZ25" s="31">
        <v>0.165379945353922</v>
      </c>
      <c r="DA25" s="31">
        <v>6.0</v>
      </c>
      <c r="DB25" s="31">
        <v>0.5</v>
      </c>
      <c r="DC25" s="31" t="s">
        <v>414</v>
      </c>
      <c r="DD25" s="31">
        <v>2.0</v>
      </c>
      <c r="DE25" s="31">
        <v>1.7548815315E9</v>
      </c>
      <c r="DF25" s="31">
        <v>453.205</v>
      </c>
      <c r="DG25" s="31">
        <v>460.006</v>
      </c>
      <c r="DH25" s="31">
        <v>41.9326</v>
      </c>
      <c r="DI25" s="31">
        <v>36.1732</v>
      </c>
      <c r="DJ25" s="31">
        <v>450.376</v>
      </c>
      <c r="DK25" s="31">
        <v>41.3807</v>
      </c>
      <c r="DL25" s="31">
        <v>500.042</v>
      </c>
      <c r="DM25" s="31">
        <v>100.923</v>
      </c>
      <c r="DN25" s="31">
        <v>0.100181</v>
      </c>
      <c r="DO25" s="31">
        <v>36.1376</v>
      </c>
      <c r="DP25" s="31">
        <v>35.0886</v>
      </c>
      <c r="DQ25" s="31">
        <v>999.9</v>
      </c>
      <c r="DR25" s="31">
        <v>0.0</v>
      </c>
      <c r="DS25" s="31">
        <v>0.0</v>
      </c>
      <c r="DT25" s="31">
        <v>8997.5</v>
      </c>
      <c r="DU25" s="31">
        <v>0.0</v>
      </c>
      <c r="DV25" s="31">
        <v>1327.46</v>
      </c>
      <c r="DW25" s="31">
        <v>190.027</v>
      </c>
      <c r="DX25" s="31">
        <v>0.900145</v>
      </c>
      <c r="DY25" s="31">
        <v>0.0998551</v>
      </c>
      <c r="DZ25" s="31">
        <v>0.0</v>
      </c>
      <c r="EA25" s="31">
        <v>728.055</v>
      </c>
      <c r="EB25" s="31">
        <v>0.0999973</v>
      </c>
      <c r="EC25" s="31">
        <v>3368.99</v>
      </c>
      <c r="ED25" s="31">
        <v>1684.38</v>
      </c>
      <c r="EE25" s="31">
        <v>41.25</v>
      </c>
      <c r="EF25" s="31">
        <v>44.875</v>
      </c>
      <c r="EG25" s="31">
        <v>42.875</v>
      </c>
      <c r="EH25" s="31">
        <v>44.437</v>
      </c>
      <c r="EI25" s="31">
        <v>43.937</v>
      </c>
      <c r="EJ25" s="31">
        <v>170.96</v>
      </c>
      <c r="EK25" s="31">
        <v>18.97</v>
      </c>
      <c r="EL25" s="31">
        <v>0.0</v>
      </c>
      <c r="EM25" s="31">
        <v>133.400000095367</v>
      </c>
      <c r="EN25" s="31">
        <v>0.0</v>
      </c>
      <c r="EO25" s="31">
        <v>730.215384615384</v>
      </c>
      <c r="EP25" s="31">
        <v>-13.7001709996443</v>
      </c>
      <c r="EQ25" s="31">
        <v>-797.167520442998</v>
      </c>
      <c r="ER25" s="31">
        <v>3387.51269230769</v>
      </c>
      <c r="ES25" s="31">
        <v>15.0</v>
      </c>
      <c r="ET25" s="31">
        <v>1.754881279E9</v>
      </c>
      <c r="EU25" s="42">
        <v>0.45924768518518516</v>
      </c>
      <c r="EV25" s="31">
        <v>1.754881279E9</v>
      </c>
      <c r="EW25" s="31">
        <v>1.7548765351E9</v>
      </c>
      <c r="EX25" s="31">
        <v>9.0</v>
      </c>
      <c r="EY25" s="31">
        <v>0.098</v>
      </c>
      <c r="EZ25" s="31">
        <v>-0.002</v>
      </c>
      <c r="FA25" s="31">
        <v>2.828</v>
      </c>
      <c r="FB25" s="31">
        <v>0.297</v>
      </c>
      <c r="FC25" s="31">
        <v>460.0</v>
      </c>
      <c r="FD25" s="31">
        <v>20.0</v>
      </c>
      <c r="FE25" s="31">
        <v>0.56</v>
      </c>
      <c r="FF25" s="31">
        <v>0.06</v>
      </c>
      <c r="FG25" s="31">
        <v>100.0</v>
      </c>
      <c r="FH25" s="31">
        <v>100.0</v>
      </c>
      <c r="FI25" s="31">
        <v>2.829</v>
      </c>
      <c r="FJ25" s="31">
        <v>0.5519</v>
      </c>
      <c r="FK25" s="31">
        <v>2.92973507697512</v>
      </c>
      <c r="FL25" s="31">
        <v>-2.2595428698806E-4</v>
      </c>
      <c r="FM25" s="43">
        <v>5.20417301097471E-9</v>
      </c>
      <c r="FN25" s="43">
        <v>1.17243702350096E-12</v>
      </c>
      <c r="FO25" s="31">
        <v>0.551873338452037</v>
      </c>
      <c r="FP25" s="31">
        <v>0.0</v>
      </c>
      <c r="FQ25" s="31">
        <v>0.0</v>
      </c>
      <c r="FR25" s="31">
        <v>0.0</v>
      </c>
      <c r="FS25" s="31">
        <v>1.0</v>
      </c>
      <c r="FT25" s="31">
        <v>2266.0</v>
      </c>
      <c r="FU25" s="31">
        <v>1.0</v>
      </c>
      <c r="FV25" s="31">
        <v>26.0</v>
      </c>
      <c r="FW25" s="31">
        <v>4.2</v>
      </c>
      <c r="FX25" s="31">
        <v>83.3</v>
      </c>
      <c r="FY25" s="31">
        <v>1.12061</v>
      </c>
      <c r="FZ25" s="31">
        <v>2.55493</v>
      </c>
      <c r="GA25" s="31">
        <v>1.59668</v>
      </c>
      <c r="GB25" s="31">
        <v>2.31689</v>
      </c>
      <c r="GC25" s="31">
        <v>1.5979</v>
      </c>
      <c r="GD25" s="31">
        <v>2.30225</v>
      </c>
      <c r="GE25" s="31">
        <v>44.2232</v>
      </c>
      <c r="GF25" s="31">
        <v>15.5943</v>
      </c>
      <c r="GG25" s="31">
        <v>18.0</v>
      </c>
      <c r="GH25" s="31">
        <v>508.29</v>
      </c>
      <c r="GI25" s="31">
        <v>467.201</v>
      </c>
      <c r="GJ25" s="31">
        <v>36.0898</v>
      </c>
      <c r="GK25" s="31">
        <v>35.8363</v>
      </c>
      <c r="GL25" s="31">
        <v>29.9998</v>
      </c>
      <c r="GM25" s="31">
        <v>35.7884</v>
      </c>
      <c r="GN25" s="31">
        <v>35.713</v>
      </c>
      <c r="GO25" s="31">
        <v>22.4869</v>
      </c>
      <c r="GP25" s="31">
        <v>100.0</v>
      </c>
      <c r="GQ25" s="31">
        <v>0.0</v>
      </c>
      <c r="GR25" s="31">
        <v>-999.9</v>
      </c>
      <c r="GS25" s="31">
        <v>460.0</v>
      </c>
      <c r="GT25" s="31">
        <v>0.0</v>
      </c>
      <c r="GU25" s="31">
        <v>102.547</v>
      </c>
      <c r="GV25" s="31">
        <v>99.6263</v>
      </c>
    </row>
    <row r="26" ht="14.25" customHeight="1">
      <c r="A26" s="41" t="s">
        <v>111</v>
      </c>
      <c r="B26" s="41" t="s">
        <v>61</v>
      </c>
      <c r="C26" s="41" t="s">
        <v>86</v>
      </c>
      <c r="D26" s="31">
        <v>36.0</v>
      </c>
      <c r="E26" s="31">
        <v>1.7548828261E9</v>
      </c>
      <c r="F26" s="31">
        <v>5308.09999990463</v>
      </c>
      <c r="G26" s="31" t="s">
        <v>478</v>
      </c>
      <c r="H26" s="42">
        <v>0.47715277777777776</v>
      </c>
      <c r="I26" s="31" t="s">
        <v>409</v>
      </c>
      <c r="J26" s="31">
        <v>1.7548828261E9</v>
      </c>
      <c r="K26" s="31">
        <v>0.00380567080668486</v>
      </c>
      <c r="L26" s="31">
        <v>3.80567080668486</v>
      </c>
      <c r="M26" s="31">
        <v>3.72320851348305</v>
      </c>
      <c r="N26" s="31">
        <v>453.423994727031</v>
      </c>
      <c r="O26" s="31">
        <v>416.579603208524</v>
      </c>
      <c r="P26" s="31">
        <v>42.0699085170064</v>
      </c>
      <c r="Q26" s="31">
        <v>45.790782435484</v>
      </c>
      <c r="R26" s="31">
        <v>0.243308859599361</v>
      </c>
      <c r="S26" s="31">
        <v>2.76803926080204</v>
      </c>
      <c r="T26" s="31">
        <v>0.23202117477651</v>
      </c>
      <c r="U26" s="31">
        <v>0.145983742409437</v>
      </c>
      <c r="V26" s="31">
        <v>31.4411595378423</v>
      </c>
      <c r="W26" s="31">
        <v>34.8334952866572</v>
      </c>
      <c r="X26" s="31">
        <v>34.4298</v>
      </c>
      <c r="Y26" s="31">
        <v>5.47244822164318</v>
      </c>
      <c r="Z26" s="31">
        <v>66.3932984873163</v>
      </c>
      <c r="AA26" s="31">
        <v>3.89280834712987</v>
      </c>
      <c r="AB26" s="31">
        <v>5.86325493057638</v>
      </c>
      <c r="AC26" s="31">
        <v>1.57963987451331</v>
      </c>
      <c r="AD26" s="31">
        <v>-167.830082574802</v>
      </c>
      <c r="AE26" s="31">
        <v>185.956166708198</v>
      </c>
      <c r="AF26" s="31">
        <v>15.6973744079142</v>
      </c>
      <c r="AG26" s="31">
        <v>65.2646180791529</v>
      </c>
      <c r="AH26" s="31">
        <v>0.0</v>
      </c>
      <c r="AI26" s="31">
        <v>0.0</v>
      </c>
      <c r="AJ26" s="31">
        <v>1.0</v>
      </c>
      <c r="AK26" s="31">
        <v>0.0</v>
      </c>
      <c r="AL26" s="31">
        <v>46936.0</v>
      </c>
      <c r="AM26" s="31" t="s">
        <v>410</v>
      </c>
      <c r="AN26" s="31">
        <v>8173.37</v>
      </c>
      <c r="AO26" s="31">
        <v>559.295999999999</v>
      </c>
      <c r="AP26" s="31">
        <v>2893.93</v>
      </c>
      <c r="AQ26" s="31">
        <v>0.806734786259515</v>
      </c>
      <c r="AR26" s="31">
        <v>-2.38169762951563</v>
      </c>
      <c r="AS26" s="31" t="s">
        <v>479</v>
      </c>
      <c r="AT26" s="31">
        <v>8157.22</v>
      </c>
      <c r="AU26" s="31">
        <v>624.641538461538</v>
      </c>
      <c r="AV26" s="31">
        <v>1952.57</v>
      </c>
      <c r="AW26" s="31">
        <v>0.680092627428702</v>
      </c>
      <c r="AX26" s="31">
        <v>0.5</v>
      </c>
      <c r="AY26" s="31">
        <v>160.265171988519</v>
      </c>
      <c r="AZ26" s="31">
        <v>3.72320851348305</v>
      </c>
      <c r="BA26" s="31">
        <v>54.4975809514925</v>
      </c>
      <c r="BB26" s="31">
        <v>0.0380925316913896</v>
      </c>
      <c r="BC26" s="31">
        <v>0.482113317320249</v>
      </c>
      <c r="BD26" s="31">
        <v>511.624968386281</v>
      </c>
      <c r="BE26" s="31" t="s">
        <v>480</v>
      </c>
      <c r="BF26" s="31">
        <v>-1483.87</v>
      </c>
      <c r="BG26" s="31">
        <v>-1483.87</v>
      </c>
      <c r="BH26" s="31">
        <v>1.75995738949179</v>
      </c>
      <c r="BI26" s="31">
        <v>0.386425621148182</v>
      </c>
      <c r="BJ26" s="31">
        <v>0.215030380556443</v>
      </c>
      <c r="BK26" s="31">
        <v>0.953099290978272</v>
      </c>
      <c r="BL26" s="31">
        <v>0.403215236306847</v>
      </c>
      <c r="BM26" s="31">
        <v>-0.917975112358719</v>
      </c>
      <c r="BN26" s="31">
        <v>1.91797511235871</v>
      </c>
      <c r="BO26" s="31" t="s">
        <v>413</v>
      </c>
      <c r="BP26" s="31" t="s">
        <v>413</v>
      </c>
      <c r="BQ26" s="31" t="s">
        <v>413</v>
      </c>
      <c r="BR26" s="31" t="s">
        <v>413</v>
      </c>
      <c r="BS26" s="31" t="s">
        <v>413</v>
      </c>
      <c r="BT26" s="31" t="s">
        <v>413</v>
      </c>
      <c r="BU26" s="31" t="s">
        <v>413</v>
      </c>
      <c r="BV26" s="31" t="s">
        <v>413</v>
      </c>
      <c r="BW26" s="31" t="s">
        <v>413</v>
      </c>
      <c r="BX26" s="31" t="s">
        <v>413</v>
      </c>
      <c r="BY26" s="31" t="s">
        <v>413</v>
      </c>
      <c r="BZ26" s="31" t="s">
        <v>413</v>
      </c>
      <c r="CA26" s="31" t="s">
        <v>413</v>
      </c>
      <c r="CB26" s="31" t="s">
        <v>413</v>
      </c>
      <c r="CC26" s="31" t="s">
        <v>413</v>
      </c>
      <c r="CD26" s="31" t="s">
        <v>413</v>
      </c>
      <c r="CE26" s="31" t="s">
        <v>413</v>
      </c>
      <c r="CF26" s="31" t="s">
        <v>413</v>
      </c>
      <c r="CG26" s="31" t="s">
        <v>413</v>
      </c>
      <c r="CH26" s="31" t="s">
        <v>413</v>
      </c>
      <c r="CI26" s="31" t="s">
        <v>413</v>
      </c>
      <c r="CJ26" s="31" t="s">
        <v>413</v>
      </c>
      <c r="CK26" s="31" t="s">
        <v>413</v>
      </c>
      <c r="CL26" s="31" t="s">
        <v>413</v>
      </c>
      <c r="CM26" s="31" t="s">
        <v>413</v>
      </c>
      <c r="CN26" s="31" t="s">
        <v>413</v>
      </c>
      <c r="CO26" s="31" t="s">
        <v>413</v>
      </c>
      <c r="CP26" s="31" t="s">
        <v>413</v>
      </c>
      <c r="CQ26" s="31" t="s">
        <v>413</v>
      </c>
      <c r="CR26" s="31" t="s">
        <v>413</v>
      </c>
      <c r="CS26" s="31" t="s">
        <v>413</v>
      </c>
      <c r="CT26" s="31" t="s">
        <v>413</v>
      </c>
      <c r="CU26" s="31" t="s">
        <v>413</v>
      </c>
      <c r="CV26" s="31" t="s">
        <v>413</v>
      </c>
      <c r="CW26" s="31">
        <v>190.114</v>
      </c>
      <c r="CX26" s="31">
        <v>160.265171988519</v>
      </c>
      <c r="CY26" s="31">
        <v>0.84299510813785</v>
      </c>
      <c r="CZ26" s="31">
        <v>0.165380558706051</v>
      </c>
      <c r="DA26" s="31">
        <v>6.0</v>
      </c>
      <c r="DB26" s="31">
        <v>0.5</v>
      </c>
      <c r="DC26" s="31" t="s">
        <v>414</v>
      </c>
      <c r="DD26" s="31">
        <v>2.0</v>
      </c>
      <c r="DE26" s="31">
        <v>1.7548828261E9</v>
      </c>
      <c r="DF26" s="31">
        <v>453.424</v>
      </c>
      <c r="DG26" s="31">
        <v>459.962</v>
      </c>
      <c r="DH26" s="31">
        <v>38.5469</v>
      </c>
      <c r="DI26" s="31">
        <v>34.1565</v>
      </c>
      <c r="DJ26" s="31">
        <v>450.654</v>
      </c>
      <c r="DK26" s="31">
        <v>37.995</v>
      </c>
      <c r="DL26" s="31">
        <v>500.042</v>
      </c>
      <c r="DM26" s="31">
        <v>100.889</v>
      </c>
      <c r="DN26" s="31">
        <v>0.0998823</v>
      </c>
      <c r="DO26" s="31">
        <v>35.6759</v>
      </c>
      <c r="DP26" s="31">
        <v>34.4298</v>
      </c>
      <c r="DQ26" s="31">
        <v>999.9</v>
      </c>
      <c r="DR26" s="31">
        <v>0.0</v>
      </c>
      <c r="DS26" s="31">
        <v>0.0</v>
      </c>
      <c r="DT26" s="31">
        <v>9026.25</v>
      </c>
      <c r="DU26" s="31">
        <v>0.0</v>
      </c>
      <c r="DV26" s="31">
        <v>386.423</v>
      </c>
      <c r="DW26" s="31">
        <v>190.114</v>
      </c>
      <c r="DX26" s="31">
        <v>0.900092</v>
      </c>
      <c r="DY26" s="31">
        <v>0.0999081</v>
      </c>
      <c r="DZ26" s="31">
        <v>0.0</v>
      </c>
      <c r="EA26" s="31">
        <v>621.195</v>
      </c>
      <c r="EB26" s="31">
        <v>0.0999973</v>
      </c>
      <c r="EC26" s="31">
        <v>2783.31</v>
      </c>
      <c r="ED26" s="31">
        <v>1685.12</v>
      </c>
      <c r="EE26" s="31">
        <v>40.375</v>
      </c>
      <c r="EF26" s="31">
        <v>44.125</v>
      </c>
      <c r="EG26" s="31">
        <v>41.937</v>
      </c>
      <c r="EH26" s="31">
        <v>43.625</v>
      </c>
      <c r="EI26" s="31">
        <v>43.062</v>
      </c>
      <c r="EJ26" s="31">
        <v>171.03</v>
      </c>
      <c r="EK26" s="31">
        <v>18.98</v>
      </c>
      <c r="EL26" s="31">
        <v>0.0</v>
      </c>
      <c r="EM26" s="31">
        <v>144.799999952316</v>
      </c>
      <c r="EN26" s="31">
        <v>0.0</v>
      </c>
      <c r="EO26" s="31">
        <v>624.641538461538</v>
      </c>
      <c r="EP26" s="31">
        <v>-21.6355556388969</v>
      </c>
      <c r="EQ26" s="31">
        <v>-20.8806826025996</v>
      </c>
      <c r="ER26" s="31">
        <v>2847.38384615384</v>
      </c>
      <c r="ES26" s="31">
        <v>15.0</v>
      </c>
      <c r="ET26" s="31">
        <v>1.7548822846E9</v>
      </c>
      <c r="EU26" s="42">
        <v>0.47087962962962965</v>
      </c>
      <c r="EV26" s="31">
        <v>1.7548822846E9</v>
      </c>
      <c r="EW26" s="31">
        <v>1.7548765351E9</v>
      </c>
      <c r="EX26" s="31">
        <v>11.0</v>
      </c>
      <c r="EY26" s="31">
        <v>-0.02</v>
      </c>
      <c r="EZ26" s="31">
        <v>-0.002</v>
      </c>
      <c r="FA26" s="31">
        <v>2.768</v>
      </c>
      <c r="FB26" s="31">
        <v>0.297</v>
      </c>
      <c r="FC26" s="31">
        <v>460.0</v>
      </c>
      <c r="FD26" s="31">
        <v>20.0</v>
      </c>
      <c r="FE26" s="31">
        <v>0.23</v>
      </c>
      <c r="FF26" s="31">
        <v>0.06</v>
      </c>
      <c r="FG26" s="31">
        <v>100.0</v>
      </c>
      <c r="FH26" s="31">
        <v>100.0</v>
      </c>
      <c r="FI26" s="31">
        <v>2.77</v>
      </c>
      <c r="FJ26" s="31">
        <v>0.5519</v>
      </c>
      <c r="FK26" s="31">
        <v>2.8706141843172</v>
      </c>
      <c r="FL26" s="31">
        <v>-2.2595428698806E-4</v>
      </c>
      <c r="FM26" s="43">
        <v>5.20417301097471E-9</v>
      </c>
      <c r="FN26" s="43">
        <v>1.17243702350096E-12</v>
      </c>
      <c r="FO26" s="31">
        <v>0.551873338452037</v>
      </c>
      <c r="FP26" s="31">
        <v>0.0</v>
      </c>
      <c r="FQ26" s="31">
        <v>0.0</v>
      </c>
      <c r="FR26" s="31">
        <v>0.0</v>
      </c>
      <c r="FS26" s="31">
        <v>1.0</v>
      </c>
      <c r="FT26" s="31">
        <v>2266.0</v>
      </c>
      <c r="FU26" s="31">
        <v>1.0</v>
      </c>
      <c r="FV26" s="31">
        <v>26.0</v>
      </c>
      <c r="FW26" s="31">
        <v>9.0</v>
      </c>
      <c r="FX26" s="31">
        <v>104.8</v>
      </c>
      <c r="FY26" s="31">
        <v>1.12549</v>
      </c>
      <c r="FZ26" s="31">
        <v>2.55737</v>
      </c>
      <c r="GA26" s="31">
        <v>1.59668</v>
      </c>
      <c r="GB26" s="31">
        <v>2.31689</v>
      </c>
      <c r="GC26" s="31">
        <v>1.5979</v>
      </c>
      <c r="GD26" s="31">
        <v>2.33521</v>
      </c>
      <c r="GE26" s="31">
        <v>43.4264</v>
      </c>
      <c r="GF26" s="31">
        <v>15.4192</v>
      </c>
      <c r="GG26" s="31">
        <v>18.0</v>
      </c>
      <c r="GH26" s="31">
        <v>508.775</v>
      </c>
      <c r="GI26" s="31">
        <v>463.355</v>
      </c>
      <c r="GJ26" s="31">
        <v>35.7041</v>
      </c>
      <c r="GK26" s="31">
        <v>36.1415</v>
      </c>
      <c r="GL26" s="31">
        <v>29.9997</v>
      </c>
      <c r="GM26" s="31">
        <v>36.1188</v>
      </c>
      <c r="GN26" s="31">
        <v>36.0487</v>
      </c>
      <c r="GO26" s="31">
        <v>22.5751</v>
      </c>
      <c r="GP26" s="31">
        <v>100.0</v>
      </c>
      <c r="GQ26" s="31">
        <v>0.0</v>
      </c>
      <c r="GR26" s="31">
        <v>-999.9</v>
      </c>
      <c r="GS26" s="31">
        <v>460.0</v>
      </c>
      <c r="GT26" s="31">
        <v>0.0</v>
      </c>
      <c r="GU26" s="31">
        <v>102.486</v>
      </c>
      <c r="GV26" s="31">
        <v>99.5946</v>
      </c>
    </row>
    <row r="27" ht="14.25" customHeight="1">
      <c r="A27" s="41" t="s">
        <v>111</v>
      </c>
      <c r="B27" s="41" t="s">
        <v>61</v>
      </c>
      <c r="C27" s="41" t="s">
        <v>87</v>
      </c>
      <c r="D27" s="31">
        <v>37.0</v>
      </c>
      <c r="E27" s="31">
        <v>1.7548829621E9</v>
      </c>
      <c r="F27" s="31">
        <v>5444.09999990463</v>
      </c>
      <c r="G27" s="31" t="s">
        <v>481</v>
      </c>
      <c r="H27" s="42">
        <v>0.4787268518518519</v>
      </c>
      <c r="I27" s="31" t="s">
        <v>409</v>
      </c>
      <c r="J27" s="31">
        <v>1.7548829621E9</v>
      </c>
      <c r="K27" s="31">
        <v>0.00391968378045275</v>
      </c>
      <c r="L27" s="31">
        <v>3.91968378045275</v>
      </c>
      <c r="M27" s="31">
        <v>3.81358775714959</v>
      </c>
      <c r="N27" s="31">
        <v>453.309994576555</v>
      </c>
      <c r="O27" s="31">
        <v>415.890186956667</v>
      </c>
      <c r="P27" s="31">
        <v>42.0021041192025</v>
      </c>
      <c r="Q27" s="31">
        <v>45.7812523296287</v>
      </c>
      <c r="R27" s="31">
        <v>0.245846831652674</v>
      </c>
      <c r="S27" s="31">
        <v>2.76446735874778</v>
      </c>
      <c r="T27" s="31">
        <v>0.234314290932651</v>
      </c>
      <c r="U27" s="31">
        <v>0.147437494600545</v>
      </c>
      <c r="V27" s="31">
        <v>31.4416560156239</v>
      </c>
      <c r="W27" s="31">
        <v>34.7769867618073</v>
      </c>
      <c r="X27" s="31">
        <v>34.6047</v>
      </c>
      <c r="Y27" s="31">
        <v>5.52589621499816</v>
      </c>
      <c r="Z27" s="31">
        <v>66.8687674483376</v>
      </c>
      <c r="AA27" s="31">
        <v>3.9154176411896</v>
      </c>
      <c r="AB27" s="31">
        <v>5.85537582132738</v>
      </c>
      <c r="AC27" s="31">
        <v>1.61047857380856</v>
      </c>
      <c r="AD27" s="31">
        <v>-172.858054717966</v>
      </c>
      <c r="AE27" s="31">
        <v>156.012940971467</v>
      </c>
      <c r="AF27" s="31">
        <v>13.1964019769973</v>
      </c>
      <c r="AG27" s="31">
        <v>27.7929442461222</v>
      </c>
      <c r="AH27" s="31">
        <v>0.0</v>
      </c>
      <c r="AI27" s="31">
        <v>0.0</v>
      </c>
      <c r="AJ27" s="31">
        <v>1.0</v>
      </c>
      <c r="AK27" s="31">
        <v>0.0</v>
      </c>
      <c r="AL27" s="31">
        <v>46842.0</v>
      </c>
      <c r="AM27" s="31" t="s">
        <v>410</v>
      </c>
      <c r="AN27" s="31">
        <v>8173.37</v>
      </c>
      <c r="AO27" s="31">
        <v>559.295999999999</v>
      </c>
      <c r="AP27" s="31">
        <v>2893.93</v>
      </c>
      <c r="AQ27" s="31">
        <v>0.806734786259515</v>
      </c>
      <c r="AR27" s="31">
        <v>-2.38169762951563</v>
      </c>
      <c r="AS27" s="31" t="s">
        <v>482</v>
      </c>
      <c r="AT27" s="31">
        <v>8214.96</v>
      </c>
      <c r="AU27" s="31">
        <v>632.21</v>
      </c>
      <c r="AV27" s="31">
        <v>1836.89</v>
      </c>
      <c r="AW27" s="31">
        <v>0.655825879611735</v>
      </c>
      <c r="AX27" s="31">
        <v>0.5</v>
      </c>
      <c r="AY27" s="31">
        <v>160.262400008095</v>
      </c>
      <c r="AZ27" s="31">
        <v>3.81358775714959</v>
      </c>
      <c r="BA27" s="31">
        <v>52.5521147269984</v>
      </c>
      <c r="BB27" s="31">
        <v>0.0386571359617246</v>
      </c>
      <c r="BC27" s="31">
        <v>0.575450897985181</v>
      </c>
      <c r="BD27" s="31">
        <v>503.319502341354</v>
      </c>
      <c r="BE27" s="31" t="s">
        <v>483</v>
      </c>
      <c r="BF27" s="31">
        <v>-668.87</v>
      </c>
      <c r="BG27" s="31">
        <v>-668.87</v>
      </c>
      <c r="BH27" s="31">
        <v>1.36413176619176</v>
      </c>
      <c r="BI27" s="31">
        <v>0.480764319009003</v>
      </c>
      <c r="BJ27" s="31">
        <v>0.29668799820366</v>
      </c>
      <c r="BK27" s="31">
        <v>0.942928661217883</v>
      </c>
      <c r="BL27" s="31">
        <v>0.452764758844426</v>
      </c>
      <c r="BM27" s="31">
        <v>-0.50864242902762</v>
      </c>
      <c r="BN27" s="31">
        <v>1.50864242902762</v>
      </c>
      <c r="BO27" s="31" t="s">
        <v>413</v>
      </c>
      <c r="BP27" s="31" t="s">
        <v>413</v>
      </c>
      <c r="BQ27" s="31" t="s">
        <v>413</v>
      </c>
      <c r="BR27" s="31" t="s">
        <v>413</v>
      </c>
      <c r="BS27" s="31" t="s">
        <v>413</v>
      </c>
      <c r="BT27" s="31" t="s">
        <v>413</v>
      </c>
      <c r="BU27" s="31" t="s">
        <v>413</v>
      </c>
      <c r="BV27" s="31" t="s">
        <v>413</v>
      </c>
      <c r="BW27" s="31" t="s">
        <v>413</v>
      </c>
      <c r="BX27" s="31" t="s">
        <v>413</v>
      </c>
      <c r="BY27" s="31" t="s">
        <v>413</v>
      </c>
      <c r="BZ27" s="31" t="s">
        <v>413</v>
      </c>
      <c r="CA27" s="31" t="s">
        <v>413</v>
      </c>
      <c r="CB27" s="31" t="s">
        <v>413</v>
      </c>
      <c r="CC27" s="31" t="s">
        <v>413</v>
      </c>
      <c r="CD27" s="31" t="s">
        <v>413</v>
      </c>
      <c r="CE27" s="31" t="s">
        <v>413</v>
      </c>
      <c r="CF27" s="31" t="s">
        <v>413</v>
      </c>
      <c r="CG27" s="31" t="s">
        <v>413</v>
      </c>
      <c r="CH27" s="31" t="s">
        <v>413</v>
      </c>
      <c r="CI27" s="31" t="s">
        <v>413</v>
      </c>
      <c r="CJ27" s="31" t="s">
        <v>413</v>
      </c>
      <c r="CK27" s="31" t="s">
        <v>413</v>
      </c>
      <c r="CL27" s="31" t="s">
        <v>413</v>
      </c>
      <c r="CM27" s="31" t="s">
        <v>413</v>
      </c>
      <c r="CN27" s="31" t="s">
        <v>413</v>
      </c>
      <c r="CO27" s="31" t="s">
        <v>413</v>
      </c>
      <c r="CP27" s="31" t="s">
        <v>413</v>
      </c>
      <c r="CQ27" s="31" t="s">
        <v>413</v>
      </c>
      <c r="CR27" s="31" t="s">
        <v>413</v>
      </c>
      <c r="CS27" s="31" t="s">
        <v>413</v>
      </c>
      <c r="CT27" s="31" t="s">
        <v>413</v>
      </c>
      <c r="CU27" s="31" t="s">
        <v>413</v>
      </c>
      <c r="CV27" s="31" t="s">
        <v>413</v>
      </c>
      <c r="CW27" s="31">
        <v>190.11</v>
      </c>
      <c r="CX27" s="31">
        <v>160.262400008095</v>
      </c>
      <c r="CY27" s="31">
        <v>0.842998264205435</v>
      </c>
      <c r="CZ27" s="31">
        <v>0.16538664991649</v>
      </c>
      <c r="DA27" s="31">
        <v>6.0</v>
      </c>
      <c r="DB27" s="31">
        <v>0.5</v>
      </c>
      <c r="DC27" s="31" t="s">
        <v>414</v>
      </c>
      <c r="DD27" s="31">
        <v>2.0</v>
      </c>
      <c r="DE27" s="31">
        <v>1.7548829621E9</v>
      </c>
      <c r="DF27" s="31">
        <v>453.31</v>
      </c>
      <c r="DG27" s="31">
        <v>460.019</v>
      </c>
      <c r="DH27" s="31">
        <v>38.7691</v>
      </c>
      <c r="DI27" s="31">
        <v>34.2475</v>
      </c>
      <c r="DJ27" s="31">
        <v>450.418</v>
      </c>
      <c r="DK27" s="31">
        <v>38.2173</v>
      </c>
      <c r="DL27" s="31">
        <v>499.963</v>
      </c>
      <c r="DM27" s="31">
        <v>100.893</v>
      </c>
      <c r="DN27" s="31">
        <v>0.100256</v>
      </c>
      <c r="DO27" s="31">
        <v>35.6515</v>
      </c>
      <c r="DP27" s="31">
        <v>34.6047</v>
      </c>
      <c r="DQ27" s="31">
        <v>999.9</v>
      </c>
      <c r="DR27" s="31">
        <v>0.0</v>
      </c>
      <c r="DS27" s="31">
        <v>0.0</v>
      </c>
      <c r="DT27" s="31">
        <v>9006.88</v>
      </c>
      <c r="DU27" s="31">
        <v>0.0</v>
      </c>
      <c r="DV27" s="31">
        <v>1482.35</v>
      </c>
      <c r="DW27" s="31">
        <v>190.11</v>
      </c>
      <c r="DX27" s="31">
        <v>0.899984</v>
      </c>
      <c r="DY27" s="31">
        <v>0.100016</v>
      </c>
      <c r="DZ27" s="31">
        <v>0.0</v>
      </c>
      <c r="EA27" s="31">
        <v>634.11</v>
      </c>
      <c r="EB27" s="31">
        <v>0.0999973</v>
      </c>
      <c r="EC27" s="31">
        <v>2999.96</v>
      </c>
      <c r="ED27" s="31">
        <v>1685.03</v>
      </c>
      <c r="EE27" s="31">
        <v>40.562</v>
      </c>
      <c r="EF27" s="31">
        <v>44.312</v>
      </c>
      <c r="EG27" s="31">
        <v>42.062</v>
      </c>
      <c r="EH27" s="31">
        <v>43.875</v>
      </c>
      <c r="EI27" s="31">
        <v>43.25</v>
      </c>
      <c r="EJ27" s="31">
        <v>171.01</v>
      </c>
      <c r="EK27" s="31">
        <v>19.0</v>
      </c>
      <c r="EL27" s="31">
        <v>0.0</v>
      </c>
      <c r="EM27" s="31">
        <v>133.800000190734</v>
      </c>
      <c r="EN27" s="31">
        <v>0.0</v>
      </c>
      <c r="EO27" s="31">
        <v>632.21</v>
      </c>
      <c r="EP27" s="31">
        <v>-24.4996152555346</v>
      </c>
      <c r="EQ27" s="31">
        <v>34.2799998011456</v>
      </c>
      <c r="ER27" s="31">
        <v>2994.98159999999</v>
      </c>
      <c r="ES27" s="31">
        <v>15.0</v>
      </c>
      <c r="ET27" s="31">
        <v>1.7548829791E9</v>
      </c>
      <c r="EU27" s="42">
        <v>0.4789236111111111</v>
      </c>
      <c r="EV27" s="31">
        <v>1.7548829791E9</v>
      </c>
      <c r="EW27" s="31">
        <v>1.7548765351E9</v>
      </c>
      <c r="EX27" s="31">
        <v>12.0</v>
      </c>
      <c r="EY27" s="31">
        <v>0.124</v>
      </c>
      <c r="EZ27" s="31">
        <v>-0.002</v>
      </c>
      <c r="FA27" s="31">
        <v>2.892</v>
      </c>
      <c r="FB27" s="31">
        <v>0.297</v>
      </c>
      <c r="FC27" s="31">
        <v>460.0</v>
      </c>
      <c r="FD27" s="31">
        <v>20.0</v>
      </c>
      <c r="FE27" s="31">
        <v>0.26</v>
      </c>
      <c r="FF27" s="31">
        <v>0.06</v>
      </c>
      <c r="FG27" s="31">
        <v>100.0</v>
      </c>
      <c r="FH27" s="31">
        <v>100.0</v>
      </c>
      <c r="FI27" s="31">
        <v>2.892</v>
      </c>
      <c r="FJ27" s="31">
        <v>0.5518</v>
      </c>
      <c r="FK27" s="31">
        <v>2.8706141843172</v>
      </c>
      <c r="FL27" s="31">
        <v>-2.2595428698806E-4</v>
      </c>
      <c r="FM27" s="43">
        <v>5.20417301097471E-9</v>
      </c>
      <c r="FN27" s="43">
        <v>1.17243702350096E-12</v>
      </c>
      <c r="FO27" s="31">
        <v>0.551873338452037</v>
      </c>
      <c r="FP27" s="31">
        <v>0.0</v>
      </c>
      <c r="FQ27" s="31">
        <v>0.0</v>
      </c>
      <c r="FR27" s="31">
        <v>0.0</v>
      </c>
      <c r="FS27" s="31">
        <v>1.0</v>
      </c>
      <c r="FT27" s="31">
        <v>2266.0</v>
      </c>
      <c r="FU27" s="31">
        <v>1.0</v>
      </c>
      <c r="FV27" s="31">
        <v>26.0</v>
      </c>
      <c r="FW27" s="31">
        <v>11.3</v>
      </c>
      <c r="FX27" s="31">
        <v>107.1</v>
      </c>
      <c r="FY27" s="31">
        <v>1.12427</v>
      </c>
      <c r="FZ27" s="31">
        <v>2.55493</v>
      </c>
      <c r="GA27" s="31">
        <v>1.59668</v>
      </c>
      <c r="GB27" s="31">
        <v>2.31689</v>
      </c>
      <c r="GC27" s="31">
        <v>1.5979</v>
      </c>
      <c r="GD27" s="31">
        <v>2.40601</v>
      </c>
      <c r="GE27" s="31">
        <v>43.6173</v>
      </c>
      <c r="GF27" s="31">
        <v>15.4104</v>
      </c>
      <c r="GG27" s="31">
        <v>18.0</v>
      </c>
      <c r="GH27" s="31">
        <v>508.552</v>
      </c>
      <c r="GI27" s="31">
        <v>464.374</v>
      </c>
      <c r="GJ27" s="31">
        <v>35.7661</v>
      </c>
      <c r="GK27" s="31">
        <v>36.0193</v>
      </c>
      <c r="GL27" s="31">
        <v>29.9997</v>
      </c>
      <c r="GM27" s="31">
        <v>36.0345</v>
      </c>
      <c r="GN27" s="31">
        <v>35.9753</v>
      </c>
      <c r="GO27" s="31">
        <v>22.5687</v>
      </c>
      <c r="GP27" s="31">
        <v>100.0</v>
      </c>
      <c r="GQ27" s="31">
        <v>0.0</v>
      </c>
      <c r="GR27" s="31">
        <v>-999.9</v>
      </c>
      <c r="GS27" s="31">
        <v>460.0</v>
      </c>
      <c r="GT27" s="31">
        <v>0.0</v>
      </c>
      <c r="GU27" s="31">
        <v>102.488</v>
      </c>
      <c r="GV27" s="31">
        <v>99.6132</v>
      </c>
    </row>
    <row r="28" ht="14.25" customHeight="1">
      <c r="A28" s="41" t="s">
        <v>111</v>
      </c>
      <c r="B28" s="41" t="s">
        <v>62</v>
      </c>
      <c r="C28" s="41" t="s">
        <v>86</v>
      </c>
      <c r="D28" s="31">
        <v>60.0</v>
      </c>
      <c r="E28" s="31">
        <v>1.7548861701E9</v>
      </c>
      <c r="F28" s="31">
        <v>8652.09999990463</v>
      </c>
      <c r="G28" s="31" t="s">
        <v>484</v>
      </c>
      <c r="H28" s="42">
        <v>0.5158564814814814</v>
      </c>
      <c r="I28" s="31" t="s">
        <v>409</v>
      </c>
      <c r="J28" s="31">
        <v>1.7548861701E9</v>
      </c>
      <c r="K28" s="31">
        <v>0.00350798714101078</v>
      </c>
      <c r="L28" s="31">
        <v>3.50798714101078</v>
      </c>
      <c r="M28" s="31">
        <v>1.56415820522245</v>
      </c>
      <c r="N28" s="31">
        <v>456.273997784946</v>
      </c>
      <c r="O28" s="31">
        <v>439.811569742905</v>
      </c>
      <c r="P28" s="31">
        <v>44.4118881943645</v>
      </c>
      <c r="Q28" s="31">
        <v>46.0742535433213</v>
      </c>
      <c r="R28" s="31">
        <v>0.321578616087734</v>
      </c>
      <c r="S28" s="31">
        <v>2.76364396319507</v>
      </c>
      <c r="T28" s="31">
        <v>0.302142748655042</v>
      </c>
      <c r="U28" s="31">
        <v>0.190487485884875</v>
      </c>
      <c r="V28" s="31">
        <v>31.3796017937996</v>
      </c>
      <c r="W28" s="31">
        <v>33.332167965489</v>
      </c>
      <c r="X28" s="31">
        <v>32.6218</v>
      </c>
      <c r="Y28" s="31">
        <v>4.94573531268167</v>
      </c>
      <c r="Z28" s="31">
        <v>71.1929079136033</v>
      </c>
      <c r="AA28" s="31">
        <v>3.82423960501099</v>
      </c>
      <c r="AB28" s="31">
        <v>5.37165810062419</v>
      </c>
      <c r="AC28" s="31">
        <v>1.12149570767067</v>
      </c>
      <c r="AD28" s="31">
        <v>-154.702232918575</v>
      </c>
      <c r="AE28" s="31">
        <v>219.631426466055</v>
      </c>
      <c r="AF28" s="31">
        <v>18.2649043791156</v>
      </c>
      <c r="AG28" s="31">
        <v>114.573699720394</v>
      </c>
      <c r="AH28" s="31">
        <v>0.0</v>
      </c>
      <c r="AI28" s="31">
        <v>0.0</v>
      </c>
      <c r="AJ28" s="31">
        <v>1.0</v>
      </c>
      <c r="AK28" s="31">
        <v>0.0</v>
      </c>
      <c r="AL28" s="31">
        <v>47057.0</v>
      </c>
      <c r="AM28" s="31" t="s">
        <v>410</v>
      </c>
      <c r="AN28" s="31">
        <v>8173.37</v>
      </c>
      <c r="AO28" s="31">
        <v>559.295999999999</v>
      </c>
      <c r="AP28" s="31">
        <v>2893.93</v>
      </c>
      <c r="AQ28" s="31">
        <v>0.806734786259515</v>
      </c>
      <c r="AR28" s="31">
        <v>-2.38169762951563</v>
      </c>
      <c r="AS28" s="31" t="s">
        <v>485</v>
      </c>
      <c r="AT28" s="31">
        <v>8155.13</v>
      </c>
      <c r="AU28" s="31">
        <v>266.924423076923</v>
      </c>
      <c r="AV28" s="31">
        <v>807.39</v>
      </c>
      <c r="AW28" s="31">
        <v>0.669398403402416</v>
      </c>
      <c r="AX28" s="31">
        <v>0.5</v>
      </c>
      <c r="AY28" s="31">
        <v>159.94398600715</v>
      </c>
      <c r="AZ28" s="31">
        <v>1.56415820522245</v>
      </c>
      <c r="BA28" s="31">
        <v>53.5331244335023</v>
      </c>
      <c r="BB28" s="31">
        <v>0.0246702357071537</v>
      </c>
      <c r="BC28" s="31">
        <v>2.58430250560447</v>
      </c>
      <c r="BD28" s="31">
        <v>372.999330096172</v>
      </c>
      <c r="BE28" s="31" t="s">
        <v>486</v>
      </c>
      <c r="BF28" s="31">
        <v>-444.67</v>
      </c>
      <c r="BG28" s="31">
        <v>-444.67</v>
      </c>
      <c r="BH28" s="31">
        <v>1.55074994736125</v>
      </c>
      <c r="BI28" s="31">
        <v>0.431661084071911</v>
      </c>
      <c r="BJ28" s="31">
        <v>0.624974540226442</v>
      </c>
      <c r="BK28" s="31">
        <v>2.17847097037041</v>
      </c>
      <c r="BL28" s="31">
        <v>0.893733236130374</v>
      </c>
      <c r="BM28" s="31">
        <v>-0.719105176070534</v>
      </c>
      <c r="BN28" s="31">
        <v>1.71910517607053</v>
      </c>
      <c r="BO28" s="31" t="s">
        <v>413</v>
      </c>
      <c r="BP28" s="31" t="s">
        <v>413</v>
      </c>
      <c r="BQ28" s="31" t="s">
        <v>413</v>
      </c>
      <c r="BR28" s="31" t="s">
        <v>413</v>
      </c>
      <c r="BS28" s="31" t="s">
        <v>413</v>
      </c>
      <c r="BT28" s="31" t="s">
        <v>413</v>
      </c>
      <c r="BU28" s="31" t="s">
        <v>413</v>
      </c>
      <c r="BV28" s="31" t="s">
        <v>413</v>
      </c>
      <c r="BW28" s="31" t="s">
        <v>413</v>
      </c>
      <c r="BX28" s="31" t="s">
        <v>413</v>
      </c>
      <c r="BY28" s="31" t="s">
        <v>413</v>
      </c>
      <c r="BZ28" s="31" t="s">
        <v>413</v>
      </c>
      <c r="CA28" s="31" t="s">
        <v>413</v>
      </c>
      <c r="CB28" s="31" t="s">
        <v>413</v>
      </c>
      <c r="CC28" s="31" t="s">
        <v>413</v>
      </c>
      <c r="CD28" s="31" t="s">
        <v>413</v>
      </c>
      <c r="CE28" s="31" t="s">
        <v>413</v>
      </c>
      <c r="CF28" s="31" t="s">
        <v>413</v>
      </c>
      <c r="CG28" s="31" t="s">
        <v>413</v>
      </c>
      <c r="CH28" s="31" t="s">
        <v>413</v>
      </c>
      <c r="CI28" s="31" t="s">
        <v>413</v>
      </c>
      <c r="CJ28" s="31" t="s">
        <v>413</v>
      </c>
      <c r="CK28" s="31" t="s">
        <v>413</v>
      </c>
      <c r="CL28" s="31" t="s">
        <v>413</v>
      </c>
      <c r="CM28" s="31" t="s">
        <v>413</v>
      </c>
      <c r="CN28" s="31" t="s">
        <v>413</v>
      </c>
      <c r="CO28" s="31" t="s">
        <v>413</v>
      </c>
      <c r="CP28" s="31" t="s">
        <v>413</v>
      </c>
      <c r="CQ28" s="31" t="s">
        <v>413</v>
      </c>
      <c r="CR28" s="31" t="s">
        <v>413</v>
      </c>
      <c r="CS28" s="31" t="s">
        <v>413</v>
      </c>
      <c r="CT28" s="31" t="s">
        <v>413</v>
      </c>
      <c r="CU28" s="31" t="s">
        <v>413</v>
      </c>
      <c r="CV28" s="31" t="s">
        <v>413</v>
      </c>
      <c r="CW28" s="31">
        <v>189.732</v>
      </c>
      <c r="CX28" s="31">
        <v>159.94398600715</v>
      </c>
      <c r="CY28" s="31">
        <v>0.842999525684386</v>
      </c>
      <c r="CZ28" s="31">
        <v>0.165389084570866</v>
      </c>
      <c r="DA28" s="31">
        <v>6.0</v>
      </c>
      <c r="DB28" s="31">
        <v>0.5</v>
      </c>
      <c r="DC28" s="31" t="s">
        <v>414</v>
      </c>
      <c r="DD28" s="31">
        <v>2.0</v>
      </c>
      <c r="DE28" s="31">
        <v>1.7548861701E9</v>
      </c>
      <c r="DF28" s="31">
        <v>456.274</v>
      </c>
      <c r="DG28" s="31">
        <v>460.071</v>
      </c>
      <c r="DH28" s="31">
        <v>37.8715</v>
      </c>
      <c r="DI28" s="31">
        <v>33.8221</v>
      </c>
      <c r="DJ28" s="31">
        <v>453.332</v>
      </c>
      <c r="DK28" s="31">
        <v>37.3196</v>
      </c>
      <c r="DL28" s="31">
        <v>500.094</v>
      </c>
      <c r="DM28" s="31">
        <v>100.879</v>
      </c>
      <c r="DN28" s="31">
        <v>0.100354</v>
      </c>
      <c r="DO28" s="31">
        <v>34.0959</v>
      </c>
      <c r="DP28" s="31">
        <v>32.6218</v>
      </c>
      <c r="DQ28" s="31">
        <v>999.9</v>
      </c>
      <c r="DR28" s="31">
        <v>0.0</v>
      </c>
      <c r="DS28" s="31">
        <v>0.0</v>
      </c>
      <c r="DT28" s="31">
        <v>9003.75</v>
      </c>
      <c r="DU28" s="31">
        <v>0.0</v>
      </c>
      <c r="DV28" s="31">
        <v>223.708</v>
      </c>
      <c r="DW28" s="31">
        <v>189.732</v>
      </c>
      <c r="DX28" s="31">
        <v>0.899942</v>
      </c>
      <c r="DY28" s="31">
        <v>0.100058</v>
      </c>
      <c r="DZ28" s="31">
        <v>0.0</v>
      </c>
      <c r="EA28" s="31">
        <v>266.91</v>
      </c>
      <c r="EB28" s="31">
        <v>0.0999973</v>
      </c>
      <c r="EC28" s="31">
        <v>1063.61</v>
      </c>
      <c r="ED28" s="31">
        <v>1681.65</v>
      </c>
      <c r="EE28" s="31">
        <v>39.625</v>
      </c>
      <c r="EF28" s="31">
        <v>43.062</v>
      </c>
      <c r="EG28" s="31">
        <v>41.125</v>
      </c>
      <c r="EH28" s="31">
        <v>42.75</v>
      </c>
      <c r="EI28" s="31">
        <v>42.187</v>
      </c>
      <c r="EJ28" s="31">
        <v>170.66</v>
      </c>
      <c r="EK28" s="31">
        <v>18.97</v>
      </c>
      <c r="EL28" s="31">
        <v>0.0</v>
      </c>
      <c r="EM28" s="31">
        <v>135.599999904632</v>
      </c>
      <c r="EN28" s="31">
        <v>0.0</v>
      </c>
      <c r="EO28" s="31">
        <v>266.924423076923</v>
      </c>
      <c r="EP28" s="31">
        <v>-7.94786326822816</v>
      </c>
      <c r="EQ28" s="31">
        <v>-114.318974532666</v>
      </c>
      <c r="ER28" s="31">
        <v>1073.59653846153</v>
      </c>
      <c r="ES28" s="31">
        <v>15.0</v>
      </c>
      <c r="ET28" s="31">
        <v>1.7548857791E9</v>
      </c>
      <c r="EU28" s="42">
        <v>0.5113310185185185</v>
      </c>
      <c r="EV28" s="31">
        <v>1.7548857791E9</v>
      </c>
      <c r="EW28" s="31">
        <v>1.7548765351E9</v>
      </c>
      <c r="EX28" s="31">
        <v>16.0</v>
      </c>
      <c r="EY28" s="31">
        <v>-0.008</v>
      </c>
      <c r="EZ28" s="31">
        <v>-0.002</v>
      </c>
      <c r="FA28" s="31">
        <v>2.942</v>
      </c>
      <c r="FB28" s="31">
        <v>0.297</v>
      </c>
      <c r="FC28" s="31">
        <v>460.0</v>
      </c>
      <c r="FD28" s="31">
        <v>20.0</v>
      </c>
      <c r="FE28" s="31">
        <v>0.23</v>
      </c>
      <c r="FF28" s="31">
        <v>0.06</v>
      </c>
      <c r="FG28" s="31">
        <v>100.0</v>
      </c>
      <c r="FH28" s="31">
        <v>100.0</v>
      </c>
      <c r="FI28" s="31">
        <v>2.942</v>
      </c>
      <c r="FJ28" s="31">
        <v>0.5519</v>
      </c>
      <c r="FK28" s="31">
        <v>3.04387494224265</v>
      </c>
      <c r="FL28" s="31">
        <v>-2.2595428698806E-4</v>
      </c>
      <c r="FM28" s="43">
        <v>5.20417301097471E-9</v>
      </c>
      <c r="FN28" s="43">
        <v>1.17243702350096E-12</v>
      </c>
      <c r="FO28" s="31">
        <v>0.551873338452037</v>
      </c>
      <c r="FP28" s="31">
        <v>0.0</v>
      </c>
      <c r="FQ28" s="31">
        <v>0.0</v>
      </c>
      <c r="FR28" s="31">
        <v>0.0</v>
      </c>
      <c r="FS28" s="31">
        <v>1.0</v>
      </c>
      <c r="FT28" s="31">
        <v>2266.0</v>
      </c>
      <c r="FU28" s="31">
        <v>1.0</v>
      </c>
      <c r="FV28" s="31">
        <v>26.0</v>
      </c>
      <c r="FW28" s="31">
        <v>6.5</v>
      </c>
      <c r="FX28" s="31">
        <v>160.6</v>
      </c>
      <c r="FY28" s="31">
        <v>1.12305</v>
      </c>
      <c r="FZ28" s="31">
        <v>2.56348</v>
      </c>
      <c r="GA28" s="31">
        <v>1.59668</v>
      </c>
      <c r="GB28" s="31">
        <v>2.31689</v>
      </c>
      <c r="GC28" s="31">
        <v>1.5979</v>
      </c>
      <c r="GD28" s="31">
        <v>2.30225</v>
      </c>
      <c r="GE28" s="31">
        <v>43.155</v>
      </c>
      <c r="GF28" s="31">
        <v>14.9638</v>
      </c>
      <c r="GG28" s="31">
        <v>18.0</v>
      </c>
      <c r="GH28" s="31">
        <v>506.968</v>
      </c>
      <c r="GI28" s="31">
        <v>465.84</v>
      </c>
      <c r="GJ28" s="31">
        <v>34.0433</v>
      </c>
      <c r="GK28" s="31">
        <v>34.6352</v>
      </c>
      <c r="GL28" s="31">
        <v>30.0003</v>
      </c>
      <c r="GM28" s="31">
        <v>34.6154</v>
      </c>
      <c r="GN28" s="31">
        <v>34.554</v>
      </c>
      <c r="GO28" s="31">
        <v>22.5419</v>
      </c>
      <c r="GP28" s="31">
        <v>100.0</v>
      </c>
      <c r="GQ28" s="31">
        <v>0.0</v>
      </c>
      <c r="GR28" s="31">
        <v>-999.9</v>
      </c>
      <c r="GS28" s="31">
        <v>460.0</v>
      </c>
      <c r="GT28" s="31">
        <v>15.5881</v>
      </c>
      <c r="GU28" s="31">
        <v>102.58</v>
      </c>
      <c r="GV28" s="31">
        <v>99.8203</v>
      </c>
    </row>
    <row r="29" ht="14.25" customHeight="1">
      <c r="A29" s="41" t="s">
        <v>111</v>
      </c>
      <c r="B29" s="41" t="s">
        <v>62</v>
      </c>
      <c r="C29" s="41" t="s">
        <v>87</v>
      </c>
      <c r="D29" s="31">
        <v>61.0</v>
      </c>
      <c r="E29" s="31">
        <v>1.7548863076E9</v>
      </c>
      <c r="F29" s="31">
        <v>8789.59999990463</v>
      </c>
      <c r="G29" s="31" t="s">
        <v>487</v>
      </c>
      <c r="H29" s="42">
        <v>0.5174421296296297</v>
      </c>
      <c r="I29" s="31" t="s">
        <v>409</v>
      </c>
      <c r="J29" s="31">
        <v>1.7548863076E9</v>
      </c>
      <c r="K29" s="31">
        <v>0.00177374827693785</v>
      </c>
      <c r="L29" s="31">
        <v>1.77374827693785</v>
      </c>
      <c r="M29" s="31">
        <v>1.8483349808706</v>
      </c>
      <c r="N29" s="31">
        <v>456.814997350126</v>
      </c>
      <c r="O29" s="31">
        <v>412.563423785354</v>
      </c>
      <c r="P29" s="31">
        <v>41.6600179484822</v>
      </c>
      <c r="Q29" s="31">
        <v>46.1284735668748</v>
      </c>
      <c r="R29" s="31">
        <v>0.0962813689701706</v>
      </c>
      <c r="S29" s="31">
        <v>2.75350372143532</v>
      </c>
      <c r="T29" s="31">
        <v>0.0944493997362393</v>
      </c>
      <c r="U29" s="31">
        <v>0.0591925666843143</v>
      </c>
      <c r="V29" s="31">
        <v>31.4571777029988</v>
      </c>
      <c r="W29" s="31">
        <v>33.9257281806974</v>
      </c>
      <c r="X29" s="31">
        <v>34.1831</v>
      </c>
      <c r="Y29" s="31">
        <v>5.39782305056468</v>
      </c>
      <c r="Z29" s="31">
        <v>66.3080438317105</v>
      </c>
      <c r="AA29" s="31">
        <v>3.5858156929899</v>
      </c>
      <c r="AB29" s="31">
        <v>5.40781402342479</v>
      </c>
      <c r="AC29" s="31">
        <v>1.81200735757478</v>
      </c>
      <c r="AD29" s="31">
        <v>-78.2222990129595</v>
      </c>
      <c r="AE29" s="31">
        <v>4.92843683531577</v>
      </c>
      <c r="AF29" s="31">
        <v>0.414760221632089</v>
      </c>
      <c r="AG29" s="31">
        <v>-41.4219242530128</v>
      </c>
      <c r="AH29" s="31">
        <v>0.0</v>
      </c>
      <c r="AI29" s="31">
        <v>0.0</v>
      </c>
      <c r="AJ29" s="31">
        <v>1.0</v>
      </c>
      <c r="AK29" s="31">
        <v>0.0</v>
      </c>
      <c r="AL29" s="31">
        <v>46761.0</v>
      </c>
      <c r="AM29" s="31" t="s">
        <v>410</v>
      </c>
      <c r="AN29" s="31">
        <v>8173.37</v>
      </c>
      <c r="AO29" s="31">
        <v>559.295999999999</v>
      </c>
      <c r="AP29" s="31">
        <v>2893.93</v>
      </c>
      <c r="AQ29" s="31">
        <v>0.806734786259515</v>
      </c>
      <c r="AR29" s="31">
        <v>-2.38169762951563</v>
      </c>
      <c r="AS29" s="31" t="s">
        <v>488</v>
      </c>
      <c r="AT29" s="31">
        <v>8127.38</v>
      </c>
      <c r="AU29" s="31">
        <v>417.712115384615</v>
      </c>
      <c r="AV29" s="31">
        <v>1211.99</v>
      </c>
      <c r="AW29" s="31">
        <v>0.655350196466459</v>
      </c>
      <c r="AX29" s="31">
        <v>0.5</v>
      </c>
      <c r="AY29" s="31">
        <v>160.343900986009</v>
      </c>
      <c r="AZ29" s="31">
        <v>1.8483349808706</v>
      </c>
      <c r="BA29" s="31">
        <v>52.54070350669</v>
      </c>
      <c r="BB29" s="31">
        <v>0.0263810009883401</v>
      </c>
      <c r="BC29" s="31">
        <v>1.38775072401587</v>
      </c>
      <c r="BD29" s="31">
        <v>441.014242448818</v>
      </c>
      <c r="BE29" s="31" t="s">
        <v>489</v>
      </c>
      <c r="BF29" s="31">
        <v>-328.2</v>
      </c>
      <c r="BG29" s="31">
        <v>-328.2</v>
      </c>
      <c r="BH29" s="31">
        <v>1.27079431348443</v>
      </c>
      <c r="BI29" s="31">
        <v>0.515701234662856</v>
      </c>
      <c r="BJ29" s="31">
        <v>0.521996319204997</v>
      </c>
      <c r="BK29" s="31">
        <v>1.21692230143893</v>
      </c>
      <c r="BL29" s="31">
        <v>0.720429840394682</v>
      </c>
      <c r="BM29" s="31">
        <v>-0.405190893399169</v>
      </c>
      <c r="BN29" s="31">
        <v>1.40519089339917</v>
      </c>
      <c r="BO29" s="31" t="s">
        <v>413</v>
      </c>
      <c r="BP29" s="31" t="s">
        <v>413</v>
      </c>
      <c r="BQ29" s="31" t="s">
        <v>413</v>
      </c>
      <c r="BR29" s="31" t="s">
        <v>413</v>
      </c>
      <c r="BS29" s="31" t="s">
        <v>413</v>
      </c>
      <c r="BT29" s="31" t="s">
        <v>413</v>
      </c>
      <c r="BU29" s="31" t="s">
        <v>413</v>
      </c>
      <c r="BV29" s="31" t="s">
        <v>413</v>
      </c>
      <c r="BW29" s="31" t="s">
        <v>413</v>
      </c>
      <c r="BX29" s="31" t="s">
        <v>413</v>
      </c>
      <c r="BY29" s="31" t="s">
        <v>413</v>
      </c>
      <c r="BZ29" s="31" t="s">
        <v>413</v>
      </c>
      <c r="CA29" s="31" t="s">
        <v>413</v>
      </c>
      <c r="CB29" s="31" t="s">
        <v>413</v>
      </c>
      <c r="CC29" s="31" t="s">
        <v>413</v>
      </c>
      <c r="CD29" s="31" t="s">
        <v>413</v>
      </c>
      <c r="CE29" s="31" t="s">
        <v>413</v>
      </c>
      <c r="CF29" s="31" t="s">
        <v>413</v>
      </c>
      <c r="CG29" s="31" t="s">
        <v>413</v>
      </c>
      <c r="CH29" s="31" t="s">
        <v>413</v>
      </c>
      <c r="CI29" s="31" t="s">
        <v>413</v>
      </c>
      <c r="CJ29" s="31" t="s">
        <v>413</v>
      </c>
      <c r="CK29" s="31" t="s">
        <v>413</v>
      </c>
      <c r="CL29" s="31" t="s">
        <v>413</v>
      </c>
      <c r="CM29" s="31" t="s">
        <v>413</v>
      </c>
      <c r="CN29" s="31" t="s">
        <v>413</v>
      </c>
      <c r="CO29" s="31" t="s">
        <v>413</v>
      </c>
      <c r="CP29" s="31" t="s">
        <v>413</v>
      </c>
      <c r="CQ29" s="31" t="s">
        <v>413</v>
      </c>
      <c r="CR29" s="31" t="s">
        <v>413</v>
      </c>
      <c r="CS29" s="31" t="s">
        <v>413</v>
      </c>
      <c r="CT29" s="31" t="s">
        <v>413</v>
      </c>
      <c r="CU29" s="31" t="s">
        <v>413</v>
      </c>
      <c r="CV29" s="31" t="s">
        <v>413</v>
      </c>
      <c r="CW29" s="31">
        <v>190.207</v>
      </c>
      <c r="CX29" s="31">
        <v>160.343900986009</v>
      </c>
      <c r="CY29" s="31">
        <v>0.842996845468409</v>
      </c>
      <c r="CZ29" s="31">
        <v>0.16538391175403</v>
      </c>
      <c r="DA29" s="31">
        <v>6.0</v>
      </c>
      <c r="DB29" s="31">
        <v>0.5</v>
      </c>
      <c r="DC29" s="31" t="s">
        <v>414</v>
      </c>
      <c r="DD29" s="31">
        <v>2.0</v>
      </c>
      <c r="DE29" s="31">
        <v>1.7548863076E9</v>
      </c>
      <c r="DF29" s="31">
        <v>456.815</v>
      </c>
      <c r="DG29" s="31">
        <v>460.005</v>
      </c>
      <c r="DH29" s="31">
        <v>35.5107</v>
      </c>
      <c r="DI29" s="31">
        <v>33.458</v>
      </c>
      <c r="DJ29" s="31">
        <v>453.872</v>
      </c>
      <c r="DK29" s="31">
        <v>34.9588</v>
      </c>
      <c r="DL29" s="31">
        <v>500.052</v>
      </c>
      <c r="DM29" s="31">
        <v>100.878</v>
      </c>
      <c r="DN29" s="31">
        <v>0.100457</v>
      </c>
      <c r="DO29" s="31">
        <v>34.2163</v>
      </c>
      <c r="DP29" s="31">
        <v>34.1831</v>
      </c>
      <c r="DQ29" s="31">
        <v>999.9</v>
      </c>
      <c r="DR29" s="31">
        <v>0.0</v>
      </c>
      <c r="DS29" s="31">
        <v>0.0</v>
      </c>
      <c r="DT29" s="31">
        <v>8950.0</v>
      </c>
      <c r="DU29" s="31">
        <v>0.0</v>
      </c>
      <c r="DV29" s="31">
        <v>487.854</v>
      </c>
      <c r="DW29" s="31">
        <v>190.207</v>
      </c>
      <c r="DX29" s="31">
        <v>0.900039</v>
      </c>
      <c r="DY29" s="31">
        <v>0.0999605</v>
      </c>
      <c r="DZ29" s="31">
        <v>0.0</v>
      </c>
      <c r="EA29" s="31">
        <v>418.34</v>
      </c>
      <c r="EB29" s="31">
        <v>0.0999973</v>
      </c>
      <c r="EC29" s="31">
        <v>1475.04</v>
      </c>
      <c r="ED29" s="31">
        <v>1685.92</v>
      </c>
      <c r="EE29" s="31">
        <v>39.75</v>
      </c>
      <c r="EF29" s="31">
        <v>43.0</v>
      </c>
      <c r="EG29" s="31">
        <v>41.25</v>
      </c>
      <c r="EH29" s="31">
        <v>42.75</v>
      </c>
      <c r="EI29" s="31">
        <v>42.25</v>
      </c>
      <c r="EJ29" s="31">
        <v>171.1</v>
      </c>
      <c r="EK29" s="31">
        <v>19.0</v>
      </c>
      <c r="EL29" s="31">
        <v>0.0</v>
      </c>
      <c r="EM29" s="31">
        <v>135.0</v>
      </c>
      <c r="EN29" s="31">
        <v>0.0</v>
      </c>
      <c r="EO29" s="31">
        <v>417.712115384615</v>
      </c>
      <c r="EP29" s="31">
        <v>-11.7858118521849</v>
      </c>
      <c r="EQ29" s="31">
        <v>134.094359491459</v>
      </c>
      <c r="ER29" s="31">
        <v>1467.78615384615</v>
      </c>
      <c r="ES29" s="31">
        <v>15.0</v>
      </c>
      <c r="ET29" s="31">
        <v>1.7548857791E9</v>
      </c>
      <c r="EU29" s="42">
        <v>0.5113310185185185</v>
      </c>
      <c r="EV29" s="31">
        <v>1.7548857791E9</v>
      </c>
      <c r="EW29" s="31">
        <v>1.7548765351E9</v>
      </c>
      <c r="EX29" s="31">
        <v>16.0</v>
      </c>
      <c r="EY29" s="31">
        <v>-0.008</v>
      </c>
      <c r="EZ29" s="31">
        <v>-0.002</v>
      </c>
      <c r="FA29" s="31">
        <v>2.942</v>
      </c>
      <c r="FB29" s="31">
        <v>0.297</v>
      </c>
      <c r="FC29" s="31">
        <v>460.0</v>
      </c>
      <c r="FD29" s="31">
        <v>20.0</v>
      </c>
      <c r="FE29" s="31">
        <v>0.23</v>
      </c>
      <c r="FF29" s="31">
        <v>0.06</v>
      </c>
      <c r="FG29" s="31">
        <v>100.0</v>
      </c>
      <c r="FH29" s="31">
        <v>100.0</v>
      </c>
      <c r="FI29" s="31">
        <v>2.943</v>
      </c>
      <c r="FJ29" s="31">
        <v>0.5519</v>
      </c>
      <c r="FK29" s="31">
        <v>3.04387494224265</v>
      </c>
      <c r="FL29" s="31">
        <v>-2.2595428698806E-4</v>
      </c>
      <c r="FM29" s="43">
        <v>5.20417301097471E-9</v>
      </c>
      <c r="FN29" s="43">
        <v>1.17243702350096E-12</v>
      </c>
      <c r="FO29" s="31">
        <v>0.551873338452037</v>
      </c>
      <c r="FP29" s="31">
        <v>0.0</v>
      </c>
      <c r="FQ29" s="31">
        <v>0.0</v>
      </c>
      <c r="FR29" s="31">
        <v>0.0</v>
      </c>
      <c r="FS29" s="31">
        <v>1.0</v>
      </c>
      <c r="FT29" s="31">
        <v>2266.0</v>
      </c>
      <c r="FU29" s="31">
        <v>1.0</v>
      </c>
      <c r="FV29" s="31">
        <v>26.0</v>
      </c>
      <c r="FW29" s="31">
        <v>8.8</v>
      </c>
      <c r="FX29" s="31">
        <v>162.9</v>
      </c>
      <c r="FY29" s="31">
        <v>1.12305</v>
      </c>
      <c r="FZ29" s="31">
        <v>2.55859</v>
      </c>
      <c r="GA29" s="31">
        <v>1.59546</v>
      </c>
      <c r="GB29" s="31">
        <v>2.31812</v>
      </c>
      <c r="GC29" s="31">
        <v>1.5979</v>
      </c>
      <c r="GD29" s="31">
        <v>2.2998</v>
      </c>
      <c r="GE29" s="31">
        <v>42.9929</v>
      </c>
      <c r="GF29" s="31">
        <v>14.9551</v>
      </c>
      <c r="GG29" s="31">
        <v>18.0</v>
      </c>
      <c r="GH29" s="31">
        <v>506.551</v>
      </c>
      <c r="GI29" s="31">
        <v>466.613</v>
      </c>
      <c r="GJ29" s="31">
        <v>34.1029</v>
      </c>
      <c r="GK29" s="31">
        <v>34.6915</v>
      </c>
      <c r="GL29" s="31">
        <v>30.0002</v>
      </c>
      <c r="GM29" s="31">
        <v>34.687</v>
      </c>
      <c r="GN29" s="31">
        <v>34.6269</v>
      </c>
      <c r="GO29" s="31">
        <v>22.5465</v>
      </c>
      <c r="GP29" s="31">
        <v>100.0</v>
      </c>
      <c r="GQ29" s="31">
        <v>0.0</v>
      </c>
      <c r="GR29" s="31">
        <v>-999.9</v>
      </c>
      <c r="GS29" s="31">
        <v>460.0</v>
      </c>
      <c r="GT29" s="31">
        <v>15.5881</v>
      </c>
      <c r="GU29" s="31">
        <v>102.576</v>
      </c>
      <c r="GV29" s="31">
        <v>99.819</v>
      </c>
    </row>
    <row r="30" ht="14.25" customHeight="1">
      <c r="A30" s="41" t="s">
        <v>111</v>
      </c>
      <c r="B30" s="41" t="s">
        <v>64</v>
      </c>
      <c r="C30" s="41" t="s">
        <v>86</v>
      </c>
      <c r="D30" s="31">
        <v>48.0</v>
      </c>
      <c r="E30" s="31">
        <v>1.754884486E9</v>
      </c>
      <c r="F30" s="31">
        <v>6968.0</v>
      </c>
      <c r="G30" s="31" t="s">
        <v>490</v>
      </c>
      <c r="H30" s="42">
        <v>0.49636574074074075</v>
      </c>
      <c r="I30" s="31" t="s">
        <v>409</v>
      </c>
      <c r="J30" s="31">
        <v>1.754884486E9</v>
      </c>
      <c r="K30" s="31">
        <v>0.00461616693319211</v>
      </c>
      <c r="L30" s="31">
        <v>4.61616693319211</v>
      </c>
      <c r="M30" s="31">
        <v>3.80696249877488</v>
      </c>
      <c r="N30" s="31">
        <v>452.958994579898</v>
      </c>
      <c r="O30" s="31">
        <v>416.427653165527</v>
      </c>
      <c r="P30" s="31">
        <v>42.048455799109</v>
      </c>
      <c r="Q30" s="31">
        <v>45.7371793578534</v>
      </c>
      <c r="R30" s="31">
        <v>0.266251787249498</v>
      </c>
      <c r="S30" s="31">
        <v>2.76345838645657</v>
      </c>
      <c r="T30" s="31">
        <v>0.252777125639569</v>
      </c>
      <c r="U30" s="31">
        <v>0.159139501081352</v>
      </c>
      <c r="V30" s="31">
        <v>31.4400596816478</v>
      </c>
      <c r="W30" s="31">
        <v>34.6229083422803</v>
      </c>
      <c r="X30" s="31">
        <v>35.1032</v>
      </c>
      <c r="Y30" s="31">
        <v>5.68073135604929</v>
      </c>
      <c r="Z30" s="31">
        <v>66.8896877017284</v>
      </c>
      <c r="AA30" s="31">
        <v>3.924463879056</v>
      </c>
      <c r="AB30" s="31">
        <v>5.86706862282837</v>
      </c>
      <c r="AC30" s="31">
        <v>1.75626747699329</v>
      </c>
      <c r="AD30" s="31">
        <v>-203.572961753772</v>
      </c>
      <c r="AE30" s="31">
        <v>87.080895806163</v>
      </c>
      <c r="AF30" s="31">
        <v>7.38763520986483</v>
      </c>
      <c r="AG30" s="31">
        <v>-77.6643710560964</v>
      </c>
      <c r="AH30" s="31">
        <v>0.0</v>
      </c>
      <c r="AI30" s="31">
        <v>0.0</v>
      </c>
      <c r="AJ30" s="31">
        <v>1.0</v>
      </c>
      <c r="AK30" s="31">
        <v>0.0</v>
      </c>
      <c r="AL30" s="31">
        <v>46809.0</v>
      </c>
      <c r="AM30" s="31" t="s">
        <v>410</v>
      </c>
      <c r="AN30" s="31">
        <v>8173.37</v>
      </c>
      <c r="AO30" s="31">
        <v>559.295999999999</v>
      </c>
      <c r="AP30" s="31">
        <v>2893.93</v>
      </c>
      <c r="AQ30" s="31">
        <v>0.806734786259515</v>
      </c>
      <c r="AR30" s="31">
        <v>-2.38169762951563</v>
      </c>
      <c r="AS30" s="31" t="s">
        <v>491</v>
      </c>
      <c r="AT30" s="31">
        <v>8186.06</v>
      </c>
      <c r="AU30" s="31">
        <v>743.155199999999</v>
      </c>
      <c r="AV30" s="31">
        <v>2008.69</v>
      </c>
      <c r="AW30" s="31">
        <v>0.63002991999761</v>
      </c>
      <c r="AX30" s="31">
        <v>0.5</v>
      </c>
      <c r="AY30" s="31">
        <v>160.259300974947</v>
      </c>
      <c r="AZ30" s="31">
        <v>3.80696249877488</v>
      </c>
      <c r="BA30" s="31">
        <v>50.4840772860594</v>
      </c>
      <c r="BB30" s="31">
        <v>0.0386165426321058</v>
      </c>
      <c r="BC30" s="31">
        <v>0.440705136183283</v>
      </c>
      <c r="BD30" s="31">
        <v>515.398018800134</v>
      </c>
      <c r="BE30" s="31" t="s">
        <v>492</v>
      </c>
      <c r="BF30" s="31">
        <v>-944.87</v>
      </c>
      <c r="BG30" s="31">
        <v>-944.87</v>
      </c>
      <c r="BH30" s="31">
        <v>1.47039115045128</v>
      </c>
      <c r="BI30" s="31">
        <v>0.428477769200558</v>
      </c>
      <c r="BJ30" s="31">
        <v>0.230603313535479</v>
      </c>
      <c r="BK30" s="31">
        <v>0.873147536142691</v>
      </c>
      <c r="BL30" s="31">
        <v>0.379177207219632</v>
      </c>
      <c r="BM30" s="31">
        <v>-0.544779596219647</v>
      </c>
      <c r="BN30" s="31">
        <v>1.54477959621964</v>
      </c>
      <c r="BO30" s="31" t="s">
        <v>413</v>
      </c>
      <c r="BP30" s="31" t="s">
        <v>413</v>
      </c>
      <c r="BQ30" s="31" t="s">
        <v>413</v>
      </c>
      <c r="BR30" s="31" t="s">
        <v>413</v>
      </c>
      <c r="BS30" s="31" t="s">
        <v>413</v>
      </c>
      <c r="BT30" s="31" t="s">
        <v>413</v>
      </c>
      <c r="BU30" s="31" t="s">
        <v>413</v>
      </c>
      <c r="BV30" s="31" t="s">
        <v>413</v>
      </c>
      <c r="BW30" s="31" t="s">
        <v>413</v>
      </c>
      <c r="BX30" s="31" t="s">
        <v>413</v>
      </c>
      <c r="BY30" s="31" t="s">
        <v>413</v>
      </c>
      <c r="BZ30" s="31" t="s">
        <v>413</v>
      </c>
      <c r="CA30" s="31" t="s">
        <v>413</v>
      </c>
      <c r="CB30" s="31" t="s">
        <v>413</v>
      </c>
      <c r="CC30" s="31" t="s">
        <v>413</v>
      </c>
      <c r="CD30" s="31" t="s">
        <v>413</v>
      </c>
      <c r="CE30" s="31" t="s">
        <v>413</v>
      </c>
      <c r="CF30" s="31" t="s">
        <v>413</v>
      </c>
      <c r="CG30" s="31" t="s">
        <v>413</v>
      </c>
      <c r="CH30" s="31" t="s">
        <v>413</v>
      </c>
      <c r="CI30" s="31" t="s">
        <v>413</v>
      </c>
      <c r="CJ30" s="31" t="s">
        <v>413</v>
      </c>
      <c r="CK30" s="31" t="s">
        <v>413</v>
      </c>
      <c r="CL30" s="31" t="s">
        <v>413</v>
      </c>
      <c r="CM30" s="31" t="s">
        <v>413</v>
      </c>
      <c r="CN30" s="31" t="s">
        <v>413</v>
      </c>
      <c r="CO30" s="31" t="s">
        <v>413</v>
      </c>
      <c r="CP30" s="31" t="s">
        <v>413</v>
      </c>
      <c r="CQ30" s="31" t="s">
        <v>413</v>
      </c>
      <c r="CR30" s="31" t="s">
        <v>413</v>
      </c>
      <c r="CS30" s="31" t="s">
        <v>413</v>
      </c>
      <c r="CT30" s="31" t="s">
        <v>413</v>
      </c>
      <c r="CU30" s="31" t="s">
        <v>413</v>
      </c>
      <c r="CV30" s="31" t="s">
        <v>413</v>
      </c>
      <c r="CW30" s="31">
        <v>190.107</v>
      </c>
      <c r="CX30" s="31">
        <v>160.259300974947</v>
      </c>
      <c r="CY30" s="31">
        <v>0.8429952656922</v>
      </c>
      <c r="CZ30" s="31">
        <v>0.165380862785945</v>
      </c>
      <c r="DA30" s="31">
        <v>6.0</v>
      </c>
      <c r="DB30" s="31">
        <v>0.5</v>
      </c>
      <c r="DC30" s="31" t="s">
        <v>414</v>
      </c>
      <c r="DD30" s="31">
        <v>2.0</v>
      </c>
      <c r="DE30" s="31">
        <v>1.754884486E9</v>
      </c>
      <c r="DF30" s="31">
        <v>452.959</v>
      </c>
      <c r="DG30" s="31">
        <v>460.037</v>
      </c>
      <c r="DH30" s="31">
        <v>38.866</v>
      </c>
      <c r="DI30" s="31">
        <v>33.5415</v>
      </c>
      <c r="DJ30" s="31">
        <v>450.066</v>
      </c>
      <c r="DK30" s="31">
        <v>38.3141</v>
      </c>
      <c r="DL30" s="31">
        <v>499.963</v>
      </c>
      <c r="DM30" s="31">
        <v>100.875</v>
      </c>
      <c r="DN30" s="31">
        <v>0.099216</v>
      </c>
      <c r="DO30" s="31">
        <v>35.6877</v>
      </c>
      <c r="DP30" s="31">
        <v>35.1032</v>
      </c>
      <c r="DQ30" s="31">
        <v>999.9</v>
      </c>
      <c r="DR30" s="31">
        <v>0.0</v>
      </c>
      <c r="DS30" s="31">
        <v>0.0</v>
      </c>
      <c r="DT30" s="31">
        <v>9003.12</v>
      </c>
      <c r="DU30" s="31">
        <v>0.0</v>
      </c>
      <c r="DV30" s="31">
        <v>636.211</v>
      </c>
      <c r="DW30" s="31">
        <v>190.107</v>
      </c>
      <c r="DX30" s="31">
        <v>0.900092</v>
      </c>
      <c r="DY30" s="31">
        <v>0.099908</v>
      </c>
      <c r="DZ30" s="31">
        <v>0.0</v>
      </c>
      <c r="EA30" s="31">
        <v>743.305</v>
      </c>
      <c r="EB30" s="31">
        <v>0.0999973</v>
      </c>
      <c r="EC30" s="31">
        <v>2730.11</v>
      </c>
      <c r="ED30" s="31">
        <v>1685.06</v>
      </c>
      <c r="EE30" s="31">
        <v>40.812</v>
      </c>
      <c r="EF30" s="31">
        <v>44.375</v>
      </c>
      <c r="EG30" s="31">
        <v>42.375</v>
      </c>
      <c r="EH30" s="31">
        <v>43.875</v>
      </c>
      <c r="EI30" s="31">
        <v>43.437</v>
      </c>
      <c r="EJ30" s="31">
        <v>171.02</v>
      </c>
      <c r="EK30" s="31">
        <v>18.98</v>
      </c>
      <c r="EL30" s="31">
        <v>0.0</v>
      </c>
      <c r="EM30" s="31">
        <v>142.200000047683</v>
      </c>
      <c r="EN30" s="31">
        <v>0.0</v>
      </c>
      <c r="EO30" s="31">
        <v>743.155199999999</v>
      </c>
      <c r="EP30" s="31">
        <v>-16.8707692116296</v>
      </c>
      <c r="EQ30" s="31">
        <v>67.6853841143942</v>
      </c>
      <c r="ER30" s="31">
        <v>2726.1724</v>
      </c>
      <c r="ES30" s="31">
        <v>15.0</v>
      </c>
      <c r="ET30" s="31">
        <v>1.754884367E9</v>
      </c>
      <c r="EU30" s="42">
        <v>0.4949884259259259</v>
      </c>
      <c r="EV30" s="31">
        <v>1.754884367E9</v>
      </c>
      <c r="EW30" s="31">
        <v>1.7548765351E9</v>
      </c>
      <c r="EX30" s="31">
        <v>14.0</v>
      </c>
      <c r="EY30" s="31">
        <v>-0.085</v>
      </c>
      <c r="EZ30" s="31">
        <v>-0.002</v>
      </c>
      <c r="FA30" s="31">
        <v>2.891</v>
      </c>
      <c r="FB30" s="31">
        <v>0.297</v>
      </c>
      <c r="FC30" s="31">
        <v>460.0</v>
      </c>
      <c r="FD30" s="31">
        <v>20.0</v>
      </c>
      <c r="FE30" s="31">
        <v>0.64</v>
      </c>
      <c r="FF30" s="31">
        <v>0.06</v>
      </c>
      <c r="FG30" s="31">
        <v>100.0</v>
      </c>
      <c r="FH30" s="31">
        <v>100.0</v>
      </c>
      <c r="FI30" s="31">
        <v>2.893</v>
      </c>
      <c r="FJ30" s="31">
        <v>0.5519</v>
      </c>
      <c r="FK30" s="31">
        <v>2.99327949387386</v>
      </c>
      <c r="FL30" s="31">
        <v>-2.2595428698806E-4</v>
      </c>
      <c r="FM30" s="43">
        <v>5.20417301097471E-9</v>
      </c>
      <c r="FN30" s="43">
        <v>1.17243702350096E-12</v>
      </c>
      <c r="FO30" s="31">
        <v>0.551873338452037</v>
      </c>
      <c r="FP30" s="31">
        <v>0.0</v>
      </c>
      <c r="FQ30" s="31">
        <v>0.0</v>
      </c>
      <c r="FR30" s="31">
        <v>0.0</v>
      </c>
      <c r="FS30" s="31">
        <v>1.0</v>
      </c>
      <c r="FT30" s="31">
        <v>2266.0</v>
      </c>
      <c r="FU30" s="31">
        <v>1.0</v>
      </c>
      <c r="FV30" s="31">
        <v>26.0</v>
      </c>
      <c r="FW30" s="31">
        <v>2.0</v>
      </c>
      <c r="FX30" s="31">
        <v>132.5</v>
      </c>
      <c r="FY30" s="31">
        <v>1.12305</v>
      </c>
      <c r="FZ30" s="31">
        <v>2.55249</v>
      </c>
      <c r="GA30" s="31">
        <v>1.59668</v>
      </c>
      <c r="GB30" s="31">
        <v>2.31812</v>
      </c>
      <c r="GC30" s="31">
        <v>1.5979</v>
      </c>
      <c r="GD30" s="31">
        <v>2.31445</v>
      </c>
      <c r="GE30" s="31">
        <v>43.7817</v>
      </c>
      <c r="GF30" s="31">
        <v>15.1915</v>
      </c>
      <c r="GG30" s="31">
        <v>18.0</v>
      </c>
      <c r="GH30" s="31">
        <v>508.392</v>
      </c>
      <c r="GI30" s="31">
        <v>464.995</v>
      </c>
      <c r="GJ30" s="31">
        <v>35.6932</v>
      </c>
      <c r="GK30" s="31">
        <v>35.3902</v>
      </c>
      <c r="GL30" s="31">
        <v>29.9996</v>
      </c>
      <c r="GM30" s="31">
        <v>35.3346</v>
      </c>
      <c r="GN30" s="31">
        <v>35.2545</v>
      </c>
      <c r="GO30" s="31">
        <v>22.5448</v>
      </c>
      <c r="GP30" s="31">
        <v>100.0</v>
      </c>
      <c r="GQ30" s="31">
        <v>0.0</v>
      </c>
      <c r="GR30" s="31">
        <v>-999.9</v>
      </c>
      <c r="GS30" s="31">
        <v>460.0</v>
      </c>
      <c r="GT30" s="31">
        <v>15.5881</v>
      </c>
      <c r="GU30" s="31">
        <v>102.541</v>
      </c>
      <c r="GV30" s="31">
        <v>99.7349</v>
      </c>
    </row>
    <row r="31" ht="14.25" customHeight="1">
      <c r="A31" s="41" t="s">
        <v>111</v>
      </c>
      <c r="B31" s="41" t="s">
        <v>64</v>
      </c>
      <c r="C31" s="41" t="s">
        <v>87</v>
      </c>
      <c r="D31" s="31">
        <v>49.0</v>
      </c>
      <c r="E31" s="31">
        <v>1.7548846235E9</v>
      </c>
      <c r="F31" s="31">
        <v>7105.5</v>
      </c>
      <c r="G31" s="31" t="s">
        <v>493</v>
      </c>
      <c r="H31" s="42">
        <v>0.4979513888888889</v>
      </c>
      <c r="I31" s="31" t="s">
        <v>409</v>
      </c>
      <c r="J31" s="31">
        <v>1.7548846235E9</v>
      </c>
      <c r="K31" s="31">
        <v>0.00535518802115131</v>
      </c>
      <c r="L31" s="31">
        <v>5.35518802115131</v>
      </c>
      <c r="M31" s="31">
        <v>2.11162850995079</v>
      </c>
      <c r="N31" s="31">
        <v>454.49699699673</v>
      </c>
      <c r="O31" s="31">
        <v>435.312182709374</v>
      </c>
      <c r="P31" s="31">
        <v>43.9617877274162</v>
      </c>
      <c r="Q31" s="31">
        <v>45.8992449518875</v>
      </c>
      <c r="R31" s="31">
        <v>0.400520493520906</v>
      </c>
      <c r="S31" s="31">
        <v>2.7631065891982</v>
      </c>
      <c r="T31" s="31">
        <v>0.370837878390481</v>
      </c>
      <c r="U31" s="31">
        <v>0.234256958278138</v>
      </c>
      <c r="V31" s="31">
        <v>31.4409944690242</v>
      </c>
      <c r="W31" s="31">
        <v>33.9311910113635</v>
      </c>
      <c r="X31" s="31">
        <v>34.2851</v>
      </c>
      <c r="Y31" s="31">
        <v>5.42856940627646</v>
      </c>
      <c r="Z31" s="31">
        <v>70.719718799152</v>
      </c>
      <c r="AA31" s="31">
        <v>4.03856440786049</v>
      </c>
      <c r="AB31" s="31">
        <v>5.71066242405494</v>
      </c>
      <c r="AC31" s="31">
        <v>1.39000499841596</v>
      </c>
      <c r="AD31" s="31">
        <v>-236.163791732772</v>
      </c>
      <c r="AE31" s="31">
        <v>136.019578485091</v>
      </c>
      <c r="AF31" s="31">
        <v>11.4676593534748</v>
      </c>
      <c r="AG31" s="31">
        <v>-57.2355594251826</v>
      </c>
      <c r="AH31" s="31">
        <v>0.0</v>
      </c>
      <c r="AI31" s="31">
        <v>0.0</v>
      </c>
      <c r="AJ31" s="31">
        <v>1.0</v>
      </c>
      <c r="AK31" s="31">
        <v>0.0</v>
      </c>
      <c r="AL31" s="31">
        <v>46874.0</v>
      </c>
      <c r="AM31" s="31" t="s">
        <v>410</v>
      </c>
      <c r="AN31" s="31">
        <v>8173.37</v>
      </c>
      <c r="AO31" s="31">
        <v>559.295999999999</v>
      </c>
      <c r="AP31" s="31">
        <v>2893.93</v>
      </c>
      <c r="AQ31" s="31">
        <v>0.806734786259515</v>
      </c>
      <c r="AR31" s="31">
        <v>-2.38169762951563</v>
      </c>
      <c r="AS31" s="31" t="s">
        <v>494</v>
      </c>
      <c r="AT31" s="31">
        <v>8108.4</v>
      </c>
      <c r="AU31" s="31">
        <v>525.8016</v>
      </c>
      <c r="AV31" s="31">
        <v>1524.34</v>
      </c>
      <c r="AW31" s="31">
        <v>0.65506278126927</v>
      </c>
      <c r="AX31" s="31">
        <v>0.5</v>
      </c>
      <c r="AY31" s="31">
        <v>160.259028015038</v>
      </c>
      <c r="AZ31" s="31">
        <v>2.11162850995079</v>
      </c>
      <c r="BA31" s="31">
        <v>52.4898623075205</v>
      </c>
      <c r="BB31" s="31">
        <v>0.0280378971164406</v>
      </c>
      <c r="BC31" s="31">
        <v>0.898480653922353</v>
      </c>
      <c r="BD31" s="31">
        <v>476.546122118319</v>
      </c>
      <c r="BE31" s="31" t="s">
        <v>495</v>
      </c>
      <c r="BF31" s="31">
        <v>-592.93</v>
      </c>
      <c r="BG31" s="31">
        <v>-592.93</v>
      </c>
      <c r="BH31" s="31">
        <v>1.38897490061272</v>
      </c>
      <c r="BI31" s="31">
        <v>0.471615996070411</v>
      </c>
      <c r="BJ31" s="31">
        <v>0.392786059663995</v>
      </c>
      <c r="BK31" s="31">
        <v>1.03470764027339</v>
      </c>
      <c r="BL31" s="31">
        <v>0.586640132885925</v>
      </c>
      <c r="BM31" s="31">
        <v>-0.531826591151546</v>
      </c>
      <c r="BN31" s="31">
        <v>1.53182659115154</v>
      </c>
      <c r="BO31" s="31" t="s">
        <v>413</v>
      </c>
      <c r="BP31" s="31" t="s">
        <v>413</v>
      </c>
      <c r="BQ31" s="31" t="s">
        <v>413</v>
      </c>
      <c r="BR31" s="31" t="s">
        <v>413</v>
      </c>
      <c r="BS31" s="31" t="s">
        <v>413</v>
      </c>
      <c r="BT31" s="31" t="s">
        <v>413</v>
      </c>
      <c r="BU31" s="31" t="s">
        <v>413</v>
      </c>
      <c r="BV31" s="31" t="s">
        <v>413</v>
      </c>
      <c r="BW31" s="31" t="s">
        <v>413</v>
      </c>
      <c r="BX31" s="31" t="s">
        <v>413</v>
      </c>
      <c r="BY31" s="31" t="s">
        <v>413</v>
      </c>
      <c r="BZ31" s="31" t="s">
        <v>413</v>
      </c>
      <c r="CA31" s="31" t="s">
        <v>413</v>
      </c>
      <c r="CB31" s="31" t="s">
        <v>413</v>
      </c>
      <c r="CC31" s="31" t="s">
        <v>413</v>
      </c>
      <c r="CD31" s="31" t="s">
        <v>413</v>
      </c>
      <c r="CE31" s="31" t="s">
        <v>413</v>
      </c>
      <c r="CF31" s="31" t="s">
        <v>413</v>
      </c>
      <c r="CG31" s="31" t="s">
        <v>413</v>
      </c>
      <c r="CH31" s="31" t="s">
        <v>413</v>
      </c>
      <c r="CI31" s="31" t="s">
        <v>413</v>
      </c>
      <c r="CJ31" s="31" t="s">
        <v>413</v>
      </c>
      <c r="CK31" s="31" t="s">
        <v>413</v>
      </c>
      <c r="CL31" s="31" t="s">
        <v>413</v>
      </c>
      <c r="CM31" s="31" t="s">
        <v>413</v>
      </c>
      <c r="CN31" s="31" t="s">
        <v>413</v>
      </c>
      <c r="CO31" s="31" t="s">
        <v>413</v>
      </c>
      <c r="CP31" s="31" t="s">
        <v>413</v>
      </c>
      <c r="CQ31" s="31" t="s">
        <v>413</v>
      </c>
      <c r="CR31" s="31" t="s">
        <v>413</v>
      </c>
      <c r="CS31" s="31" t="s">
        <v>413</v>
      </c>
      <c r="CT31" s="31" t="s">
        <v>413</v>
      </c>
      <c r="CU31" s="31" t="s">
        <v>413</v>
      </c>
      <c r="CV31" s="31" t="s">
        <v>413</v>
      </c>
      <c r="CW31" s="31">
        <v>190.106</v>
      </c>
      <c r="CX31" s="31">
        <v>160.259028015038</v>
      </c>
      <c r="CY31" s="31">
        <v>0.842998264205435</v>
      </c>
      <c r="CZ31" s="31">
        <v>0.16538664991649</v>
      </c>
      <c r="DA31" s="31">
        <v>6.0</v>
      </c>
      <c r="DB31" s="31">
        <v>0.5</v>
      </c>
      <c r="DC31" s="31" t="s">
        <v>414</v>
      </c>
      <c r="DD31" s="31">
        <v>2.0</v>
      </c>
      <c r="DE31" s="31">
        <v>1.7548846235E9</v>
      </c>
      <c r="DF31" s="31">
        <v>454.497</v>
      </c>
      <c r="DG31" s="31">
        <v>459.951</v>
      </c>
      <c r="DH31" s="31">
        <v>39.9901</v>
      </c>
      <c r="DI31" s="31">
        <v>33.8216</v>
      </c>
      <c r="DJ31" s="31">
        <v>451.605</v>
      </c>
      <c r="DK31" s="31">
        <v>39.4382</v>
      </c>
      <c r="DL31" s="31">
        <v>500.06</v>
      </c>
      <c r="DM31" s="31">
        <v>100.889</v>
      </c>
      <c r="DN31" s="31">
        <v>0.100105</v>
      </c>
      <c r="DO31" s="31">
        <v>35.1982</v>
      </c>
      <c r="DP31" s="31">
        <v>34.2851</v>
      </c>
      <c r="DQ31" s="31">
        <v>999.9</v>
      </c>
      <c r="DR31" s="31">
        <v>0.0</v>
      </c>
      <c r="DS31" s="31">
        <v>0.0</v>
      </c>
      <c r="DT31" s="31">
        <v>9000.0</v>
      </c>
      <c r="DU31" s="31">
        <v>0.0</v>
      </c>
      <c r="DV31" s="31">
        <v>588.454</v>
      </c>
      <c r="DW31" s="31">
        <v>190.106</v>
      </c>
      <c r="DX31" s="31">
        <v>0.900022</v>
      </c>
      <c r="DY31" s="31">
        <v>0.0999779</v>
      </c>
      <c r="DZ31" s="31">
        <v>0.0</v>
      </c>
      <c r="EA31" s="31">
        <v>522.035</v>
      </c>
      <c r="EB31" s="31">
        <v>0.0999973</v>
      </c>
      <c r="EC31" s="31">
        <v>2130.84</v>
      </c>
      <c r="ED31" s="31">
        <v>1685.02</v>
      </c>
      <c r="EE31" s="31">
        <v>40.562</v>
      </c>
      <c r="EF31" s="31">
        <v>43.875</v>
      </c>
      <c r="EG31" s="31">
        <v>42.125</v>
      </c>
      <c r="EH31" s="31">
        <v>43.562</v>
      </c>
      <c r="EI31" s="31">
        <v>43.187</v>
      </c>
      <c r="EJ31" s="31">
        <v>171.01</v>
      </c>
      <c r="EK31" s="31">
        <v>19.0</v>
      </c>
      <c r="EL31" s="31">
        <v>0.0</v>
      </c>
      <c r="EM31" s="31">
        <v>135.599999904632</v>
      </c>
      <c r="EN31" s="31">
        <v>0.0</v>
      </c>
      <c r="EO31" s="31">
        <v>525.8016</v>
      </c>
      <c r="EP31" s="31">
        <v>-23.4092309072058</v>
      </c>
      <c r="EQ31" s="31">
        <v>157.461538421939</v>
      </c>
      <c r="ER31" s="31">
        <v>2096.2472</v>
      </c>
      <c r="ES31" s="31">
        <v>15.0</v>
      </c>
      <c r="ET31" s="31">
        <v>1.754884367E9</v>
      </c>
      <c r="EU31" s="42">
        <v>0.4949884259259259</v>
      </c>
      <c r="EV31" s="31">
        <v>1.754884367E9</v>
      </c>
      <c r="EW31" s="31">
        <v>1.7548765351E9</v>
      </c>
      <c r="EX31" s="31">
        <v>14.0</v>
      </c>
      <c r="EY31" s="31">
        <v>-0.085</v>
      </c>
      <c r="EZ31" s="31">
        <v>-0.002</v>
      </c>
      <c r="FA31" s="31">
        <v>2.891</v>
      </c>
      <c r="FB31" s="31">
        <v>0.297</v>
      </c>
      <c r="FC31" s="31">
        <v>460.0</v>
      </c>
      <c r="FD31" s="31">
        <v>20.0</v>
      </c>
      <c r="FE31" s="31">
        <v>0.64</v>
      </c>
      <c r="FF31" s="31">
        <v>0.06</v>
      </c>
      <c r="FG31" s="31">
        <v>100.0</v>
      </c>
      <c r="FH31" s="31">
        <v>100.0</v>
      </c>
      <c r="FI31" s="31">
        <v>2.892</v>
      </c>
      <c r="FJ31" s="31">
        <v>0.5519</v>
      </c>
      <c r="FK31" s="31">
        <v>2.99327949387386</v>
      </c>
      <c r="FL31" s="31">
        <v>-2.2595428698806E-4</v>
      </c>
      <c r="FM31" s="43">
        <v>5.20417301097471E-9</v>
      </c>
      <c r="FN31" s="43">
        <v>1.17243702350096E-12</v>
      </c>
      <c r="FO31" s="31">
        <v>0.551873338452037</v>
      </c>
      <c r="FP31" s="31">
        <v>0.0</v>
      </c>
      <c r="FQ31" s="31">
        <v>0.0</v>
      </c>
      <c r="FR31" s="31">
        <v>0.0</v>
      </c>
      <c r="FS31" s="31">
        <v>1.0</v>
      </c>
      <c r="FT31" s="31">
        <v>2266.0</v>
      </c>
      <c r="FU31" s="31">
        <v>1.0</v>
      </c>
      <c r="FV31" s="31">
        <v>26.0</v>
      </c>
      <c r="FW31" s="31">
        <v>4.3</v>
      </c>
      <c r="FX31" s="31">
        <v>134.8</v>
      </c>
      <c r="FY31" s="31">
        <v>1.12427</v>
      </c>
      <c r="FZ31" s="31">
        <v>2.56348</v>
      </c>
      <c r="GA31" s="31">
        <v>1.59668</v>
      </c>
      <c r="GB31" s="31">
        <v>2.31689</v>
      </c>
      <c r="GC31" s="31">
        <v>1.5979</v>
      </c>
      <c r="GD31" s="31">
        <v>2.35474</v>
      </c>
      <c r="GE31" s="31">
        <v>43.8092</v>
      </c>
      <c r="GF31" s="31">
        <v>15.1652</v>
      </c>
      <c r="GG31" s="31">
        <v>18.0</v>
      </c>
      <c r="GH31" s="31">
        <v>508.07</v>
      </c>
      <c r="GI31" s="31">
        <v>465.511</v>
      </c>
      <c r="GJ31" s="31">
        <v>35.4676</v>
      </c>
      <c r="GK31" s="31">
        <v>35.2541</v>
      </c>
      <c r="GL31" s="31">
        <v>29.9997</v>
      </c>
      <c r="GM31" s="31">
        <v>35.2456</v>
      </c>
      <c r="GN31" s="31">
        <v>35.1765</v>
      </c>
      <c r="GO31" s="31">
        <v>22.5478</v>
      </c>
      <c r="GP31" s="31">
        <v>100.0</v>
      </c>
      <c r="GQ31" s="31">
        <v>0.0</v>
      </c>
      <c r="GR31" s="31">
        <v>-999.9</v>
      </c>
      <c r="GS31" s="31">
        <v>460.0</v>
      </c>
      <c r="GT31" s="31">
        <v>15.5881</v>
      </c>
      <c r="GU31" s="31">
        <v>102.557</v>
      </c>
      <c r="GV31" s="31">
        <v>99.7551</v>
      </c>
    </row>
    <row r="32" ht="15.75" customHeight="1">
      <c r="A32" s="41" t="s">
        <v>111</v>
      </c>
      <c r="B32" s="41" t="s">
        <v>66</v>
      </c>
      <c r="C32" s="41" t="s">
        <v>86</v>
      </c>
      <c r="D32" s="31">
        <v>5.0</v>
      </c>
      <c r="E32" s="31">
        <v>1.7548781115E9</v>
      </c>
      <c r="F32" s="31">
        <v>593.5</v>
      </c>
      <c r="G32" s="31" t="s">
        <v>496</v>
      </c>
      <c r="H32" s="42">
        <v>0.42258101851851854</v>
      </c>
      <c r="I32" s="31" t="s">
        <v>409</v>
      </c>
      <c r="J32" s="31">
        <v>1.7548781115E9</v>
      </c>
      <c r="K32" s="31">
        <v>0.00395671887447331</v>
      </c>
      <c r="L32" s="31">
        <v>3.95671887447331</v>
      </c>
      <c r="M32" s="31">
        <v>5.48666793696217</v>
      </c>
      <c r="N32" s="31">
        <v>451.203992245137</v>
      </c>
      <c r="O32" s="31">
        <v>411.553000059782</v>
      </c>
      <c r="P32" s="31">
        <v>41.5758736304698</v>
      </c>
      <c r="Q32" s="31">
        <v>45.5814929314629</v>
      </c>
      <c r="R32" s="31">
        <v>0.305472641719946</v>
      </c>
      <c r="S32" s="31">
        <v>2.76389529638185</v>
      </c>
      <c r="T32" s="31">
        <v>0.287879218521293</v>
      </c>
      <c r="U32" s="31">
        <v>0.18142071555494</v>
      </c>
      <c r="V32" s="31">
        <v>31.3799574891588</v>
      </c>
      <c r="W32" s="31">
        <v>32.5766690558562</v>
      </c>
      <c r="X32" s="31">
        <v>32.4477</v>
      </c>
      <c r="Y32" s="31">
        <v>4.89742710833479</v>
      </c>
      <c r="Z32" s="31">
        <v>68.7951826614104</v>
      </c>
      <c r="AA32" s="31">
        <v>3.56711424881054</v>
      </c>
      <c r="AB32" s="31">
        <v>5.18512214200641</v>
      </c>
      <c r="AC32" s="31">
        <v>1.33031285952424</v>
      </c>
      <c r="AD32" s="31">
        <v>-174.491302364273</v>
      </c>
      <c r="AE32" s="31">
        <v>151.331634340747</v>
      </c>
      <c r="AF32" s="31">
        <v>12.5341628729786</v>
      </c>
      <c r="AG32" s="31">
        <v>20.7544523386119</v>
      </c>
      <c r="AH32" s="31">
        <v>0.0</v>
      </c>
      <c r="AI32" s="31">
        <v>0.0</v>
      </c>
      <c r="AJ32" s="31">
        <v>1.0</v>
      </c>
      <c r="AK32" s="31">
        <v>0.0</v>
      </c>
      <c r="AL32" s="31">
        <v>47161.0</v>
      </c>
      <c r="AM32" s="31" t="s">
        <v>410</v>
      </c>
      <c r="AN32" s="31">
        <v>8173.37</v>
      </c>
      <c r="AO32" s="31">
        <v>559.295999999999</v>
      </c>
      <c r="AP32" s="31">
        <v>2893.93</v>
      </c>
      <c r="AQ32" s="31">
        <v>0.806734786259515</v>
      </c>
      <c r="AR32" s="31">
        <v>-2.38169762951563</v>
      </c>
      <c r="AS32" s="31" t="s">
        <v>497</v>
      </c>
      <c r="AT32" s="31">
        <v>8158.03</v>
      </c>
      <c r="AU32" s="31">
        <v>718.807884615384</v>
      </c>
      <c r="AV32" s="31">
        <v>2260.79</v>
      </c>
      <c r="AW32" s="31">
        <v>0.682054554109234</v>
      </c>
      <c r="AX32" s="31">
        <v>0.5</v>
      </c>
      <c r="AY32" s="31">
        <v>159.943412999564</v>
      </c>
      <c r="AZ32" s="31">
        <v>5.48666793696217</v>
      </c>
      <c r="BA32" s="31">
        <v>54.5450666180634</v>
      </c>
      <c r="BB32" s="31">
        <v>0.0491946834128095</v>
      </c>
      <c r="BC32" s="31">
        <v>0.280052548003131</v>
      </c>
      <c r="BD32" s="31">
        <v>530.578736010999</v>
      </c>
      <c r="BE32" s="31" t="s">
        <v>498</v>
      </c>
      <c r="BF32" s="31">
        <v>613.07</v>
      </c>
      <c r="BG32" s="31">
        <v>613.07</v>
      </c>
      <c r="BH32" s="31">
        <v>0.728824879798654</v>
      </c>
      <c r="BI32" s="31">
        <v>0.935827759197324</v>
      </c>
      <c r="BJ32" s="31">
        <v>0.277588278105626</v>
      </c>
      <c r="BK32" s="31">
        <v>0.90625186770251</v>
      </c>
      <c r="BL32" s="31">
        <v>0.271194542699198</v>
      </c>
      <c r="BM32" s="31">
        <v>0.79816587520891</v>
      </c>
      <c r="BN32" s="31">
        <v>0.201834124791089</v>
      </c>
      <c r="BO32" s="31" t="s">
        <v>413</v>
      </c>
      <c r="BP32" s="31" t="s">
        <v>413</v>
      </c>
      <c r="BQ32" s="31" t="s">
        <v>413</v>
      </c>
      <c r="BR32" s="31" t="s">
        <v>413</v>
      </c>
      <c r="BS32" s="31" t="s">
        <v>413</v>
      </c>
      <c r="BT32" s="31" t="s">
        <v>413</v>
      </c>
      <c r="BU32" s="31" t="s">
        <v>413</v>
      </c>
      <c r="BV32" s="31" t="s">
        <v>413</v>
      </c>
      <c r="BW32" s="31" t="s">
        <v>413</v>
      </c>
      <c r="BX32" s="31" t="s">
        <v>413</v>
      </c>
      <c r="BY32" s="31" t="s">
        <v>413</v>
      </c>
      <c r="BZ32" s="31" t="s">
        <v>413</v>
      </c>
      <c r="CA32" s="31" t="s">
        <v>413</v>
      </c>
      <c r="CB32" s="31" t="s">
        <v>413</v>
      </c>
      <c r="CC32" s="31" t="s">
        <v>413</v>
      </c>
      <c r="CD32" s="31" t="s">
        <v>413</v>
      </c>
      <c r="CE32" s="31" t="s">
        <v>413</v>
      </c>
      <c r="CF32" s="31" t="s">
        <v>413</v>
      </c>
      <c r="CG32" s="31" t="s">
        <v>413</v>
      </c>
      <c r="CH32" s="31" t="s">
        <v>413</v>
      </c>
      <c r="CI32" s="31" t="s">
        <v>413</v>
      </c>
      <c r="CJ32" s="31" t="s">
        <v>413</v>
      </c>
      <c r="CK32" s="31" t="s">
        <v>413</v>
      </c>
      <c r="CL32" s="31" t="s">
        <v>413</v>
      </c>
      <c r="CM32" s="31" t="s">
        <v>413</v>
      </c>
      <c r="CN32" s="31" t="s">
        <v>413</v>
      </c>
      <c r="CO32" s="31" t="s">
        <v>413</v>
      </c>
      <c r="CP32" s="31" t="s">
        <v>413</v>
      </c>
      <c r="CQ32" s="31" t="s">
        <v>413</v>
      </c>
      <c r="CR32" s="31" t="s">
        <v>413</v>
      </c>
      <c r="CS32" s="31" t="s">
        <v>413</v>
      </c>
      <c r="CT32" s="31" t="s">
        <v>413</v>
      </c>
      <c r="CU32" s="31" t="s">
        <v>413</v>
      </c>
      <c r="CV32" s="31" t="s">
        <v>413</v>
      </c>
      <c r="CW32" s="31">
        <v>189.731</v>
      </c>
      <c r="CX32" s="31">
        <v>159.943412999564</v>
      </c>
      <c r="CY32" s="31">
        <v>0.8430009487093</v>
      </c>
      <c r="CZ32" s="31">
        <v>0.165391831008948</v>
      </c>
      <c r="DA32" s="31">
        <v>6.0</v>
      </c>
      <c r="DB32" s="31">
        <v>0.5</v>
      </c>
      <c r="DC32" s="31" t="s">
        <v>414</v>
      </c>
      <c r="DD32" s="31">
        <v>2.0</v>
      </c>
      <c r="DE32" s="31">
        <v>1.7548781115E9</v>
      </c>
      <c r="DF32" s="31">
        <v>451.204</v>
      </c>
      <c r="DG32" s="31">
        <v>459.933</v>
      </c>
      <c r="DH32" s="31">
        <v>35.3103</v>
      </c>
      <c r="DI32" s="31">
        <v>30.7285</v>
      </c>
      <c r="DJ32" s="31">
        <v>448.904</v>
      </c>
      <c r="DK32" s="31">
        <v>34.7584</v>
      </c>
      <c r="DL32" s="31">
        <v>499.848</v>
      </c>
      <c r="DM32" s="31">
        <v>100.922</v>
      </c>
      <c r="DN32" s="31">
        <v>0.0999185</v>
      </c>
      <c r="DO32" s="31">
        <v>33.4633</v>
      </c>
      <c r="DP32" s="31">
        <v>32.4477</v>
      </c>
      <c r="DQ32" s="31">
        <v>999.9</v>
      </c>
      <c r="DR32" s="31">
        <v>0.0</v>
      </c>
      <c r="DS32" s="31">
        <v>0.0</v>
      </c>
      <c r="DT32" s="31">
        <v>9001.25</v>
      </c>
      <c r="DU32" s="31">
        <v>0.0</v>
      </c>
      <c r="DV32" s="31">
        <v>1375.22</v>
      </c>
      <c r="DW32" s="31">
        <v>189.731</v>
      </c>
      <c r="DX32" s="31">
        <v>0.899932</v>
      </c>
      <c r="DY32" s="31">
        <v>0.100068</v>
      </c>
      <c r="DZ32" s="31">
        <v>0.0</v>
      </c>
      <c r="EA32" s="31">
        <v>712.725</v>
      </c>
      <c r="EB32" s="31">
        <v>0.0999973</v>
      </c>
      <c r="EC32" s="31">
        <v>3586.99</v>
      </c>
      <c r="ED32" s="31">
        <v>1681.64</v>
      </c>
      <c r="EE32" s="31">
        <v>39.25</v>
      </c>
      <c r="EF32" s="31">
        <v>43.25</v>
      </c>
      <c r="EG32" s="31">
        <v>40.937</v>
      </c>
      <c r="EH32" s="31">
        <v>42.687</v>
      </c>
      <c r="EI32" s="31">
        <v>41.812</v>
      </c>
      <c r="EJ32" s="31">
        <v>170.66</v>
      </c>
      <c r="EK32" s="31">
        <v>18.98</v>
      </c>
      <c r="EL32" s="31">
        <v>0.0</v>
      </c>
      <c r="EM32" s="31">
        <v>153.599999904632</v>
      </c>
      <c r="EN32" s="31">
        <v>0.0</v>
      </c>
      <c r="EO32" s="31">
        <v>718.807884615384</v>
      </c>
      <c r="EP32" s="31">
        <v>-29.5560683835757</v>
      </c>
      <c r="EQ32" s="31">
        <v>98.1275208252487</v>
      </c>
      <c r="ER32" s="31">
        <v>3559.46038461538</v>
      </c>
      <c r="ES32" s="31">
        <v>15.0</v>
      </c>
      <c r="ET32" s="31">
        <v>1.754877537E9</v>
      </c>
      <c r="EU32" s="42">
        <v>0.4159375</v>
      </c>
      <c r="EV32" s="31">
        <v>1.754877537E9</v>
      </c>
      <c r="EW32" s="31">
        <v>1.7548765351E9</v>
      </c>
      <c r="EX32" s="31">
        <v>3.0</v>
      </c>
      <c r="EY32" s="31">
        <v>0.273</v>
      </c>
      <c r="EZ32" s="31">
        <v>-0.002</v>
      </c>
      <c r="FA32" s="31">
        <v>2.298</v>
      </c>
      <c r="FB32" s="31">
        <v>0.297</v>
      </c>
      <c r="FC32" s="31">
        <v>460.0</v>
      </c>
      <c r="FD32" s="31">
        <v>20.0</v>
      </c>
      <c r="FE32" s="31">
        <v>0.39</v>
      </c>
      <c r="FF32" s="31">
        <v>0.06</v>
      </c>
      <c r="FG32" s="31">
        <v>100.0</v>
      </c>
      <c r="FH32" s="31">
        <v>100.0</v>
      </c>
      <c r="FI32" s="31">
        <v>2.3</v>
      </c>
      <c r="FJ32" s="31">
        <v>0.5519</v>
      </c>
      <c r="FK32" s="31">
        <v>2.40041772269655</v>
      </c>
      <c r="FL32" s="31">
        <v>-2.2595428698806E-4</v>
      </c>
      <c r="FM32" s="43">
        <v>5.20417301097471E-9</v>
      </c>
      <c r="FN32" s="43">
        <v>1.17243702350096E-12</v>
      </c>
      <c r="FO32" s="31">
        <v>0.551873338452037</v>
      </c>
      <c r="FP32" s="31">
        <v>0.0</v>
      </c>
      <c r="FQ32" s="31">
        <v>0.0</v>
      </c>
      <c r="FR32" s="31">
        <v>0.0</v>
      </c>
      <c r="FS32" s="31">
        <v>1.0</v>
      </c>
      <c r="FT32" s="31">
        <v>2266.0</v>
      </c>
      <c r="FU32" s="31">
        <v>1.0</v>
      </c>
      <c r="FV32" s="31">
        <v>26.0</v>
      </c>
      <c r="FW32" s="31">
        <v>9.6</v>
      </c>
      <c r="FX32" s="31">
        <v>26.3</v>
      </c>
      <c r="FY32" s="31">
        <v>1.10352</v>
      </c>
      <c r="FZ32" s="31">
        <v>2.49634</v>
      </c>
      <c r="GA32" s="31">
        <v>1.59546</v>
      </c>
      <c r="GB32" s="31">
        <v>2.33398</v>
      </c>
      <c r="GC32" s="31">
        <v>1.5979</v>
      </c>
      <c r="GD32" s="31">
        <v>2.34497</v>
      </c>
      <c r="GE32" s="31">
        <v>38.3545</v>
      </c>
      <c r="GF32" s="31">
        <v>16.0583</v>
      </c>
      <c r="GG32" s="31">
        <v>18.0</v>
      </c>
      <c r="GH32" s="31">
        <v>504.755</v>
      </c>
      <c r="GI32" s="31">
        <v>508.169</v>
      </c>
      <c r="GJ32" s="31">
        <v>32.9964</v>
      </c>
      <c r="GK32" s="31">
        <v>33.4515</v>
      </c>
      <c r="GL32" s="31">
        <v>30.0016</v>
      </c>
      <c r="GM32" s="31">
        <v>33.2678</v>
      </c>
      <c r="GN32" s="31">
        <v>33.1781</v>
      </c>
      <c r="GO32" s="31">
        <v>22.152</v>
      </c>
      <c r="GP32" s="31">
        <v>100.0</v>
      </c>
      <c r="GQ32" s="31">
        <v>0.0</v>
      </c>
      <c r="GR32" s="31">
        <v>-999.9</v>
      </c>
      <c r="GS32" s="31">
        <v>460.0</v>
      </c>
      <c r="GT32" s="31">
        <v>0.0</v>
      </c>
      <c r="GU32" s="31">
        <v>102.955</v>
      </c>
      <c r="GV32" s="31">
        <v>99.8615</v>
      </c>
    </row>
    <row r="33" ht="14.25" customHeight="1">
      <c r="A33" s="41" t="s">
        <v>111</v>
      </c>
      <c r="B33" s="41" t="s">
        <v>66</v>
      </c>
      <c r="C33" s="41" t="s">
        <v>87</v>
      </c>
      <c r="D33" s="31">
        <v>6.0</v>
      </c>
      <c r="E33" s="31">
        <v>1.7548782995E9</v>
      </c>
      <c r="F33" s="31">
        <v>781.5</v>
      </c>
      <c r="G33" s="31" t="s">
        <v>499</v>
      </c>
      <c r="H33" s="42">
        <v>0.42475694444444445</v>
      </c>
      <c r="I33" s="31" t="s">
        <v>409</v>
      </c>
      <c r="J33" s="31">
        <v>1.7548782995E9</v>
      </c>
      <c r="K33" s="31">
        <v>0.00486404718151425</v>
      </c>
      <c r="L33" s="31">
        <v>4.86404718151425</v>
      </c>
      <c r="M33" s="31">
        <v>3.9798861448593</v>
      </c>
      <c r="N33" s="31">
        <v>452.432994358604</v>
      </c>
      <c r="O33" s="31">
        <v>426.474728845787</v>
      </c>
      <c r="P33" s="31">
        <v>43.0806680022017</v>
      </c>
      <c r="Q33" s="31">
        <v>45.7028618693441</v>
      </c>
      <c r="R33" s="31">
        <v>0.403090254575595</v>
      </c>
      <c r="S33" s="31">
        <v>2.76308927131597</v>
      </c>
      <c r="T33" s="31">
        <v>0.373040662912593</v>
      </c>
      <c r="U33" s="31">
        <v>0.235663298026233</v>
      </c>
      <c r="V33" s="31">
        <v>31.4208251783122</v>
      </c>
      <c r="W33" s="31">
        <v>32.9410425405204</v>
      </c>
      <c r="X33" s="31">
        <v>33.1041</v>
      </c>
      <c r="Y33" s="31">
        <v>5.0817329983367</v>
      </c>
      <c r="Z33" s="31">
        <v>71.2458481515722</v>
      </c>
      <c r="AA33" s="31">
        <v>3.8226484158118</v>
      </c>
      <c r="AB33" s="31">
        <v>5.36543323574349</v>
      </c>
      <c r="AC33" s="31">
        <v>1.2590845825249</v>
      </c>
      <c r="AD33" s="31">
        <v>-214.504480704778</v>
      </c>
      <c r="AE33" s="31">
        <v>144.643722400126</v>
      </c>
      <c r="AF33" s="31">
        <v>12.0583872402566</v>
      </c>
      <c r="AG33" s="31">
        <v>-26.3815458860834</v>
      </c>
      <c r="AH33" s="31">
        <v>0.0</v>
      </c>
      <c r="AI33" s="31">
        <v>0.0</v>
      </c>
      <c r="AJ33" s="31">
        <v>1.0</v>
      </c>
      <c r="AK33" s="31">
        <v>0.0</v>
      </c>
      <c r="AL33" s="31">
        <v>47045.0</v>
      </c>
      <c r="AM33" s="31" t="s">
        <v>410</v>
      </c>
      <c r="AN33" s="31">
        <v>8173.37</v>
      </c>
      <c r="AO33" s="31">
        <v>559.295999999999</v>
      </c>
      <c r="AP33" s="31">
        <v>2893.93</v>
      </c>
      <c r="AQ33" s="31">
        <v>0.806734786259515</v>
      </c>
      <c r="AR33" s="31">
        <v>-2.38169762951563</v>
      </c>
      <c r="AS33" s="31" t="s">
        <v>500</v>
      </c>
      <c r="AT33" s="31">
        <v>8192.64</v>
      </c>
      <c r="AU33" s="31">
        <v>547.4766</v>
      </c>
      <c r="AV33" s="31">
        <v>1915.05</v>
      </c>
      <c r="AW33" s="31">
        <v>0.714118900289809</v>
      </c>
      <c r="AX33" s="31">
        <v>0.5</v>
      </c>
      <c r="AY33" s="31">
        <v>160.155429004306</v>
      </c>
      <c r="AZ33" s="31">
        <v>3.9798861448593</v>
      </c>
      <c r="BA33" s="31">
        <v>57.1850094179991</v>
      </c>
      <c r="BB33" s="31">
        <v>0.0397213120649432</v>
      </c>
      <c r="BC33" s="31">
        <v>0.511151144878723</v>
      </c>
      <c r="BD33" s="31">
        <v>509.011870125433</v>
      </c>
      <c r="BE33" s="31" t="s">
        <v>501</v>
      </c>
      <c r="BF33" s="31">
        <v>518.93</v>
      </c>
      <c r="BG33" s="31">
        <v>518.93</v>
      </c>
      <c r="BH33" s="31">
        <v>0.72902535181849</v>
      </c>
      <c r="BI33" s="31">
        <v>0.979552903761854</v>
      </c>
      <c r="BJ33" s="31">
        <v>0.412159999999999</v>
      </c>
      <c r="BK33" s="31">
        <v>1.008717953257</v>
      </c>
      <c r="BL33" s="31">
        <v>0.419286277849118</v>
      </c>
      <c r="BM33" s="31">
        <v>0.928476921843123</v>
      </c>
      <c r="BN33" s="31">
        <v>0.0715230781568766</v>
      </c>
      <c r="BO33" s="31" t="s">
        <v>413</v>
      </c>
      <c r="BP33" s="31" t="s">
        <v>413</v>
      </c>
      <c r="BQ33" s="31" t="s">
        <v>413</v>
      </c>
      <c r="BR33" s="31" t="s">
        <v>413</v>
      </c>
      <c r="BS33" s="31" t="s">
        <v>413</v>
      </c>
      <c r="BT33" s="31" t="s">
        <v>413</v>
      </c>
      <c r="BU33" s="31" t="s">
        <v>413</v>
      </c>
      <c r="BV33" s="31" t="s">
        <v>413</v>
      </c>
      <c r="BW33" s="31" t="s">
        <v>413</v>
      </c>
      <c r="BX33" s="31" t="s">
        <v>413</v>
      </c>
      <c r="BY33" s="31" t="s">
        <v>413</v>
      </c>
      <c r="BZ33" s="31" t="s">
        <v>413</v>
      </c>
      <c r="CA33" s="31" t="s">
        <v>413</v>
      </c>
      <c r="CB33" s="31" t="s">
        <v>413</v>
      </c>
      <c r="CC33" s="31" t="s">
        <v>413</v>
      </c>
      <c r="CD33" s="31" t="s">
        <v>413</v>
      </c>
      <c r="CE33" s="31" t="s">
        <v>413</v>
      </c>
      <c r="CF33" s="31" t="s">
        <v>413</v>
      </c>
      <c r="CG33" s="31" t="s">
        <v>413</v>
      </c>
      <c r="CH33" s="31" t="s">
        <v>413</v>
      </c>
      <c r="CI33" s="31" t="s">
        <v>413</v>
      </c>
      <c r="CJ33" s="31" t="s">
        <v>413</v>
      </c>
      <c r="CK33" s="31" t="s">
        <v>413</v>
      </c>
      <c r="CL33" s="31" t="s">
        <v>413</v>
      </c>
      <c r="CM33" s="31" t="s">
        <v>413</v>
      </c>
      <c r="CN33" s="31" t="s">
        <v>413</v>
      </c>
      <c r="CO33" s="31" t="s">
        <v>413</v>
      </c>
      <c r="CP33" s="31" t="s">
        <v>413</v>
      </c>
      <c r="CQ33" s="31" t="s">
        <v>413</v>
      </c>
      <c r="CR33" s="31" t="s">
        <v>413</v>
      </c>
      <c r="CS33" s="31" t="s">
        <v>413</v>
      </c>
      <c r="CT33" s="31" t="s">
        <v>413</v>
      </c>
      <c r="CU33" s="31" t="s">
        <v>413</v>
      </c>
      <c r="CV33" s="31" t="s">
        <v>413</v>
      </c>
      <c r="CW33" s="31">
        <v>189.983</v>
      </c>
      <c r="CX33" s="31">
        <v>160.155429004306</v>
      </c>
      <c r="CY33" s="31">
        <v>0.842998736751745</v>
      </c>
      <c r="CZ33" s="31">
        <v>0.165387561930868</v>
      </c>
      <c r="DA33" s="31">
        <v>6.0</v>
      </c>
      <c r="DB33" s="31">
        <v>0.5</v>
      </c>
      <c r="DC33" s="31" t="s">
        <v>414</v>
      </c>
      <c r="DD33" s="31">
        <v>2.0</v>
      </c>
      <c r="DE33" s="31">
        <v>1.7548782995E9</v>
      </c>
      <c r="DF33" s="31">
        <v>452.433</v>
      </c>
      <c r="DG33" s="31">
        <v>459.851</v>
      </c>
      <c r="DH33" s="31">
        <v>37.8421</v>
      </c>
      <c r="DI33" s="31">
        <v>32.2251</v>
      </c>
      <c r="DJ33" s="31">
        <v>449.954</v>
      </c>
      <c r="DK33" s="31">
        <v>37.2902</v>
      </c>
      <c r="DL33" s="31">
        <v>499.909</v>
      </c>
      <c r="DM33" s="31">
        <v>100.916</v>
      </c>
      <c r="DN33" s="31">
        <v>0.099758</v>
      </c>
      <c r="DO33" s="31">
        <v>34.0751</v>
      </c>
      <c r="DP33" s="31">
        <v>33.1041</v>
      </c>
      <c r="DQ33" s="31">
        <v>999.9</v>
      </c>
      <c r="DR33" s="31">
        <v>0.0</v>
      </c>
      <c r="DS33" s="31">
        <v>0.0</v>
      </c>
      <c r="DT33" s="31">
        <v>8997.5</v>
      </c>
      <c r="DU33" s="31">
        <v>0.0</v>
      </c>
      <c r="DV33" s="31">
        <v>1126.85</v>
      </c>
      <c r="DW33" s="31">
        <v>189.983</v>
      </c>
      <c r="DX33" s="31">
        <v>0.899967</v>
      </c>
      <c r="DY33" s="31">
        <v>0.100033</v>
      </c>
      <c r="DZ33" s="31">
        <v>0.0</v>
      </c>
      <c r="EA33" s="31">
        <v>543.77</v>
      </c>
      <c r="EB33" s="31">
        <v>0.0999973</v>
      </c>
      <c r="EC33" s="31">
        <v>3187.01</v>
      </c>
      <c r="ED33" s="31">
        <v>1683.9</v>
      </c>
      <c r="EE33" s="31">
        <v>39.812</v>
      </c>
      <c r="EF33" s="31">
        <v>43.687</v>
      </c>
      <c r="EG33" s="31">
        <v>41.437</v>
      </c>
      <c r="EH33" s="31">
        <v>43.187</v>
      </c>
      <c r="EI33" s="31">
        <v>42.375</v>
      </c>
      <c r="EJ33" s="31">
        <v>170.89</v>
      </c>
      <c r="EK33" s="31">
        <v>18.99</v>
      </c>
      <c r="EL33" s="31">
        <v>0.0</v>
      </c>
      <c r="EM33" s="31">
        <v>185.599999904632</v>
      </c>
      <c r="EN33" s="31">
        <v>0.0</v>
      </c>
      <c r="EO33" s="31">
        <v>547.4766</v>
      </c>
      <c r="EP33" s="31">
        <v>-24.1384615633075</v>
      </c>
      <c r="EQ33" s="31">
        <v>-1328.60616059372</v>
      </c>
      <c r="ER33" s="31">
        <v>3110.9988</v>
      </c>
      <c r="ES33" s="31">
        <v>15.0</v>
      </c>
      <c r="ET33" s="31">
        <v>1.7548783205E9</v>
      </c>
      <c r="EU33" s="42">
        <v>0.425</v>
      </c>
      <c r="EV33" s="31">
        <v>1.7548783205E9</v>
      </c>
      <c r="EW33" s="31">
        <v>1.7548765351E9</v>
      </c>
      <c r="EX33" s="31">
        <v>4.0</v>
      </c>
      <c r="EY33" s="31">
        <v>0.181</v>
      </c>
      <c r="EZ33" s="31">
        <v>-0.002</v>
      </c>
      <c r="FA33" s="31">
        <v>2.479</v>
      </c>
      <c r="FB33" s="31">
        <v>0.297</v>
      </c>
      <c r="FC33" s="31">
        <v>460.0</v>
      </c>
      <c r="FD33" s="31">
        <v>20.0</v>
      </c>
      <c r="FE33" s="31">
        <v>0.37</v>
      </c>
      <c r="FF33" s="31">
        <v>0.06</v>
      </c>
      <c r="FG33" s="31">
        <v>100.0</v>
      </c>
      <c r="FH33" s="31">
        <v>100.0</v>
      </c>
      <c r="FI33" s="31">
        <v>2.479</v>
      </c>
      <c r="FJ33" s="31">
        <v>0.5519</v>
      </c>
      <c r="FK33" s="31">
        <v>2.40041772269655</v>
      </c>
      <c r="FL33" s="31">
        <v>-2.2595428698806E-4</v>
      </c>
      <c r="FM33" s="43">
        <v>5.20417301097471E-9</v>
      </c>
      <c r="FN33" s="43">
        <v>1.17243702350096E-12</v>
      </c>
      <c r="FO33" s="31">
        <v>0.551873338452037</v>
      </c>
      <c r="FP33" s="31">
        <v>0.0</v>
      </c>
      <c r="FQ33" s="31">
        <v>0.0</v>
      </c>
      <c r="FR33" s="31">
        <v>0.0</v>
      </c>
      <c r="FS33" s="31">
        <v>1.0</v>
      </c>
      <c r="FT33" s="31">
        <v>2266.0</v>
      </c>
      <c r="FU33" s="31">
        <v>1.0</v>
      </c>
      <c r="FV33" s="31">
        <v>26.0</v>
      </c>
      <c r="FW33" s="31">
        <v>12.7</v>
      </c>
      <c r="FX33" s="31">
        <v>29.4</v>
      </c>
      <c r="FY33" s="31">
        <v>1.10474</v>
      </c>
      <c r="FZ33" s="31">
        <v>2.51343</v>
      </c>
      <c r="GA33" s="31">
        <v>1.59668</v>
      </c>
      <c r="GB33" s="31">
        <v>2.33276</v>
      </c>
      <c r="GC33" s="31">
        <v>1.5979</v>
      </c>
      <c r="GD33" s="31">
        <v>2.2876</v>
      </c>
      <c r="GE33" s="31">
        <v>39.118</v>
      </c>
      <c r="GF33" s="31">
        <v>16.0408</v>
      </c>
      <c r="GG33" s="31">
        <v>18.0</v>
      </c>
      <c r="GH33" s="31">
        <v>506.992</v>
      </c>
      <c r="GI33" s="31">
        <v>502.9</v>
      </c>
      <c r="GJ33" s="31">
        <v>33.7382</v>
      </c>
      <c r="GK33" s="31">
        <v>34.1462</v>
      </c>
      <c r="GL33" s="31">
        <v>30.0013</v>
      </c>
      <c r="GM33" s="31">
        <v>33.9808</v>
      </c>
      <c r="GN33" s="31">
        <v>33.895</v>
      </c>
      <c r="GO33" s="31">
        <v>22.1677</v>
      </c>
      <c r="GP33" s="31">
        <v>100.0</v>
      </c>
      <c r="GQ33" s="31">
        <v>0.0</v>
      </c>
      <c r="GR33" s="31">
        <v>-999.9</v>
      </c>
      <c r="GS33" s="31">
        <v>460.0</v>
      </c>
      <c r="GT33" s="31">
        <v>0.0</v>
      </c>
      <c r="GU33" s="31">
        <v>102.857</v>
      </c>
      <c r="GV33" s="31">
        <v>99.7668</v>
      </c>
    </row>
    <row r="34" ht="14.25" customHeight="1">
      <c r="A34" s="41" t="s">
        <v>111</v>
      </c>
      <c r="B34" s="41" t="s">
        <v>67</v>
      </c>
      <c r="C34" s="41" t="s">
        <v>86</v>
      </c>
      <c r="D34" s="31">
        <v>44.0</v>
      </c>
      <c r="E34" s="31">
        <v>1.7548839255E9</v>
      </c>
      <c r="F34" s="31">
        <v>6407.5</v>
      </c>
      <c r="G34" s="31" t="s">
        <v>502</v>
      </c>
      <c r="H34" s="42">
        <v>0.4898726851851852</v>
      </c>
      <c r="I34" s="31" t="s">
        <v>409</v>
      </c>
      <c r="J34" s="31">
        <v>1.7548839255E9</v>
      </c>
      <c r="K34" s="31">
        <v>0.0056282634090888</v>
      </c>
      <c r="L34" s="31">
        <v>5.6282634090888</v>
      </c>
      <c r="M34" s="31">
        <v>5.33587380125636</v>
      </c>
      <c r="N34" s="31">
        <v>450.576992418811</v>
      </c>
      <c r="O34" s="31">
        <v>421.84302686212</v>
      </c>
      <c r="P34" s="31">
        <v>42.6053889266839</v>
      </c>
      <c r="Q34" s="31">
        <v>45.5074678991755</v>
      </c>
      <c r="R34" s="31">
        <v>0.46859945231098</v>
      </c>
      <c r="S34" s="31">
        <v>2.76419781788098</v>
      </c>
      <c r="T34" s="31">
        <v>0.428523724538525</v>
      </c>
      <c r="U34" s="31">
        <v>0.271141782425493</v>
      </c>
      <c r="V34" s="31">
        <v>31.4196093474734</v>
      </c>
      <c r="W34" s="31">
        <v>33.9042644723758</v>
      </c>
      <c r="X34" s="31">
        <v>33.9577</v>
      </c>
      <c r="Y34" s="31">
        <v>5.33041614399038</v>
      </c>
      <c r="Z34" s="31">
        <v>71.0076342920908</v>
      </c>
      <c r="AA34" s="31">
        <v>4.06560198396519</v>
      </c>
      <c r="AB34" s="31">
        <v>5.72558433258217</v>
      </c>
      <c r="AC34" s="31">
        <v>1.26481416002518</v>
      </c>
      <c r="AD34" s="31">
        <v>-248.206416340816</v>
      </c>
      <c r="AE34" s="31">
        <v>191.897474361959</v>
      </c>
      <c r="AF34" s="31">
        <v>16.1502335917878</v>
      </c>
      <c r="AG34" s="31">
        <v>-8.73909903959514</v>
      </c>
      <c r="AH34" s="31">
        <v>0.0</v>
      </c>
      <c r="AI34" s="31">
        <v>0.0</v>
      </c>
      <c r="AJ34" s="31">
        <v>1.0</v>
      </c>
      <c r="AK34" s="31">
        <v>0.0</v>
      </c>
      <c r="AL34" s="31">
        <v>46896.0</v>
      </c>
      <c r="AM34" s="31" t="s">
        <v>410</v>
      </c>
      <c r="AN34" s="31">
        <v>8173.37</v>
      </c>
      <c r="AO34" s="31">
        <v>559.295999999999</v>
      </c>
      <c r="AP34" s="31">
        <v>2893.93</v>
      </c>
      <c r="AQ34" s="31">
        <v>0.806734786259515</v>
      </c>
      <c r="AR34" s="31">
        <v>-2.38169762951563</v>
      </c>
      <c r="AS34" s="31" t="s">
        <v>503</v>
      </c>
      <c r="AT34" s="31">
        <v>8167.74</v>
      </c>
      <c r="AU34" s="31">
        <v>608.418846153846</v>
      </c>
      <c r="AV34" s="31">
        <v>2076.53</v>
      </c>
      <c r="AW34" s="31">
        <v>0.707002140034651</v>
      </c>
      <c r="AX34" s="31">
        <v>0.5</v>
      </c>
      <c r="AY34" s="31">
        <v>160.154799040141</v>
      </c>
      <c r="AZ34" s="31">
        <v>5.33587380125636</v>
      </c>
      <c r="BA34" s="31">
        <v>56.6148928290998</v>
      </c>
      <c r="BB34" s="31">
        <v>0.0481881996482518</v>
      </c>
      <c r="BC34" s="31">
        <v>0.393637462497531</v>
      </c>
      <c r="BD34" s="31">
        <v>519.754903348407</v>
      </c>
      <c r="BE34" s="31" t="s">
        <v>504</v>
      </c>
      <c r="BF34" s="31">
        <v>-1404.2</v>
      </c>
      <c r="BG34" s="31">
        <v>-1404.2</v>
      </c>
      <c r="BH34" s="31">
        <v>1.67622427800224</v>
      </c>
      <c r="BI34" s="31">
        <v>0.421782543847455</v>
      </c>
      <c r="BJ34" s="31">
        <v>0.190175727583856</v>
      </c>
      <c r="BK34" s="31">
        <v>0.967623421203422</v>
      </c>
      <c r="BL34" s="31">
        <v>0.350119119313776</v>
      </c>
      <c r="BM34" s="31">
        <v>-0.9734528307508</v>
      </c>
      <c r="BN34" s="31">
        <v>1.9734528307508</v>
      </c>
      <c r="BO34" s="31" t="s">
        <v>413</v>
      </c>
      <c r="BP34" s="31" t="s">
        <v>413</v>
      </c>
      <c r="BQ34" s="31" t="s">
        <v>413</v>
      </c>
      <c r="BR34" s="31" t="s">
        <v>413</v>
      </c>
      <c r="BS34" s="31" t="s">
        <v>413</v>
      </c>
      <c r="BT34" s="31" t="s">
        <v>413</v>
      </c>
      <c r="BU34" s="31" t="s">
        <v>413</v>
      </c>
      <c r="BV34" s="31" t="s">
        <v>413</v>
      </c>
      <c r="BW34" s="31" t="s">
        <v>413</v>
      </c>
      <c r="BX34" s="31" t="s">
        <v>413</v>
      </c>
      <c r="BY34" s="31" t="s">
        <v>413</v>
      </c>
      <c r="BZ34" s="31" t="s">
        <v>413</v>
      </c>
      <c r="CA34" s="31" t="s">
        <v>413</v>
      </c>
      <c r="CB34" s="31" t="s">
        <v>413</v>
      </c>
      <c r="CC34" s="31" t="s">
        <v>413</v>
      </c>
      <c r="CD34" s="31" t="s">
        <v>413</v>
      </c>
      <c r="CE34" s="31" t="s">
        <v>413</v>
      </c>
      <c r="CF34" s="31" t="s">
        <v>413</v>
      </c>
      <c r="CG34" s="31" t="s">
        <v>413</v>
      </c>
      <c r="CH34" s="31" t="s">
        <v>413</v>
      </c>
      <c r="CI34" s="31" t="s">
        <v>413</v>
      </c>
      <c r="CJ34" s="31" t="s">
        <v>413</v>
      </c>
      <c r="CK34" s="31" t="s">
        <v>413</v>
      </c>
      <c r="CL34" s="31" t="s">
        <v>413</v>
      </c>
      <c r="CM34" s="31" t="s">
        <v>413</v>
      </c>
      <c r="CN34" s="31" t="s">
        <v>413</v>
      </c>
      <c r="CO34" s="31" t="s">
        <v>413</v>
      </c>
      <c r="CP34" s="31" t="s">
        <v>413</v>
      </c>
      <c r="CQ34" s="31" t="s">
        <v>413</v>
      </c>
      <c r="CR34" s="31" t="s">
        <v>413</v>
      </c>
      <c r="CS34" s="31" t="s">
        <v>413</v>
      </c>
      <c r="CT34" s="31" t="s">
        <v>413</v>
      </c>
      <c r="CU34" s="31" t="s">
        <v>413</v>
      </c>
      <c r="CV34" s="31" t="s">
        <v>413</v>
      </c>
      <c r="CW34" s="31">
        <v>189.983</v>
      </c>
      <c r="CX34" s="31">
        <v>160.154799040141</v>
      </c>
      <c r="CY34" s="31">
        <v>0.84299542085419</v>
      </c>
      <c r="CZ34" s="31">
        <v>0.165381162248587</v>
      </c>
      <c r="DA34" s="31">
        <v>6.0</v>
      </c>
      <c r="DB34" s="31">
        <v>0.5</v>
      </c>
      <c r="DC34" s="31" t="s">
        <v>414</v>
      </c>
      <c r="DD34" s="31">
        <v>2.0</v>
      </c>
      <c r="DE34" s="31">
        <v>1.7548839255E9</v>
      </c>
      <c r="DF34" s="31">
        <v>450.577</v>
      </c>
      <c r="DG34" s="31">
        <v>460.023</v>
      </c>
      <c r="DH34" s="31">
        <v>40.2542</v>
      </c>
      <c r="DI34" s="31">
        <v>33.7723</v>
      </c>
      <c r="DJ34" s="31">
        <v>447.598</v>
      </c>
      <c r="DK34" s="31">
        <v>39.7023</v>
      </c>
      <c r="DL34" s="31">
        <v>500.011</v>
      </c>
      <c r="DM34" s="31">
        <v>100.898</v>
      </c>
      <c r="DN34" s="31">
        <v>0.100206</v>
      </c>
      <c r="DO34" s="31">
        <v>35.2454</v>
      </c>
      <c r="DP34" s="31">
        <v>33.9577</v>
      </c>
      <c r="DQ34" s="31">
        <v>999.9</v>
      </c>
      <c r="DR34" s="31">
        <v>0.0</v>
      </c>
      <c r="DS34" s="31">
        <v>0.0</v>
      </c>
      <c r="DT34" s="31">
        <v>9005.0</v>
      </c>
      <c r="DU34" s="31">
        <v>0.0</v>
      </c>
      <c r="DV34" s="31">
        <v>1228.51</v>
      </c>
      <c r="DW34" s="31">
        <v>189.983</v>
      </c>
      <c r="DX34" s="31">
        <v>0.90011</v>
      </c>
      <c r="DY34" s="31">
        <v>0.0998905</v>
      </c>
      <c r="DZ34" s="31">
        <v>0.0</v>
      </c>
      <c r="EA34" s="31">
        <v>606.03</v>
      </c>
      <c r="EB34" s="31">
        <v>0.0999973</v>
      </c>
      <c r="EC34" s="31">
        <v>2844.0</v>
      </c>
      <c r="ED34" s="31">
        <v>1683.97</v>
      </c>
      <c r="EE34" s="31">
        <v>39.937</v>
      </c>
      <c r="EF34" s="31">
        <v>43.687</v>
      </c>
      <c r="EG34" s="31">
        <v>41.5</v>
      </c>
      <c r="EH34" s="31">
        <v>43.187</v>
      </c>
      <c r="EI34" s="31">
        <v>42.625</v>
      </c>
      <c r="EJ34" s="31">
        <v>170.92</v>
      </c>
      <c r="EK34" s="31">
        <v>18.97</v>
      </c>
      <c r="EL34" s="31">
        <v>0.0</v>
      </c>
      <c r="EM34" s="31">
        <v>138.200000047683</v>
      </c>
      <c r="EN34" s="31">
        <v>0.0</v>
      </c>
      <c r="EO34" s="31">
        <v>608.418846153846</v>
      </c>
      <c r="EP34" s="31">
        <v>-24.6516239620502</v>
      </c>
      <c r="EQ34" s="31">
        <v>239.707692107908</v>
      </c>
      <c r="ER34" s="31">
        <v>2846.98961538461</v>
      </c>
      <c r="ES34" s="31">
        <v>15.0</v>
      </c>
      <c r="ET34" s="31">
        <v>1.754883664E9</v>
      </c>
      <c r="EU34" s="42">
        <v>0.48685185185185187</v>
      </c>
      <c r="EV34" s="31">
        <v>1.754883664E9</v>
      </c>
      <c r="EW34" s="31">
        <v>1.7548765351E9</v>
      </c>
      <c r="EX34" s="31">
        <v>13.0</v>
      </c>
      <c r="EY34" s="31">
        <v>0.084</v>
      </c>
      <c r="EZ34" s="31">
        <v>-0.002</v>
      </c>
      <c r="FA34" s="31">
        <v>2.977</v>
      </c>
      <c r="FB34" s="31">
        <v>0.297</v>
      </c>
      <c r="FC34" s="31">
        <v>460.0</v>
      </c>
      <c r="FD34" s="31">
        <v>20.0</v>
      </c>
      <c r="FE34" s="31">
        <v>0.35</v>
      </c>
      <c r="FF34" s="31">
        <v>0.06</v>
      </c>
      <c r="FG34" s="31">
        <v>100.0</v>
      </c>
      <c r="FH34" s="31">
        <v>100.0</v>
      </c>
      <c r="FI34" s="31">
        <v>2.979</v>
      </c>
      <c r="FJ34" s="31">
        <v>0.5519</v>
      </c>
      <c r="FK34" s="31">
        <v>3.07863359537776</v>
      </c>
      <c r="FL34" s="31">
        <v>-2.2595428698806E-4</v>
      </c>
      <c r="FM34" s="43">
        <v>5.20417301097471E-9</v>
      </c>
      <c r="FN34" s="43">
        <v>1.17243702350096E-12</v>
      </c>
      <c r="FO34" s="31">
        <v>0.551873338452037</v>
      </c>
      <c r="FP34" s="31">
        <v>0.0</v>
      </c>
      <c r="FQ34" s="31">
        <v>0.0</v>
      </c>
      <c r="FR34" s="31">
        <v>0.0</v>
      </c>
      <c r="FS34" s="31">
        <v>1.0</v>
      </c>
      <c r="FT34" s="31">
        <v>2266.0</v>
      </c>
      <c r="FU34" s="31">
        <v>1.0</v>
      </c>
      <c r="FV34" s="31">
        <v>26.0</v>
      </c>
      <c r="FW34" s="31">
        <v>4.4</v>
      </c>
      <c r="FX34" s="31">
        <v>123.2</v>
      </c>
      <c r="FY34" s="31">
        <v>1.12427</v>
      </c>
      <c r="FZ34" s="31">
        <v>2.5647</v>
      </c>
      <c r="GA34" s="31">
        <v>1.59668</v>
      </c>
      <c r="GB34" s="31">
        <v>2.31689</v>
      </c>
      <c r="GC34" s="31">
        <v>1.5979</v>
      </c>
      <c r="GD34" s="31">
        <v>2.28638</v>
      </c>
      <c r="GE34" s="31">
        <v>43.1279</v>
      </c>
      <c r="GF34" s="31">
        <v>15.2615</v>
      </c>
      <c r="GG34" s="31">
        <v>18.0</v>
      </c>
      <c r="GH34" s="31">
        <v>510.129</v>
      </c>
      <c r="GI34" s="31">
        <v>466.178</v>
      </c>
      <c r="GJ34" s="31">
        <v>35.0733</v>
      </c>
      <c r="GK34" s="31">
        <v>34.9394</v>
      </c>
      <c r="GL34" s="31">
        <v>30.0007</v>
      </c>
      <c r="GM34" s="31">
        <v>34.9292</v>
      </c>
      <c r="GN34" s="31">
        <v>34.8803</v>
      </c>
      <c r="GO34" s="31">
        <v>22.5667</v>
      </c>
      <c r="GP34" s="31">
        <v>100.0</v>
      </c>
      <c r="GQ34" s="31">
        <v>0.0</v>
      </c>
      <c r="GR34" s="31">
        <v>-999.9</v>
      </c>
      <c r="GS34" s="31">
        <v>460.0</v>
      </c>
      <c r="GT34" s="31">
        <v>0.0</v>
      </c>
      <c r="GU34" s="31">
        <v>102.611</v>
      </c>
      <c r="GV34" s="31">
        <v>99.796</v>
      </c>
    </row>
    <row r="35" ht="14.25" customHeight="1">
      <c r="A35" s="41" t="s">
        <v>111</v>
      </c>
      <c r="B35" s="41" t="s">
        <v>67</v>
      </c>
      <c r="C35" s="41" t="s">
        <v>87</v>
      </c>
      <c r="D35" s="31">
        <v>45.0</v>
      </c>
      <c r="E35" s="31">
        <v>1.7548840765E9</v>
      </c>
      <c r="F35" s="31">
        <v>6558.5</v>
      </c>
      <c r="G35" s="31" t="s">
        <v>505</v>
      </c>
      <c r="H35" s="42">
        <v>0.4916203703703704</v>
      </c>
      <c r="I35" s="31" t="s">
        <v>409</v>
      </c>
      <c r="J35" s="31">
        <v>1.7548840765E9</v>
      </c>
      <c r="K35" s="31">
        <v>0.00586790705520561</v>
      </c>
      <c r="L35" s="31">
        <v>5.86790705520561</v>
      </c>
      <c r="M35" s="31">
        <v>5.00564556811244</v>
      </c>
      <c r="N35" s="31">
        <v>450.870992916296</v>
      </c>
      <c r="O35" s="31">
        <v>424.281680508307</v>
      </c>
      <c r="P35" s="31">
        <v>42.8446034053651</v>
      </c>
      <c r="Q35" s="31">
        <v>45.5296322370997</v>
      </c>
      <c r="R35" s="31">
        <v>0.494181385211829</v>
      </c>
      <c r="S35" s="31">
        <v>2.76768698280394</v>
      </c>
      <c r="T35" s="31">
        <v>0.449882652200532</v>
      </c>
      <c r="U35" s="31">
        <v>0.284825072769546</v>
      </c>
      <c r="V35" s="31">
        <v>31.4262996792873</v>
      </c>
      <c r="W35" s="31">
        <v>33.920545996232</v>
      </c>
      <c r="X35" s="31">
        <v>34.0277</v>
      </c>
      <c r="Y35" s="31">
        <v>5.3512711562468</v>
      </c>
      <c r="Z35" s="31">
        <v>71.2191872419242</v>
      </c>
      <c r="AA35" s="31">
        <v>4.0957594250546</v>
      </c>
      <c r="AB35" s="31">
        <v>5.75092132284763</v>
      </c>
      <c r="AC35" s="31">
        <v>1.2555117311922</v>
      </c>
      <c r="AD35" s="31">
        <v>-258.774701134567</v>
      </c>
      <c r="AE35" s="31">
        <v>193.616895104523</v>
      </c>
      <c r="AF35" s="31">
        <v>16.2862988185437</v>
      </c>
      <c r="AG35" s="31">
        <v>-17.4452075322131</v>
      </c>
      <c r="AH35" s="31">
        <v>0.0</v>
      </c>
      <c r="AI35" s="31">
        <v>0.0</v>
      </c>
      <c r="AJ35" s="31">
        <v>1.0</v>
      </c>
      <c r="AK35" s="31">
        <v>0.0</v>
      </c>
      <c r="AL35" s="31">
        <v>46979.0</v>
      </c>
      <c r="AM35" s="31" t="s">
        <v>410</v>
      </c>
      <c r="AN35" s="31">
        <v>8173.37</v>
      </c>
      <c r="AO35" s="31">
        <v>559.295999999999</v>
      </c>
      <c r="AP35" s="31">
        <v>2893.93</v>
      </c>
      <c r="AQ35" s="31">
        <v>0.806734786259515</v>
      </c>
      <c r="AR35" s="31">
        <v>-2.38169762951563</v>
      </c>
      <c r="AS35" s="31" t="s">
        <v>506</v>
      </c>
      <c r="AT35" s="31">
        <v>8200.0</v>
      </c>
      <c r="AU35" s="31">
        <v>733.049599999999</v>
      </c>
      <c r="AV35" s="31">
        <v>2291.64</v>
      </c>
      <c r="AW35" s="31">
        <v>0.680120088670122</v>
      </c>
      <c r="AX35" s="31">
        <v>0.5</v>
      </c>
      <c r="AY35" s="31">
        <v>160.181742009993</v>
      </c>
      <c r="AZ35" s="31">
        <v>5.00564556811244</v>
      </c>
      <c r="BA35" s="31">
        <v>54.4714102895857</v>
      </c>
      <c r="BB35" s="31">
        <v>0.0461185095437855</v>
      </c>
      <c r="BC35" s="31">
        <v>0.262820512820512</v>
      </c>
      <c r="BD35" s="31">
        <v>532.260335220934</v>
      </c>
      <c r="BE35" s="31" t="s">
        <v>507</v>
      </c>
      <c r="BF35" s="31">
        <v>-761.6</v>
      </c>
      <c r="BG35" s="31">
        <v>-761.6</v>
      </c>
      <c r="BH35" s="31">
        <v>1.33233841266516</v>
      </c>
      <c r="BI35" s="31">
        <v>0.510470975095308</v>
      </c>
      <c r="BJ35" s="31">
        <v>0.164761334197777</v>
      </c>
      <c r="BK35" s="31">
        <v>0.899700290473485</v>
      </c>
      <c r="BL35" s="31">
        <v>0.257980480023849</v>
      </c>
      <c r="BM35" s="31">
        <v>-0.530352509069764</v>
      </c>
      <c r="BN35" s="31">
        <v>1.53035250906976</v>
      </c>
      <c r="BO35" s="31" t="s">
        <v>413</v>
      </c>
      <c r="BP35" s="31" t="s">
        <v>413</v>
      </c>
      <c r="BQ35" s="31" t="s">
        <v>413</v>
      </c>
      <c r="BR35" s="31" t="s">
        <v>413</v>
      </c>
      <c r="BS35" s="31" t="s">
        <v>413</v>
      </c>
      <c r="BT35" s="31" t="s">
        <v>413</v>
      </c>
      <c r="BU35" s="31" t="s">
        <v>413</v>
      </c>
      <c r="BV35" s="31" t="s">
        <v>413</v>
      </c>
      <c r="BW35" s="31" t="s">
        <v>413</v>
      </c>
      <c r="BX35" s="31" t="s">
        <v>413</v>
      </c>
      <c r="BY35" s="31" t="s">
        <v>413</v>
      </c>
      <c r="BZ35" s="31" t="s">
        <v>413</v>
      </c>
      <c r="CA35" s="31" t="s">
        <v>413</v>
      </c>
      <c r="CB35" s="31" t="s">
        <v>413</v>
      </c>
      <c r="CC35" s="31" t="s">
        <v>413</v>
      </c>
      <c r="CD35" s="31" t="s">
        <v>413</v>
      </c>
      <c r="CE35" s="31" t="s">
        <v>413</v>
      </c>
      <c r="CF35" s="31" t="s">
        <v>413</v>
      </c>
      <c r="CG35" s="31" t="s">
        <v>413</v>
      </c>
      <c r="CH35" s="31" t="s">
        <v>413</v>
      </c>
      <c r="CI35" s="31" t="s">
        <v>413</v>
      </c>
      <c r="CJ35" s="31" t="s">
        <v>413</v>
      </c>
      <c r="CK35" s="31" t="s">
        <v>413</v>
      </c>
      <c r="CL35" s="31" t="s">
        <v>413</v>
      </c>
      <c r="CM35" s="31" t="s">
        <v>413</v>
      </c>
      <c r="CN35" s="31" t="s">
        <v>413</v>
      </c>
      <c r="CO35" s="31" t="s">
        <v>413</v>
      </c>
      <c r="CP35" s="31" t="s">
        <v>413</v>
      </c>
      <c r="CQ35" s="31" t="s">
        <v>413</v>
      </c>
      <c r="CR35" s="31" t="s">
        <v>413</v>
      </c>
      <c r="CS35" s="31" t="s">
        <v>413</v>
      </c>
      <c r="CT35" s="31" t="s">
        <v>413</v>
      </c>
      <c r="CU35" s="31" t="s">
        <v>413</v>
      </c>
      <c r="CV35" s="31" t="s">
        <v>413</v>
      </c>
      <c r="CW35" s="31">
        <v>190.014</v>
      </c>
      <c r="CX35" s="31">
        <v>160.181742009993</v>
      </c>
      <c r="CY35" s="31">
        <v>0.842999684286386</v>
      </c>
      <c r="CZ35" s="31">
        <v>0.165389390672725</v>
      </c>
      <c r="DA35" s="31">
        <v>6.0</v>
      </c>
      <c r="DB35" s="31">
        <v>0.5</v>
      </c>
      <c r="DC35" s="31" t="s">
        <v>414</v>
      </c>
      <c r="DD35" s="31">
        <v>2.0</v>
      </c>
      <c r="DE35" s="31">
        <v>1.7548840765E9</v>
      </c>
      <c r="DF35" s="31">
        <v>450.871</v>
      </c>
      <c r="DG35" s="31">
        <v>460.053</v>
      </c>
      <c r="DH35" s="31">
        <v>40.5595</v>
      </c>
      <c r="DI35" s="31">
        <v>33.8033</v>
      </c>
      <c r="DJ35" s="31">
        <v>447.892</v>
      </c>
      <c r="DK35" s="31">
        <v>40.0077</v>
      </c>
      <c r="DL35" s="31">
        <v>499.977</v>
      </c>
      <c r="DM35" s="31">
        <v>100.882</v>
      </c>
      <c r="DN35" s="31">
        <v>0.0995068</v>
      </c>
      <c r="DO35" s="31">
        <v>35.3253</v>
      </c>
      <c r="DP35" s="31">
        <v>34.0277</v>
      </c>
      <c r="DQ35" s="31">
        <v>999.9</v>
      </c>
      <c r="DR35" s="31">
        <v>0.0</v>
      </c>
      <c r="DS35" s="31">
        <v>0.0</v>
      </c>
      <c r="DT35" s="31">
        <v>9025.0</v>
      </c>
      <c r="DU35" s="31">
        <v>0.0</v>
      </c>
      <c r="DV35" s="31">
        <v>390.06</v>
      </c>
      <c r="DW35" s="31">
        <v>190.014</v>
      </c>
      <c r="DX35" s="31">
        <v>0.899967</v>
      </c>
      <c r="DY35" s="31">
        <v>0.100033</v>
      </c>
      <c r="DZ35" s="31">
        <v>0.0</v>
      </c>
      <c r="EA35" s="31">
        <v>732.085</v>
      </c>
      <c r="EB35" s="31">
        <v>0.0999973</v>
      </c>
      <c r="EC35" s="31">
        <v>3181.42</v>
      </c>
      <c r="ED35" s="31">
        <v>1684.17</v>
      </c>
      <c r="EE35" s="31">
        <v>40.375</v>
      </c>
      <c r="EF35" s="31">
        <v>44.187</v>
      </c>
      <c r="EG35" s="31">
        <v>41.937</v>
      </c>
      <c r="EH35" s="31">
        <v>43.625</v>
      </c>
      <c r="EI35" s="31">
        <v>43.0</v>
      </c>
      <c r="EJ35" s="31">
        <v>170.92</v>
      </c>
      <c r="EK35" s="31">
        <v>19.0</v>
      </c>
      <c r="EL35" s="31">
        <v>0.0</v>
      </c>
      <c r="EM35" s="31">
        <v>148.799999952316</v>
      </c>
      <c r="EN35" s="31">
        <v>0.0</v>
      </c>
      <c r="EO35" s="31">
        <v>733.049599999999</v>
      </c>
      <c r="EP35" s="31">
        <v>-26.5388462255931</v>
      </c>
      <c r="EQ35" s="31">
        <v>-136.453076588474</v>
      </c>
      <c r="ER35" s="31">
        <v>3182.30079999999</v>
      </c>
      <c r="ES35" s="31">
        <v>15.0</v>
      </c>
      <c r="ET35" s="31">
        <v>1.754883664E9</v>
      </c>
      <c r="EU35" s="42">
        <v>0.48685185185185187</v>
      </c>
      <c r="EV35" s="31">
        <v>1.754883664E9</v>
      </c>
      <c r="EW35" s="31">
        <v>1.7548765351E9</v>
      </c>
      <c r="EX35" s="31">
        <v>13.0</v>
      </c>
      <c r="EY35" s="31">
        <v>0.084</v>
      </c>
      <c r="EZ35" s="31">
        <v>-0.002</v>
      </c>
      <c r="FA35" s="31">
        <v>2.977</v>
      </c>
      <c r="FB35" s="31">
        <v>0.297</v>
      </c>
      <c r="FC35" s="31">
        <v>460.0</v>
      </c>
      <c r="FD35" s="31">
        <v>20.0</v>
      </c>
      <c r="FE35" s="31">
        <v>0.35</v>
      </c>
      <c r="FF35" s="31">
        <v>0.06</v>
      </c>
      <c r="FG35" s="31">
        <v>100.0</v>
      </c>
      <c r="FH35" s="31">
        <v>100.0</v>
      </c>
      <c r="FI35" s="31">
        <v>2.979</v>
      </c>
      <c r="FJ35" s="31">
        <v>0.5518</v>
      </c>
      <c r="FK35" s="31">
        <v>3.07863359537776</v>
      </c>
      <c r="FL35" s="31">
        <v>-2.2595428698806E-4</v>
      </c>
      <c r="FM35" s="43">
        <v>5.20417301097471E-9</v>
      </c>
      <c r="FN35" s="43">
        <v>1.17243702350096E-12</v>
      </c>
      <c r="FO35" s="31">
        <v>0.551873338452037</v>
      </c>
      <c r="FP35" s="31">
        <v>0.0</v>
      </c>
      <c r="FQ35" s="31">
        <v>0.0</v>
      </c>
      <c r="FR35" s="31">
        <v>0.0</v>
      </c>
      <c r="FS35" s="31">
        <v>1.0</v>
      </c>
      <c r="FT35" s="31">
        <v>2266.0</v>
      </c>
      <c r="FU35" s="31">
        <v>1.0</v>
      </c>
      <c r="FV35" s="31">
        <v>26.0</v>
      </c>
      <c r="FW35" s="31">
        <v>6.9</v>
      </c>
      <c r="FX35" s="31">
        <v>125.7</v>
      </c>
      <c r="FY35" s="31">
        <v>1.12427</v>
      </c>
      <c r="FZ35" s="31">
        <v>2.5647</v>
      </c>
      <c r="GA35" s="31">
        <v>1.59668</v>
      </c>
      <c r="GB35" s="31">
        <v>2.31689</v>
      </c>
      <c r="GC35" s="31">
        <v>1.5979</v>
      </c>
      <c r="GD35" s="31">
        <v>2.27905</v>
      </c>
      <c r="GE35" s="31">
        <v>43.2904</v>
      </c>
      <c r="GF35" s="31">
        <v>15.244</v>
      </c>
      <c r="GG35" s="31">
        <v>18.0</v>
      </c>
      <c r="GH35" s="31">
        <v>509.668</v>
      </c>
      <c r="GI35" s="31">
        <v>465.396</v>
      </c>
      <c r="GJ35" s="31">
        <v>35.237</v>
      </c>
      <c r="GK35" s="31">
        <v>35.1557</v>
      </c>
      <c r="GL35" s="31">
        <v>30.0006</v>
      </c>
      <c r="GM35" s="31">
        <v>35.1135</v>
      </c>
      <c r="GN35" s="31">
        <v>35.0546</v>
      </c>
      <c r="GO35" s="31">
        <v>22.5572</v>
      </c>
      <c r="GP35" s="31">
        <v>100.0</v>
      </c>
      <c r="GQ35" s="31">
        <v>0.0</v>
      </c>
      <c r="GR35" s="31">
        <v>-999.9</v>
      </c>
      <c r="GS35" s="31">
        <v>460.0</v>
      </c>
      <c r="GT35" s="31">
        <v>0.0</v>
      </c>
      <c r="GU35" s="31">
        <v>102.567</v>
      </c>
      <c r="GV35" s="31">
        <v>99.753</v>
      </c>
    </row>
    <row r="36" ht="14.25" customHeight="1">
      <c r="A36" s="41" t="s">
        <v>112</v>
      </c>
      <c r="B36" s="41" t="s">
        <v>53</v>
      </c>
      <c r="C36" s="41" t="s">
        <v>86</v>
      </c>
      <c r="D36" s="31">
        <v>20.0</v>
      </c>
      <c r="E36" s="31">
        <v>1.7548804765E9</v>
      </c>
      <c r="F36" s="31">
        <v>2958.5</v>
      </c>
      <c r="G36" s="31" t="s">
        <v>508</v>
      </c>
      <c r="H36" s="42">
        <v>0.4499537037037037</v>
      </c>
      <c r="I36" s="31" t="s">
        <v>409</v>
      </c>
      <c r="J36" s="31">
        <v>1.7548804765E9</v>
      </c>
      <c r="K36" s="31">
        <v>0.00122917291352637</v>
      </c>
      <c r="L36" s="31">
        <v>1.22917291352637</v>
      </c>
      <c r="M36" s="31">
        <v>-0.0837995937928983</v>
      </c>
      <c r="N36" s="31">
        <v>459.371000119855</v>
      </c>
      <c r="O36" s="31">
        <v>446.034955154238</v>
      </c>
      <c r="P36" s="31">
        <v>45.0657268918696</v>
      </c>
      <c r="Q36" s="31">
        <v>46.4131516918617</v>
      </c>
      <c r="R36" s="31">
        <v>0.0572660346602515</v>
      </c>
      <c r="S36" s="31">
        <v>2.75883428547556</v>
      </c>
      <c r="T36" s="31">
        <v>0.0566137699366363</v>
      </c>
      <c r="U36" s="31">
        <v>0.0354415904722774</v>
      </c>
      <c r="V36" s="31">
        <v>31.4397539467812</v>
      </c>
      <c r="W36" s="31">
        <v>35.1011023068204</v>
      </c>
      <c r="X36" s="31">
        <v>35.3347</v>
      </c>
      <c r="Y36" s="31">
        <v>5.75390854097627</v>
      </c>
      <c r="Z36" s="31">
        <v>63.9781564111395</v>
      </c>
      <c r="AA36" s="31">
        <v>3.6624753773192</v>
      </c>
      <c r="AB36" s="31">
        <v>5.72457160813328</v>
      </c>
      <c r="AC36" s="31">
        <v>2.09143316365707</v>
      </c>
      <c r="AD36" s="31">
        <v>-54.2065254865132</v>
      </c>
      <c r="AE36" s="31">
        <v>-13.7579203448668</v>
      </c>
      <c r="AF36" s="31">
        <v>-1.16791209584192</v>
      </c>
      <c r="AG36" s="31">
        <v>-37.6926039804407</v>
      </c>
      <c r="AH36" s="31">
        <v>0.0</v>
      </c>
      <c r="AI36" s="31">
        <v>0.0</v>
      </c>
      <c r="AJ36" s="31">
        <v>1.0</v>
      </c>
      <c r="AK36" s="31">
        <v>0.0</v>
      </c>
      <c r="AL36" s="31">
        <v>46751.0</v>
      </c>
      <c r="AM36" s="31" t="s">
        <v>410</v>
      </c>
      <c r="AN36" s="31">
        <v>8173.37</v>
      </c>
      <c r="AO36" s="31">
        <v>559.295999999999</v>
      </c>
      <c r="AP36" s="31">
        <v>2893.93</v>
      </c>
      <c r="AQ36" s="31">
        <v>0.806734786259515</v>
      </c>
      <c r="AR36" s="31">
        <v>-2.38169762951563</v>
      </c>
      <c r="AS36" s="31" t="s">
        <v>509</v>
      </c>
      <c r="AT36" s="31">
        <v>8166.95</v>
      </c>
      <c r="AU36" s="31">
        <v>174.188846153846</v>
      </c>
      <c r="AV36" s="31">
        <v>342.59</v>
      </c>
      <c r="AW36" s="31">
        <v>0.49155303379011</v>
      </c>
      <c r="AX36" s="31">
        <v>0.5</v>
      </c>
      <c r="AY36" s="31">
        <v>160.255356034601</v>
      </c>
      <c r="AZ36" s="31">
        <v>-0.0837995937928983</v>
      </c>
      <c r="BA36" s="31">
        <v>39.3870032199613</v>
      </c>
      <c r="BB36" s="31">
        <v>0.0143389780696414</v>
      </c>
      <c r="BC36" s="31">
        <v>7.44721095186666</v>
      </c>
      <c r="BD36" s="31">
        <v>229.286689963475</v>
      </c>
      <c r="BE36" s="31" t="s">
        <v>510</v>
      </c>
      <c r="BF36" s="31">
        <v>-501.6</v>
      </c>
      <c r="BG36" s="31">
        <v>-501.6</v>
      </c>
      <c r="BH36" s="31">
        <v>2.46414080971423</v>
      </c>
      <c r="BI36" s="31">
        <v>0.199482526263227</v>
      </c>
      <c r="BJ36" s="31">
        <v>0.751381963934938</v>
      </c>
      <c r="BK36" s="31">
        <v>-0.777095022039786</v>
      </c>
      <c r="BL36" s="31">
        <v>1.0928222582212</v>
      </c>
      <c r="BM36" s="31">
        <v>-0.574436523250518</v>
      </c>
      <c r="BN36" s="31">
        <v>1.57443652325051</v>
      </c>
      <c r="BO36" s="31" t="s">
        <v>413</v>
      </c>
      <c r="BP36" s="31" t="s">
        <v>413</v>
      </c>
      <c r="BQ36" s="31" t="s">
        <v>413</v>
      </c>
      <c r="BR36" s="31" t="s">
        <v>413</v>
      </c>
      <c r="BS36" s="31" t="s">
        <v>413</v>
      </c>
      <c r="BT36" s="31" t="s">
        <v>413</v>
      </c>
      <c r="BU36" s="31" t="s">
        <v>413</v>
      </c>
      <c r="BV36" s="31" t="s">
        <v>413</v>
      </c>
      <c r="BW36" s="31" t="s">
        <v>413</v>
      </c>
      <c r="BX36" s="31" t="s">
        <v>413</v>
      </c>
      <c r="BY36" s="31" t="s">
        <v>413</v>
      </c>
      <c r="BZ36" s="31" t="s">
        <v>413</v>
      </c>
      <c r="CA36" s="31" t="s">
        <v>413</v>
      </c>
      <c r="CB36" s="31" t="s">
        <v>413</v>
      </c>
      <c r="CC36" s="31" t="s">
        <v>413</v>
      </c>
      <c r="CD36" s="31" t="s">
        <v>413</v>
      </c>
      <c r="CE36" s="31" t="s">
        <v>413</v>
      </c>
      <c r="CF36" s="31" t="s">
        <v>413</v>
      </c>
      <c r="CG36" s="31" t="s">
        <v>413</v>
      </c>
      <c r="CH36" s="31" t="s">
        <v>413</v>
      </c>
      <c r="CI36" s="31" t="s">
        <v>413</v>
      </c>
      <c r="CJ36" s="31" t="s">
        <v>413</v>
      </c>
      <c r="CK36" s="31" t="s">
        <v>413</v>
      </c>
      <c r="CL36" s="31" t="s">
        <v>413</v>
      </c>
      <c r="CM36" s="31" t="s">
        <v>413</v>
      </c>
      <c r="CN36" s="31" t="s">
        <v>413</v>
      </c>
      <c r="CO36" s="31" t="s">
        <v>413</v>
      </c>
      <c r="CP36" s="31" t="s">
        <v>413</v>
      </c>
      <c r="CQ36" s="31" t="s">
        <v>413</v>
      </c>
      <c r="CR36" s="31" t="s">
        <v>413</v>
      </c>
      <c r="CS36" s="31" t="s">
        <v>413</v>
      </c>
      <c r="CT36" s="31" t="s">
        <v>413</v>
      </c>
      <c r="CU36" s="31" t="s">
        <v>413</v>
      </c>
      <c r="CV36" s="31" t="s">
        <v>413</v>
      </c>
      <c r="CW36" s="31">
        <v>190.102</v>
      </c>
      <c r="CX36" s="31">
        <v>160.255356034601</v>
      </c>
      <c r="CY36" s="31">
        <v>0.842996686171642</v>
      </c>
      <c r="CZ36" s="31">
        <v>0.165383604311271</v>
      </c>
      <c r="DA36" s="31">
        <v>6.0</v>
      </c>
      <c r="DB36" s="31">
        <v>0.5</v>
      </c>
      <c r="DC36" s="31" t="s">
        <v>414</v>
      </c>
      <c r="DD36" s="31">
        <v>2.0</v>
      </c>
      <c r="DE36" s="31">
        <v>1.7548804765E9</v>
      </c>
      <c r="DF36" s="31">
        <v>459.371</v>
      </c>
      <c r="DG36" s="31">
        <v>459.948</v>
      </c>
      <c r="DH36" s="31">
        <v>36.2491</v>
      </c>
      <c r="DI36" s="31">
        <v>34.8276</v>
      </c>
      <c r="DJ36" s="31">
        <v>456.641</v>
      </c>
      <c r="DK36" s="31">
        <v>35.6973</v>
      </c>
      <c r="DL36" s="31">
        <v>500.014</v>
      </c>
      <c r="DM36" s="31">
        <v>100.936</v>
      </c>
      <c r="DN36" s="31">
        <v>0.100312</v>
      </c>
      <c r="DO36" s="31">
        <v>35.2422</v>
      </c>
      <c r="DP36" s="31">
        <v>35.3347</v>
      </c>
      <c r="DQ36" s="31">
        <v>999.9</v>
      </c>
      <c r="DR36" s="31">
        <v>0.0</v>
      </c>
      <c r="DS36" s="31">
        <v>0.0</v>
      </c>
      <c r="DT36" s="31">
        <v>8973.12</v>
      </c>
      <c r="DU36" s="31">
        <v>0.0</v>
      </c>
      <c r="DV36" s="31">
        <v>856.776</v>
      </c>
      <c r="DW36" s="31">
        <v>190.102</v>
      </c>
      <c r="DX36" s="31">
        <v>0.900077</v>
      </c>
      <c r="DY36" s="31">
        <v>0.0999232</v>
      </c>
      <c r="DZ36" s="31">
        <v>0.0</v>
      </c>
      <c r="EA36" s="31">
        <v>174.34</v>
      </c>
      <c r="EB36" s="31">
        <v>0.0999973</v>
      </c>
      <c r="EC36" s="31">
        <v>830.95</v>
      </c>
      <c r="ED36" s="31">
        <v>1685.01</v>
      </c>
      <c r="EE36" s="31">
        <v>40.312</v>
      </c>
      <c r="EF36" s="31">
        <v>43.812</v>
      </c>
      <c r="EG36" s="31">
        <v>41.812</v>
      </c>
      <c r="EH36" s="31">
        <v>43.437</v>
      </c>
      <c r="EI36" s="31">
        <v>42.875</v>
      </c>
      <c r="EJ36" s="31">
        <v>171.02</v>
      </c>
      <c r="EK36" s="31">
        <v>18.99</v>
      </c>
      <c r="EL36" s="31">
        <v>0.0</v>
      </c>
      <c r="EM36" s="31">
        <v>144.599999904632</v>
      </c>
      <c r="EN36" s="31">
        <v>0.0</v>
      </c>
      <c r="EO36" s="31">
        <v>174.188846153846</v>
      </c>
      <c r="EP36" s="31">
        <v>-7.75247857885688</v>
      </c>
      <c r="EQ36" s="31">
        <v>-401.901538975793</v>
      </c>
      <c r="ER36" s="31">
        <v>840.644615384615</v>
      </c>
      <c r="ES36" s="31">
        <v>15.0</v>
      </c>
      <c r="ET36" s="31">
        <v>1.7548804955E9</v>
      </c>
      <c r="EU36" s="42">
        <v>0.4501736111111111</v>
      </c>
      <c r="EV36" s="31">
        <v>1.7548804955E9</v>
      </c>
      <c r="EW36" s="31">
        <v>1.7548765351E9</v>
      </c>
      <c r="EX36" s="31">
        <v>7.0</v>
      </c>
      <c r="EY36" s="31">
        <v>0.102</v>
      </c>
      <c r="EZ36" s="31">
        <v>-0.002</v>
      </c>
      <c r="FA36" s="31">
        <v>2.73</v>
      </c>
      <c r="FB36" s="31">
        <v>0.297</v>
      </c>
      <c r="FC36" s="31">
        <v>460.0</v>
      </c>
      <c r="FD36" s="31">
        <v>20.0</v>
      </c>
      <c r="FE36" s="31">
        <v>0.46</v>
      </c>
      <c r="FF36" s="31">
        <v>0.06</v>
      </c>
      <c r="FG36" s="31">
        <v>100.0</v>
      </c>
      <c r="FH36" s="31">
        <v>100.0</v>
      </c>
      <c r="FI36" s="31">
        <v>2.73</v>
      </c>
      <c r="FJ36" s="31">
        <v>0.5518</v>
      </c>
      <c r="FK36" s="31">
        <v>2.73003477521069</v>
      </c>
      <c r="FL36" s="31">
        <v>-2.2595428698806E-4</v>
      </c>
      <c r="FM36" s="43">
        <v>5.20417301097471E-9</v>
      </c>
      <c r="FN36" s="43">
        <v>1.17243702350096E-12</v>
      </c>
      <c r="FO36" s="31">
        <v>0.551873338452037</v>
      </c>
      <c r="FP36" s="31">
        <v>0.0</v>
      </c>
      <c r="FQ36" s="31">
        <v>0.0</v>
      </c>
      <c r="FR36" s="31">
        <v>0.0</v>
      </c>
      <c r="FS36" s="31">
        <v>1.0</v>
      </c>
      <c r="FT36" s="31">
        <v>2266.0</v>
      </c>
      <c r="FU36" s="31">
        <v>1.0</v>
      </c>
      <c r="FV36" s="31">
        <v>26.0</v>
      </c>
      <c r="FW36" s="31">
        <v>11.9</v>
      </c>
      <c r="FX36" s="31">
        <v>65.7</v>
      </c>
      <c r="FY36" s="31">
        <v>1.11816</v>
      </c>
      <c r="FZ36" s="31">
        <v>2.53906</v>
      </c>
      <c r="GA36" s="31">
        <v>1.59668</v>
      </c>
      <c r="GB36" s="31">
        <v>2.31934</v>
      </c>
      <c r="GC36" s="31">
        <v>1.5979</v>
      </c>
      <c r="GD36" s="31">
        <v>2.38281</v>
      </c>
      <c r="GE36" s="31">
        <v>42.8315</v>
      </c>
      <c r="GF36" s="31">
        <v>15.7781</v>
      </c>
      <c r="GG36" s="31">
        <v>18.0</v>
      </c>
      <c r="GH36" s="31">
        <v>506.657</v>
      </c>
      <c r="GI36" s="31">
        <v>475.759</v>
      </c>
      <c r="GJ36" s="31">
        <v>35.0263</v>
      </c>
      <c r="GK36" s="31">
        <v>34.9277</v>
      </c>
      <c r="GL36" s="31">
        <v>30.0005</v>
      </c>
      <c r="GM36" s="31">
        <v>34.8938</v>
      </c>
      <c r="GN36" s="31">
        <v>34.8342</v>
      </c>
      <c r="GO36" s="31">
        <v>22.4469</v>
      </c>
      <c r="GP36" s="31">
        <v>100.0</v>
      </c>
      <c r="GQ36" s="31">
        <v>0.0</v>
      </c>
      <c r="GR36" s="31">
        <v>-999.9</v>
      </c>
      <c r="GS36" s="31">
        <v>460.0</v>
      </c>
      <c r="GT36" s="31">
        <v>0.0</v>
      </c>
      <c r="GU36" s="31">
        <v>102.696</v>
      </c>
      <c r="GV36" s="31">
        <v>99.7337</v>
      </c>
    </row>
    <row r="37" ht="14.25" customHeight="1">
      <c r="A37" s="41" t="s">
        <v>112</v>
      </c>
      <c r="B37" s="41" t="s">
        <v>53</v>
      </c>
      <c r="C37" s="41" t="s">
        <v>87</v>
      </c>
      <c r="D37" s="31">
        <v>21.0</v>
      </c>
      <c r="E37" s="31">
        <v>1.754880618E9</v>
      </c>
      <c r="F37" s="31">
        <v>3100.0</v>
      </c>
      <c r="G37" s="31" t="s">
        <v>511</v>
      </c>
      <c r="H37" s="42">
        <v>0.4515972222222222</v>
      </c>
      <c r="I37" s="31" t="s">
        <v>409</v>
      </c>
      <c r="J37" s="31">
        <v>1.754880618E9</v>
      </c>
      <c r="K37" s="31">
        <v>0.00121076904927103</v>
      </c>
      <c r="L37" s="31">
        <v>1.21076904927103</v>
      </c>
      <c r="M37" s="31">
        <v>-0.226459531973505</v>
      </c>
      <c r="N37" s="31">
        <v>459.570000323659</v>
      </c>
      <c r="O37" s="31">
        <v>450.303623329367</v>
      </c>
      <c r="P37" s="31">
        <v>45.5001163709721</v>
      </c>
      <c r="Q37" s="31">
        <v>46.4364206992836</v>
      </c>
      <c r="R37" s="31">
        <v>0.0565525003295746</v>
      </c>
      <c r="S37" s="31">
        <v>2.76001226998222</v>
      </c>
      <c r="T37" s="31">
        <v>0.0559165596136428</v>
      </c>
      <c r="U37" s="31">
        <v>0.0350043905357901</v>
      </c>
      <c r="V37" s="31">
        <v>31.4131759610582</v>
      </c>
      <c r="W37" s="31">
        <v>35.2844396601195</v>
      </c>
      <c r="X37" s="31">
        <v>35.3115</v>
      </c>
      <c r="Y37" s="31">
        <v>5.74653827394262</v>
      </c>
      <c r="Z37" s="31">
        <v>63.3162302221877</v>
      </c>
      <c r="AA37" s="31">
        <v>3.6604816847186</v>
      </c>
      <c r="AB37" s="31">
        <v>5.78126914990568</v>
      </c>
      <c r="AC37" s="31">
        <v>2.08605658922402</v>
      </c>
      <c r="AD37" s="31">
        <v>-53.3949150728526</v>
      </c>
      <c r="AE37" s="31">
        <v>16.2338379615713</v>
      </c>
      <c r="AF37" s="31">
        <v>1.37854544812707</v>
      </c>
      <c r="AG37" s="31">
        <v>-4.36935570209603</v>
      </c>
      <c r="AH37" s="31">
        <v>0.0</v>
      </c>
      <c r="AI37" s="31">
        <v>0.0</v>
      </c>
      <c r="AJ37" s="31">
        <v>1.0</v>
      </c>
      <c r="AK37" s="31">
        <v>0.0</v>
      </c>
      <c r="AL37" s="31">
        <v>46756.0</v>
      </c>
      <c r="AM37" s="31" t="s">
        <v>410</v>
      </c>
      <c r="AN37" s="31">
        <v>8173.37</v>
      </c>
      <c r="AO37" s="31">
        <v>559.295999999999</v>
      </c>
      <c r="AP37" s="31">
        <v>2893.93</v>
      </c>
      <c r="AQ37" s="31">
        <v>0.806734786259515</v>
      </c>
      <c r="AR37" s="31">
        <v>-2.38169762951563</v>
      </c>
      <c r="AS37" s="31" t="s">
        <v>512</v>
      </c>
      <c r="AT37" s="31">
        <v>8178.93</v>
      </c>
      <c r="AU37" s="31">
        <v>105.264038461538</v>
      </c>
      <c r="AV37" s="31">
        <v>180.14</v>
      </c>
      <c r="AW37" s="31">
        <v>0.415654277442331</v>
      </c>
      <c r="AX37" s="31">
        <v>0.5</v>
      </c>
      <c r="AY37" s="31">
        <v>160.115115005729</v>
      </c>
      <c r="AZ37" s="31">
        <v>-0.226459531973505</v>
      </c>
      <c r="BA37" s="31">
        <v>33.2762662176511</v>
      </c>
      <c r="BB37" s="31">
        <v>0.0134605536614391</v>
      </c>
      <c r="BC37" s="31">
        <v>15.0648939713556</v>
      </c>
      <c r="BD37" s="31">
        <v>142.986871259787</v>
      </c>
      <c r="BE37" s="31" t="s">
        <v>513</v>
      </c>
      <c r="BF37" s="31">
        <v>-207.33</v>
      </c>
      <c r="BG37" s="31">
        <v>-207.33</v>
      </c>
      <c r="BH37" s="31">
        <v>2.1509381592095</v>
      </c>
      <c r="BI37" s="31">
        <v>0.193243248608825</v>
      </c>
      <c r="BJ37" s="31">
        <v>0.875060459297188</v>
      </c>
      <c r="BK37" s="31">
        <v>-0.197480618896869</v>
      </c>
      <c r="BL37" s="31">
        <v>1.16240489944034</v>
      </c>
      <c r="BM37" s="31">
        <v>-0.380615481978746</v>
      </c>
      <c r="BN37" s="31">
        <v>1.38061548197874</v>
      </c>
      <c r="BO37" s="31" t="s">
        <v>413</v>
      </c>
      <c r="BP37" s="31" t="s">
        <v>413</v>
      </c>
      <c r="BQ37" s="31" t="s">
        <v>413</v>
      </c>
      <c r="BR37" s="31" t="s">
        <v>413</v>
      </c>
      <c r="BS37" s="31" t="s">
        <v>413</v>
      </c>
      <c r="BT37" s="31" t="s">
        <v>413</v>
      </c>
      <c r="BU37" s="31" t="s">
        <v>413</v>
      </c>
      <c r="BV37" s="31" t="s">
        <v>413</v>
      </c>
      <c r="BW37" s="31" t="s">
        <v>413</v>
      </c>
      <c r="BX37" s="31" t="s">
        <v>413</v>
      </c>
      <c r="BY37" s="31" t="s">
        <v>413</v>
      </c>
      <c r="BZ37" s="31" t="s">
        <v>413</v>
      </c>
      <c r="CA37" s="31" t="s">
        <v>413</v>
      </c>
      <c r="CB37" s="31" t="s">
        <v>413</v>
      </c>
      <c r="CC37" s="31" t="s">
        <v>413</v>
      </c>
      <c r="CD37" s="31" t="s">
        <v>413</v>
      </c>
      <c r="CE37" s="31" t="s">
        <v>413</v>
      </c>
      <c r="CF37" s="31" t="s">
        <v>413</v>
      </c>
      <c r="CG37" s="31" t="s">
        <v>413</v>
      </c>
      <c r="CH37" s="31" t="s">
        <v>413</v>
      </c>
      <c r="CI37" s="31" t="s">
        <v>413</v>
      </c>
      <c r="CJ37" s="31" t="s">
        <v>413</v>
      </c>
      <c r="CK37" s="31" t="s">
        <v>413</v>
      </c>
      <c r="CL37" s="31" t="s">
        <v>413</v>
      </c>
      <c r="CM37" s="31" t="s">
        <v>413</v>
      </c>
      <c r="CN37" s="31" t="s">
        <v>413</v>
      </c>
      <c r="CO37" s="31" t="s">
        <v>413</v>
      </c>
      <c r="CP37" s="31" t="s">
        <v>413</v>
      </c>
      <c r="CQ37" s="31" t="s">
        <v>413</v>
      </c>
      <c r="CR37" s="31" t="s">
        <v>413</v>
      </c>
      <c r="CS37" s="31" t="s">
        <v>413</v>
      </c>
      <c r="CT37" s="31" t="s">
        <v>413</v>
      </c>
      <c r="CU37" s="31" t="s">
        <v>413</v>
      </c>
      <c r="CV37" s="31" t="s">
        <v>413</v>
      </c>
      <c r="CW37" s="31">
        <v>189.935</v>
      </c>
      <c r="CX37" s="31">
        <v>160.115115005729</v>
      </c>
      <c r="CY37" s="31">
        <v>0.84299952618385</v>
      </c>
      <c r="CZ37" s="31">
        <v>0.165389085534831</v>
      </c>
      <c r="DA37" s="31">
        <v>6.0</v>
      </c>
      <c r="DB37" s="31">
        <v>0.5</v>
      </c>
      <c r="DC37" s="31" t="s">
        <v>414</v>
      </c>
      <c r="DD37" s="31">
        <v>2.0</v>
      </c>
      <c r="DE37" s="31">
        <v>1.754880618E9</v>
      </c>
      <c r="DF37" s="31">
        <v>459.57</v>
      </c>
      <c r="DG37" s="31">
        <v>459.966</v>
      </c>
      <c r="DH37" s="31">
        <v>36.2269</v>
      </c>
      <c r="DI37" s="31">
        <v>34.8265</v>
      </c>
      <c r="DJ37" s="31">
        <v>456.84</v>
      </c>
      <c r="DK37" s="31">
        <v>35.675</v>
      </c>
      <c r="DL37" s="31">
        <v>499.96</v>
      </c>
      <c r="DM37" s="31">
        <v>100.943</v>
      </c>
      <c r="DN37" s="31">
        <v>0.100194</v>
      </c>
      <c r="DO37" s="31">
        <v>35.4206</v>
      </c>
      <c r="DP37" s="31">
        <v>35.3115</v>
      </c>
      <c r="DQ37" s="31">
        <v>999.9</v>
      </c>
      <c r="DR37" s="31">
        <v>0.0</v>
      </c>
      <c r="DS37" s="31">
        <v>0.0</v>
      </c>
      <c r="DT37" s="31">
        <v>8978.75</v>
      </c>
      <c r="DU37" s="31">
        <v>0.0</v>
      </c>
      <c r="DV37" s="31">
        <v>580.719</v>
      </c>
      <c r="DW37" s="31">
        <v>189.935</v>
      </c>
      <c r="DX37" s="31">
        <v>0.89995</v>
      </c>
      <c r="DY37" s="31">
        <v>0.10005</v>
      </c>
      <c r="DZ37" s="31">
        <v>0.0</v>
      </c>
      <c r="EA37" s="31">
        <v>99.22</v>
      </c>
      <c r="EB37" s="31">
        <v>0.0999973</v>
      </c>
      <c r="EC37" s="31">
        <v>902.795</v>
      </c>
      <c r="ED37" s="31">
        <v>1683.45</v>
      </c>
      <c r="EE37" s="31">
        <v>40.562</v>
      </c>
      <c r="EF37" s="31">
        <v>44.125</v>
      </c>
      <c r="EG37" s="31">
        <v>42.062</v>
      </c>
      <c r="EH37" s="31">
        <v>43.812</v>
      </c>
      <c r="EI37" s="31">
        <v>43.187</v>
      </c>
      <c r="EJ37" s="31">
        <v>170.84</v>
      </c>
      <c r="EK37" s="31">
        <v>18.99</v>
      </c>
      <c r="EL37" s="31">
        <v>0.0</v>
      </c>
      <c r="EM37" s="31">
        <v>139.400000095367</v>
      </c>
      <c r="EN37" s="31">
        <v>0.0</v>
      </c>
      <c r="EO37" s="31">
        <v>105.264038461538</v>
      </c>
      <c r="EP37" s="31">
        <v>3.29179474540994</v>
      </c>
      <c r="EQ37" s="31">
        <v>-383.972479187612</v>
      </c>
      <c r="ER37" s="31">
        <v>981.439423076922</v>
      </c>
      <c r="ES37" s="31">
        <v>15.0</v>
      </c>
      <c r="ET37" s="31">
        <v>1.7548806405E9</v>
      </c>
      <c r="EU37" s="42">
        <v>0.45185185185185184</v>
      </c>
      <c r="EV37" s="31">
        <v>1.7548806405E9</v>
      </c>
      <c r="EW37" s="31">
        <v>1.7548765351E9</v>
      </c>
      <c r="EX37" s="31">
        <v>8.0</v>
      </c>
      <c r="EY37" s="31">
        <v>0.0</v>
      </c>
      <c r="EZ37" s="31">
        <v>-0.002</v>
      </c>
      <c r="FA37" s="31">
        <v>2.73</v>
      </c>
      <c r="FB37" s="31">
        <v>0.297</v>
      </c>
      <c r="FC37" s="31">
        <v>460.0</v>
      </c>
      <c r="FD37" s="31">
        <v>20.0</v>
      </c>
      <c r="FE37" s="31">
        <v>0.53</v>
      </c>
      <c r="FF37" s="31">
        <v>0.06</v>
      </c>
      <c r="FG37" s="31">
        <v>100.0</v>
      </c>
      <c r="FH37" s="31">
        <v>100.0</v>
      </c>
      <c r="FI37" s="31">
        <v>2.73</v>
      </c>
      <c r="FJ37" s="31">
        <v>0.5519</v>
      </c>
      <c r="FK37" s="31">
        <v>2.83233014557704</v>
      </c>
      <c r="FL37" s="31">
        <v>-2.2595428698806E-4</v>
      </c>
      <c r="FM37" s="43">
        <v>5.20417301097471E-9</v>
      </c>
      <c r="FN37" s="43">
        <v>1.17243702350096E-12</v>
      </c>
      <c r="FO37" s="31">
        <v>0.551873338452037</v>
      </c>
      <c r="FP37" s="31">
        <v>0.0</v>
      </c>
      <c r="FQ37" s="31">
        <v>0.0</v>
      </c>
      <c r="FR37" s="31">
        <v>0.0</v>
      </c>
      <c r="FS37" s="31">
        <v>1.0</v>
      </c>
      <c r="FT37" s="31">
        <v>2266.0</v>
      </c>
      <c r="FU37" s="31">
        <v>1.0</v>
      </c>
      <c r="FV37" s="31">
        <v>26.0</v>
      </c>
      <c r="FW37" s="31">
        <v>2.0</v>
      </c>
      <c r="FX37" s="31">
        <v>68.0</v>
      </c>
      <c r="FY37" s="31">
        <v>1.11816</v>
      </c>
      <c r="FZ37" s="31">
        <v>2.53784</v>
      </c>
      <c r="GA37" s="31">
        <v>1.59668</v>
      </c>
      <c r="GB37" s="31">
        <v>2.31934</v>
      </c>
      <c r="GC37" s="31">
        <v>1.5979</v>
      </c>
      <c r="GD37" s="31">
        <v>2.39258</v>
      </c>
      <c r="GE37" s="31">
        <v>42.9121</v>
      </c>
      <c r="GF37" s="31">
        <v>15.7519</v>
      </c>
      <c r="GG37" s="31">
        <v>18.0</v>
      </c>
      <c r="GH37" s="31">
        <v>506.502</v>
      </c>
      <c r="GI37" s="31">
        <v>474.748</v>
      </c>
      <c r="GJ37" s="31">
        <v>35.1913</v>
      </c>
      <c r="GK37" s="31">
        <v>35.1091</v>
      </c>
      <c r="GL37" s="31">
        <v>30.0008</v>
      </c>
      <c r="GM37" s="31">
        <v>35.0568</v>
      </c>
      <c r="GN37" s="31">
        <v>34.9934</v>
      </c>
      <c r="GO37" s="31">
        <v>22.4492</v>
      </c>
      <c r="GP37" s="31">
        <v>100.0</v>
      </c>
      <c r="GQ37" s="31">
        <v>0.0</v>
      </c>
      <c r="GR37" s="31">
        <v>-999.9</v>
      </c>
      <c r="GS37" s="31">
        <v>460.0</v>
      </c>
      <c r="GT37" s="31">
        <v>0.0</v>
      </c>
      <c r="GU37" s="31">
        <v>102.653</v>
      </c>
      <c r="GV37" s="31">
        <v>99.6968</v>
      </c>
    </row>
    <row r="38" ht="14.25" customHeight="1">
      <c r="A38" s="41" t="s">
        <v>112</v>
      </c>
      <c r="B38" s="41" t="s">
        <v>57</v>
      </c>
      <c r="C38" s="41" t="s">
        <v>86</v>
      </c>
      <c r="D38" s="31">
        <v>34.0</v>
      </c>
      <c r="E38" s="31">
        <v>1.7548825441E9</v>
      </c>
      <c r="F38" s="31">
        <v>5026.09999990463</v>
      </c>
      <c r="G38" s="31" t="s">
        <v>514</v>
      </c>
      <c r="H38" s="42">
        <v>0.4738888888888889</v>
      </c>
      <c r="I38" s="31" t="s">
        <v>409</v>
      </c>
      <c r="J38" s="31">
        <v>1.7548825441E9</v>
      </c>
      <c r="K38" s="31">
        <v>0.00360220652329438</v>
      </c>
      <c r="L38" s="31">
        <v>3.60220652329438</v>
      </c>
      <c r="M38" s="31">
        <v>2.86524128908652</v>
      </c>
      <c r="N38" s="31">
        <v>454.57299592116</v>
      </c>
      <c r="O38" s="31">
        <v>424.157840322472</v>
      </c>
      <c r="P38" s="31">
        <v>42.836541950569</v>
      </c>
      <c r="Q38" s="31">
        <v>45.9082288672737</v>
      </c>
      <c r="R38" s="31">
        <v>0.243774184536565</v>
      </c>
      <c r="S38" s="31">
        <v>2.76268669937042</v>
      </c>
      <c r="T38" s="31">
        <v>0.232423511055637</v>
      </c>
      <c r="U38" s="31">
        <v>0.146240457324727</v>
      </c>
      <c r="V38" s="31">
        <v>31.4231902417193</v>
      </c>
      <c r="W38" s="31">
        <v>34.532786384674</v>
      </c>
      <c r="X38" s="31">
        <v>34.147</v>
      </c>
      <c r="Y38" s="31">
        <v>5.38697758995729</v>
      </c>
      <c r="Z38" s="31">
        <v>67.7194585349444</v>
      </c>
      <c r="AA38" s="31">
        <v>3.89367526029749</v>
      </c>
      <c r="AB38" s="31">
        <v>5.74971410660096</v>
      </c>
      <c r="AC38" s="31">
        <v>1.4933023296598</v>
      </c>
      <c r="AD38" s="31">
        <v>-158.857307677282</v>
      </c>
      <c r="AE38" s="31">
        <v>174.93233828767</v>
      </c>
      <c r="AF38" s="31">
        <v>14.749549579848</v>
      </c>
      <c r="AG38" s="31">
        <v>62.2477704319555</v>
      </c>
      <c r="AH38" s="31">
        <v>0.0</v>
      </c>
      <c r="AI38" s="31">
        <v>0.0</v>
      </c>
      <c r="AJ38" s="31">
        <v>1.0</v>
      </c>
      <c r="AK38" s="31">
        <v>0.0</v>
      </c>
      <c r="AL38" s="31">
        <v>46844.0</v>
      </c>
      <c r="AM38" s="31" t="s">
        <v>410</v>
      </c>
      <c r="AN38" s="31">
        <v>8173.37</v>
      </c>
      <c r="AO38" s="31">
        <v>559.295999999999</v>
      </c>
      <c r="AP38" s="31">
        <v>2893.93</v>
      </c>
      <c r="AQ38" s="31">
        <v>0.806734786259515</v>
      </c>
      <c r="AR38" s="31">
        <v>-2.38169762951563</v>
      </c>
      <c r="AS38" s="31" t="s">
        <v>515</v>
      </c>
      <c r="AT38" s="31">
        <v>8217.9</v>
      </c>
      <c r="AU38" s="31">
        <v>463.309423076923</v>
      </c>
      <c r="AV38" s="31">
        <v>1291.9</v>
      </c>
      <c r="AW38" s="31">
        <v>0.641373617867541</v>
      </c>
      <c r="AX38" s="31">
        <v>0.5</v>
      </c>
      <c r="AY38" s="31">
        <v>160.168014011253</v>
      </c>
      <c r="AZ38" s="31">
        <v>2.86524128908652</v>
      </c>
      <c r="BA38" s="31">
        <v>51.3637693065283</v>
      </c>
      <c r="BB38" s="31">
        <v>0.0327589684556712</v>
      </c>
      <c r="BC38" s="31">
        <v>1.24005727997523</v>
      </c>
      <c r="BD38" s="31">
        <v>451.168892443478</v>
      </c>
      <c r="BE38" s="31" t="s">
        <v>516</v>
      </c>
      <c r="BF38" s="31">
        <v>-1149.6</v>
      </c>
      <c r="BG38" s="31">
        <v>-1149.6</v>
      </c>
      <c r="BH38" s="31">
        <v>1.8898521557396</v>
      </c>
      <c r="BI38" s="31">
        <v>0.339377668205233</v>
      </c>
      <c r="BJ38" s="31">
        <v>0.396195898138507</v>
      </c>
      <c r="BK38" s="31">
        <v>1.13102109314592</v>
      </c>
      <c r="BL38" s="31">
        <v>0.686201777237888</v>
      </c>
      <c r="BM38" s="31">
        <v>-0.84209072368459</v>
      </c>
      <c r="BN38" s="31">
        <v>1.84209072368459</v>
      </c>
      <c r="BO38" s="31" t="s">
        <v>413</v>
      </c>
      <c r="BP38" s="31" t="s">
        <v>413</v>
      </c>
      <c r="BQ38" s="31" t="s">
        <v>413</v>
      </c>
      <c r="BR38" s="31" t="s">
        <v>413</v>
      </c>
      <c r="BS38" s="31" t="s">
        <v>413</v>
      </c>
      <c r="BT38" s="31" t="s">
        <v>413</v>
      </c>
      <c r="BU38" s="31" t="s">
        <v>413</v>
      </c>
      <c r="BV38" s="31" t="s">
        <v>413</v>
      </c>
      <c r="BW38" s="31" t="s">
        <v>413</v>
      </c>
      <c r="BX38" s="31" t="s">
        <v>413</v>
      </c>
      <c r="BY38" s="31" t="s">
        <v>413</v>
      </c>
      <c r="BZ38" s="31" t="s">
        <v>413</v>
      </c>
      <c r="CA38" s="31" t="s">
        <v>413</v>
      </c>
      <c r="CB38" s="31" t="s">
        <v>413</v>
      </c>
      <c r="CC38" s="31" t="s">
        <v>413</v>
      </c>
      <c r="CD38" s="31" t="s">
        <v>413</v>
      </c>
      <c r="CE38" s="31" t="s">
        <v>413</v>
      </c>
      <c r="CF38" s="31" t="s">
        <v>413</v>
      </c>
      <c r="CG38" s="31" t="s">
        <v>413</v>
      </c>
      <c r="CH38" s="31" t="s">
        <v>413</v>
      </c>
      <c r="CI38" s="31" t="s">
        <v>413</v>
      </c>
      <c r="CJ38" s="31" t="s">
        <v>413</v>
      </c>
      <c r="CK38" s="31" t="s">
        <v>413</v>
      </c>
      <c r="CL38" s="31" t="s">
        <v>413</v>
      </c>
      <c r="CM38" s="31" t="s">
        <v>413</v>
      </c>
      <c r="CN38" s="31" t="s">
        <v>413</v>
      </c>
      <c r="CO38" s="31" t="s">
        <v>413</v>
      </c>
      <c r="CP38" s="31" t="s">
        <v>413</v>
      </c>
      <c r="CQ38" s="31" t="s">
        <v>413</v>
      </c>
      <c r="CR38" s="31" t="s">
        <v>413</v>
      </c>
      <c r="CS38" s="31" t="s">
        <v>413</v>
      </c>
      <c r="CT38" s="31" t="s">
        <v>413</v>
      </c>
      <c r="CU38" s="31" t="s">
        <v>413</v>
      </c>
      <c r="CV38" s="31" t="s">
        <v>413</v>
      </c>
      <c r="CW38" s="31">
        <v>189.998</v>
      </c>
      <c r="CX38" s="31">
        <v>160.168014011253</v>
      </c>
      <c r="CY38" s="31">
        <v>0.84299842109524</v>
      </c>
      <c r="CZ38" s="31">
        <v>0.165386952713814</v>
      </c>
      <c r="DA38" s="31">
        <v>6.0</v>
      </c>
      <c r="DB38" s="31">
        <v>0.5</v>
      </c>
      <c r="DC38" s="31" t="s">
        <v>414</v>
      </c>
      <c r="DD38" s="31">
        <v>2.0</v>
      </c>
      <c r="DE38" s="31">
        <v>1.7548825441E9</v>
      </c>
      <c r="DF38" s="31">
        <v>454.573</v>
      </c>
      <c r="DG38" s="31">
        <v>459.976</v>
      </c>
      <c r="DH38" s="31">
        <v>38.5543</v>
      </c>
      <c r="DI38" s="31">
        <v>34.3985</v>
      </c>
      <c r="DJ38" s="31">
        <v>451.803</v>
      </c>
      <c r="DK38" s="31">
        <v>38.0024</v>
      </c>
      <c r="DL38" s="31">
        <v>500.023</v>
      </c>
      <c r="DM38" s="31">
        <v>100.892</v>
      </c>
      <c r="DN38" s="31">
        <v>0.0999843</v>
      </c>
      <c r="DO38" s="31">
        <v>35.3215</v>
      </c>
      <c r="DP38" s="31">
        <v>34.147</v>
      </c>
      <c r="DQ38" s="31">
        <v>999.9</v>
      </c>
      <c r="DR38" s="31">
        <v>0.0</v>
      </c>
      <c r="DS38" s="31">
        <v>0.0</v>
      </c>
      <c r="DT38" s="31">
        <v>8997.5</v>
      </c>
      <c r="DU38" s="31">
        <v>0.0</v>
      </c>
      <c r="DV38" s="31">
        <v>1702.81</v>
      </c>
      <c r="DW38" s="31">
        <v>189.998</v>
      </c>
      <c r="DX38" s="31">
        <v>0.900002</v>
      </c>
      <c r="DY38" s="31">
        <v>0.099998</v>
      </c>
      <c r="DZ38" s="31">
        <v>0.0</v>
      </c>
      <c r="EA38" s="31">
        <v>463.385</v>
      </c>
      <c r="EB38" s="31">
        <v>0.0999973</v>
      </c>
      <c r="EC38" s="31">
        <v>3234.36</v>
      </c>
      <c r="ED38" s="31">
        <v>1684.05</v>
      </c>
      <c r="EE38" s="31">
        <v>40.187</v>
      </c>
      <c r="EF38" s="31">
        <v>43.5</v>
      </c>
      <c r="EG38" s="31">
        <v>41.687</v>
      </c>
      <c r="EH38" s="31">
        <v>43.187</v>
      </c>
      <c r="EI38" s="31">
        <v>42.812</v>
      </c>
      <c r="EJ38" s="31">
        <v>170.91</v>
      </c>
      <c r="EK38" s="31">
        <v>18.99</v>
      </c>
      <c r="EL38" s="31">
        <v>0.0</v>
      </c>
      <c r="EM38" s="31">
        <v>136.800000190734</v>
      </c>
      <c r="EN38" s="31">
        <v>0.0</v>
      </c>
      <c r="EO38" s="31">
        <v>463.309423076923</v>
      </c>
      <c r="EP38" s="31">
        <v>-3.18820521813244</v>
      </c>
      <c r="EQ38" s="31">
        <v>-2009.17504354654</v>
      </c>
      <c r="ER38" s="31">
        <v>3542.18884615384</v>
      </c>
      <c r="ES38" s="31">
        <v>15.0</v>
      </c>
      <c r="ET38" s="31">
        <v>1.7548822846E9</v>
      </c>
      <c r="EU38" s="42">
        <v>0.47087962962962965</v>
      </c>
      <c r="EV38" s="31">
        <v>1.7548822846E9</v>
      </c>
      <c r="EW38" s="31">
        <v>1.7548765351E9</v>
      </c>
      <c r="EX38" s="31">
        <v>11.0</v>
      </c>
      <c r="EY38" s="31">
        <v>-0.02</v>
      </c>
      <c r="EZ38" s="31">
        <v>-0.002</v>
      </c>
      <c r="FA38" s="31">
        <v>2.768</v>
      </c>
      <c r="FB38" s="31">
        <v>0.297</v>
      </c>
      <c r="FC38" s="31">
        <v>460.0</v>
      </c>
      <c r="FD38" s="31">
        <v>20.0</v>
      </c>
      <c r="FE38" s="31">
        <v>0.23</v>
      </c>
      <c r="FF38" s="31">
        <v>0.06</v>
      </c>
      <c r="FG38" s="31">
        <v>100.0</v>
      </c>
      <c r="FH38" s="31">
        <v>100.0</v>
      </c>
      <c r="FI38" s="31">
        <v>2.77</v>
      </c>
      <c r="FJ38" s="31">
        <v>0.5519</v>
      </c>
      <c r="FK38" s="31">
        <v>2.8706141843172</v>
      </c>
      <c r="FL38" s="31">
        <v>-2.2595428698806E-4</v>
      </c>
      <c r="FM38" s="43">
        <v>5.20417301097471E-9</v>
      </c>
      <c r="FN38" s="43">
        <v>1.17243702350096E-12</v>
      </c>
      <c r="FO38" s="31">
        <v>0.551873338452037</v>
      </c>
      <c r="FP38" s="31">
        <v>0.0</v>
      </c>
      <c r="FQ38" s="31">
        <v>0.0</v>
      </c>
      <c r="FR38" s="31">
        <v>0.0</v>
      </c>
      <c r="FS38" s="31">
        <v>1.0</v>
      </c>
      <c r="FT38" s="31">
        <v>2266.0</v>
      </c>
      <c r="FU38" s="31">
        <v>1.0</v>
      </c>
      <c r="FV38" s="31">
        <v>26.0</v>
      </c>
      <c r="FW38" s="31">
        <v>4.3</v>
      </c>
      <c r="FX38" s="31">
        <v>100.2</v>
      </c>
      <c r="FY38" s="31">
        <v>1.12427</v>
      </c>
      <c r="FZ38" s="31">
        <v>2.55249</v>
      </c>
      <c r="GA38" s="31">
        <v>1.59546</v>
      </c>
      <c r="GB38" s="31">
        <v>2.31689</v>
      </c>
      <c r="GC38" s="31">
        <v>1.5979</v>
      </c>
      <c r="GD38" s="31">
        <v>2.37793</v>
      </c>
      <c r="GE38" s="31">
        <v>43.5627</v>
      </c>
      <c r="GF38" s="31">
        <v>15.4629</v>
      </c>
      <c r="GG38" s="31">
        <v>18.0</v>
      </c>
      <c r="GH38" s="31">
        <v>508.771</v>
      </c>
      <c r="GI38" s="31">
        <v>462.42</v>
      </c>
      <c r="GJ38" s="31">
        <v>35.5</v>
      </c>
      <c r="GK38" s="31">
        <v>36.0894</v>
      </c>
      <c r="GL38" s="31">
        <v>30.0003</v>
      </c>
      <c r="GM38" s="31">
        <v>36.0736</v>
      </c>
      <c r="GN38" s="31">
        <v>36.0162</v>
      </c>
      <c r="GO38" s="31">
        <v>22.5667</v>
      </c>
      <c r="GP38" s="31">
        <v>100.0</v>
      </c>
      <c r="GQ38" s="31">
        <v>0.0</v>
      </c>
      <c r="GR38" s="31">
        <v>-999.9</v>
      </c>
      <c r="GS38" s="31">
        <v>460.0</v>
      </c>
      <c r="GT38" s="31">
        <v>0.0</v>
      </c>
      <c r="GU38" s="31">
        <v>102.468</v>
      </c>
      <c r="GV38" s="31">
        <v>99.5832</v>
      </c>
    </row>
    <row r="39" ht="14.25" customHeight="1">
      <c r="A39" s="41" t="s">
        <v>112</v>
      </c>
      <c r="B39" s="41" t="s">
        <v>57</v>
      </c>
      <c r="C39" s="41" t="s">
        <v>87</v>
      </c>
      <c r="D39" s="31">
        <v>35.0</v>
      </c>
      <c r="E39" s="31">
        <v>1.7548826791E9</v>
      </c>
      <c r="F39" s="31">
        <v>5161.09999990463</v>
      </c>
      <c r="G39" s="31" t="s">
        <v>517</v>
      </c>
      <c r="H39" s="42">
        <v>0.4754513888888889</v>
      </c>
      <c r="I39" s="31" t="s">
        <v>409</v>
      </c>
      <c r="J39" s="31">
        <v>1.7548826791E9</v>
      </c>
      <c r="K39" s="31">
        <v>0.00427943002232279</v>
      </c>
      <c r="L39" s="31">
        <v>4.27943002232279</v>
      </c>
      <c r="M39" s="31">
        <v>2.26897921419408</v>
      </c>
      <c r="N39" s="31">
        <v>454.954996780745</v>
      </c>
      <c r="O39" s="31">
        <v>425.101930216394</v>
      </c>
      <c r="P39" s="31">
        <v>42.9310945196833</v>
      </c>
      <c r="Q39" s="31">
        <v>45.9459592645321</v>
      </c>
      <c r="R39" s="31">
        <v>0.231360604310555</v>
      </c>
      <c r="S39" s="31">
        <v>2.76570820241429</v>
      </c>
      <c r="T39" s="31">
        <v>0.221121050208227</v>
      </c>
      <c r="U39" s="31">
        <v>0.139082871858952</v>
      </c>
      <c r="V39" s="31">
        <v>31.4254721472058</v>
      </c>
      <c r="W39" s="31">
        <v>34.4140856306028</v>
      </c>
      <c r="X39" s="31">
        <v>35.497</v>
      </c>
      <c r="Y39" s="31">
        <v>5.80569876431912</v>
      </c>
      <c r="Z39" s="31">
        <v>68.3755879232845</v>
      </c>
      <c r="AA39" s="31">
        <v>3.9455627611872</v>
      </c>
      <c r="AB39" s="31">
        <v>5.77042608483894</v>
      </c>
      <c r="AC39" s="31">
        <v>1.86013600313191</v>
      </c>
      <c r="AD39" s="31">
        <v>-188.722863984435</v>
      </c>
      <c r="AE39" s="31">
        <v>-16.4611766111847</v>
      </c>
      <c r="AF39" s="31">
        <v>-1.39600002223646</v>
      </c>
      <c r="AG39" s="31">
        <v>-175.15456847065</v>
      </c>
      <c r="AH39" s="31">
        <v>0.0</v>
      </c>
      <c r="AI39" s="31">
        <v>0.0</v>
      </c>
      <c r="AJ39" s="31">
        <v>1.0</v>
      </c>
      <c r="AK39" s="31">
        <v>0.0</v>
      </c>
      <c r="AL39" s="31">
        <v>46916.0</v>
      </c>
      <c r="AM39" s="31" t="s">
        <v>410</v>
      </c>
      <c r="AN39" s="31">
        <v>8173.37</v>
      </c>
      <c r="AO39" s="31">
        <v>559.295999999999</v>
      </c>
      <c r="AP39" s="31">
        <v>2893.93</v>
      </c>
      <c r="AQ39" s="31">
        <v>0.806734786259515</v>
      </c>
      <c r="AR39" s="31">
        <v>-2.38169762951563</v>
      </c>
      <c r="AS39" s="31" t="s">
        <v>518</v>
      </c>
      <c r="AT39" s="31">
        <v>8191.59</v>
      </c>
      <c r="AU39" s="31">
        <v>399.4648</v>
      </c>
      <c r="AV39" s="31">
        <v>1200.35</v>
      </c>
      <c r="AW39" s="31">
        <v>0.667209730495272</v>
      </c>
      <c r="AX39" s="31">
        <v>0.5</v>
      </c>
      <c r="AY39" s="31">
        <v>160.188128988189</v>
      </c>
      <c r="AZ39" s="31">
        <v>2.26897921419408</v>
      </c>
      <c r="BA39" s="31">
        <v>53.4395391853759</v>
      </c>
      <c r="BB39" s="31">
        <v>0.029032593570355</v>
      </c>
      <c r="BC39" s="31">
        <v>1.4109051526638</v>
      </c>
      <c r="BD39" s="31">
        <v>439.463564766966</v>
      </c>
      <c r="BE39" s="31" t="s">
        <v>519</v>
      </c>
      <c r="BF39" s="31">
        <v>-1321.33</v>
      </c>
      <c r="BG39" s="31">
        <v>-1321.33</v>
      </c>
      <c r="BH39" s="31">
        <v>2.10078727037947</v>
      </c>
      <c r="BI39" s="31">
        <v>0.317599854065543</v>
      </c>
      <c r="BJ39" s="31">
        <v>0.401773556079577</v>
      </c>
      <c r="BK39" s="31">
        <v>1.2493256418336</v>
      </c>
      <c r="BL39" s="31">
        <v>0.725415632600227</v>
      </c>
      <c r="BM39" s="31">
        <v>-1.05054116200582</v>
      </c>
      <c r="BN39" s="31">
        <v>2.05054116200582</v>
      </c>
      <c r="BO39" s="31" t="s">
        <v>413</v>
      </c>
      <c r="BP39" s="31" t="s">
        <v>413</v>
      </c>
      <c r="BQ39" s="31" t="s">
        <v>413</v>
      </c>
      <c r="BR39" s="31" t="s">
        <v>413</v>
      </c>
      <c r="BS39" s="31" t="s">
        <v>413</v>
      </c>
      <c r="BT39" s="31" t="s">
        <v>413</v>
      </c>
      <c r="BU39" s="31" t="s">
        <v>413</v>
      </c>
      <c r="BV39" s="31" t="s">
        <v>413</v>
      </c>
      <c r="BW39" s="31" t="s">
        <v>413</v>
      </c>
      <c r="BX39" s="31" t="s">
        <v>413</v>
      </c>
      <c r="BY39" s="31" t="s">
        <v>413</v>
      </c>
      <c r="BZ39" s="31" t="s">
        <v>413</v>
      </c>
      <c r="CA39" s="31" t="s">
        <v>413</v>
      </c>
      <c r="CB39" s="31" t="s">
        <v>413</v>
      </c>
      <c r="CC39" s="31" t="s">
        <v>413</v>
      </c>
      <c r="CD39" s="31" t="s">
        <v>413</v>
      </c>
      <c r="CE39" s="31" t="s">
        <v>413</v>
      </c>
      <c r="CF39" s="31" t="s">
        <v>413</v>
      </c>
      <c r="CG39" s="31" t="s">
        <v>413</v>
      </c>
      <c r="CH39" s="31" t="s">
        <v>413</v>
      </c>
      <c r="CI39" s="31" t="s">
        <v>413</v>
      </c>
      <c r="CJ39" s="31" t="s">
        <v>413</v>
      </c>
      <c r="CK39" s="31" t="s">
        <v>413</v>
      </c>
      <c r="CL39" s="31" t="s">
        <v>413</v>
      </c>
      <c r="CM39" s="31" t="s">
        <v>413</v>
      </c>
      <c r="CN39" s="31" t="s">
        <v>413</v>
      </c>
      <c r="CO39" s="31" t="s">
        <v>413</v>
      </c>
      <c r="CP39" s="31" t="s">
        <v>413</v>
      </c>
      <c r="CQ39" s="31" t="s">
        <v>413</v>
      </c>
      <c r="CR39" s="31" t="s">
        <v>413</v>
      </c>
      <c r="CS39" s="31" t="s">
        <v>413</v>
      </c>
      <c r="CT39" s="31" t="s">
        <v>413</v>
      </c>
      <c r="CU39" s="31" t="s">
        <v>413</v>
      </c>
      <c r="CV39" s="31" t="s">
        <v>413</v>
      </c>
      <c r="CW39" s="31">
        <v>190.023</v>
      </c>
      <c r="CX39" s="31">
        <v>160.188128988189</v>
      </c>
      <c r="CY39" s="31">
        <v>0.842993369161572</v>
      </c>
      <c r="CZ39" s="31">
        <v>0.165377202481835</v>
      </c>
      <c r="DA39" s="31">
        <v>6.0</v>
      </c>
      <c r="DB39" s="31">
        <v>0.5</v>
      </c>
      <c r="DC39" s="31" t="s">
        <v>414</v>
      </c>
      <c r="DD39" s="31">
        <v>2.0</v>
      </c>
      <c r="DE39" s="31">
        <v>1.7548826791E9</v>
      </c>
      <c r="DF39" s="31">
        <v>454.955</v>
      </c>
      <c r="DG39" s="31">
        <v>460.013</v>
      </c>
      <c r="DH39" s="31">
        <v>39.0688</v>
      </c>
      <c r="DI39" s="31">
        <v>34.1352</v>
      </c>
      <c r="DJ39" s="31">
        <v>452.185</v>
      </c>
      <c r="DK39" s="31">
        <v>38.5169</v>
      </c>
      <c r="DL39" s="31">
        <v>500.11</v>
      </c>
      <c r="DM39" s="31">
        <v>100.89</v>
      </c>
      <c r="DN39" s="31">
        <v>0.100119</v>
      </c>
      <c r="DO39" s="31">
        <v>35.3866</v>
      </c>
      <c r="DP39" s="31">
        <v>35.497</v>
      </c>
      <c r="DQ39" s="31">
        <v>999.9</v>
      </c>
      <c r="DR39" s="31">
        <v>0.0</v>
      </c>
      <c r="DS39" s="31">
        <v>0.0</v>
      </c>
      <c r="DT39" s="31">
        <v>9013.75</v>
      </c>
      <c r="DU39" s="31">
        <v>0.0</v>
      </c>
      <c r="DV39" s="31">
        <v>1727.81</v>
      </c>
      <c r="DW39" s="31">
        <v>190.023</v>
      </c>
      <c r="DX39" s="31">
        <v>0.900145</v>
      </c>
      <c r="DY39" s="31">
        <v>0.0998551</v>
      </c>
      <c r="DZ39" s="31">
        <v>0.0</v>
      </c>
      <c r="EA39" s="31">
        <v>399.975</v>
      </c>
      <c r="EB39" s="31">
        <v>0.0999973</v>
      </c>
      <c r="EC39" s="31">
        <v>2728.41</v>
      </c>
      <c r="ED39" s="31">
        <v>1684.35</v>
      </c>
      <c r="EE39" s="31">
        <v>40.187</v>
      </c>
      <c r="EF39" s="31">
        <v>43.687</v>
      </c>
      <c r="EG39" s="31">
        <v>41.687</v>
      </c>
      <c r="EH39" s="31">
        <v>43.375</v>
      </c>
      <c r="EI39" s="31">
        <v>42.812</v>
      </c>
      <c r="EJ39" s="31">
        <v>170.96</v>
      </c>
      <c r="EK39" s="31">
        <v>18.96</v>
      </c>
      <c r="EL39" s="31">
        <v>0.0</v>
      </c>
      <c r="EM39" s="31">
        <v>132.599999904632</v>
      </c>
      <c r="EN39" s="31">
        <v>0.0</v>
      </c>
      <c r="EO39" s="31">
        <v>399.4648</v>
      </c>
      <c r="EP39" s="31">
        <v>5.20807679991879</v>
      </c>
      <c r="EQ39" s="31">
        <v>87.0230770585005</v>
      </c>
      <c r="ER39" s="31">
        <v>2687.4252</v>
      </c>
      <c r="ES39" s="31">
        <v>15.0</v>
      </c>
      <c r="ET39" s="31">
        <v>1.7548822846E9</v>
      </c>
      <c r="EU39" s="42">
        <v>0.47087962962962965</v>
      </c>
      <c r="EV39" s="31">
        <v>1.7548822846E9</v>
      </c>
      <c r="EW39" s="31">
        <v>1.7548765351E9</v>
      </c>
      <c r="EX39" s="31">
        <v>11.0</v>
      </c>
      <c r="EY39" s="31">
        <v>-0.02</v>
      </c>
      <c r="EZ39" s="31">
        <v>-0.002</v>
      </c>
      <c r="FA39" s="31">
        <v>2.768</v>
      </c>
      <c r="FB39" s="31">
        <v>0.297</v>
      </c>
      <c r="FC39" s="31">
        <v>460.0</v>
      </c>
      <c r="FD39" s="31">
        <v>20.0</v>
      </c>
      <c r="FE39" s="31">
        <v>0.23</v>
      </c>
      <c r="FF39" s="31">
        <v>0.06</v>
      </c>
      <c r="FG39" s="31">
        <v>100.0</v>
      </c>
      <c r="FH39" s="31">
        <v>100.0</v>
      </c>
      <c r="FI39" s="31">
        <v>2.77</v>
      </c>
      <c r="FJ39" s="31">
        <v>0.5519</v>
      </c>
      <c r="FK39" s="31">
        <v>2.8706141843172</v>
      </c>
      <c r="FL39" s="31">
        <v>-2.2595428698806E-4</v>
      </c>
      <c r="FM39" s="43">
        <v>5.20417301097471E-9</v>
      </c>
      <c r="FN39" s="43">
        <v>1.17243702350096E-12</v>
      </c>
      <c r="FO39" s="31">
        <v>0.551873338452037</v>
      </c>
      <c r="FP39" s="31">
        <v>0.0</v>
      </c>
      <c r="FQ39" s="31">
        <v>0.0</v>
      </c>
      <c r="FR39" s="31">
        <v>0.0</v>
      </c>
      <c r="FS39" s="31">
        <v>1.0</v>
      </c>
      <c r="FT39" s="31">
        <v>2266.0</v>
      </c>
      <c r="FU39" s="31">
        <v>1.0</v>
      </c>
      <c r="FV39" s="31">
        <v>26.0</v>
      </c>
      <c r="FW39" s="31">
        <v>6.6</v>
      </c>
      <c r="FX39" s="31">
        <v>102.4</v>
      </c>
      <c r="FY39" s="31">
        <v>1.12427</v>
      </c>
      <c r="FZ39" s="31">
        <v>2.5647</v>
      </c>
      <c r="GA39" s="31">
        <v>1.59668</v>
      </c>
      <c r="GB39" s="31">
        <v>2.31689</v>
      </c>
      <c r="GC39" s="31">
        <v>1.5979</v>
      </c>
      <c r="GD39" s="31">
        <v>2.26562</v>
      </c>
      <c r="GE39" s="31">
        <v>43.3991</v>
      </c>
      <c r="GF39" s="31">
        <v>15.4279</v>
      </c>
      <c r="GG39" s="31">
        <v>18.0</v>
      </c>
      <c r="GH39" s="31">
        <v>509.544</v>
      </c>
      <c r="GI39" s="31">
        <v>462.382</v>
      </c>
      <c r="GJ39" s="31">
        <v>35.5686</v>
      </c>
      <c r="GK39" s="31">
        <v>36.1706</v>
      </c>
      <c r="GL39" s="31">
        <v>30.0005</v>
      </c>
      <c r="GM39" s="31">
        <v>36.1337</v>
      </c>
      <c r="GN39" s="31">
        <v>36.0723</v>
      </c>
      <c r="GO39" s="31">
        <v>22.5734</v>
      </c>
      <c r="GP39" s="31">
        <v>100.0</v>
      </c>
      <c r="GQ39" s="31">
        <v>0.0</v>
      </c>
      <c r="GR39" s="31">
        <v>-999.9</v>
      </c>
      <c r="GS39" s="31">
        <v>460.0</v>
      </c>
      <c r="GT39" s="31">
        <v>0.0</v>
      </c>
      <c r="GU39" s="31">
        <v>102.454</v>
      </c>
      <c r="GV39" s="31">
        <v>99.5676</v>
      </c>
    </row>
    <row r="40" ht="14.25" customHeight="1">
      <c r="A40" s="41" t="s">
        <v>112</v>
      </c>
      <c r="B40" s="41" t="s">
        <v>59</v>
      </c>
      <c r="C40" s="41" t="s">
        <v>86</v>
      </c>
      <c r="D40" s="31">
        <v>22.0</v>
      </c>
      <c r="E40" s="31">
        <v>1.754880766E9</v>
      </c>
      <c r="F40" s="31">
        <v>3248.0</v>
      </c>
      <c r="G40" s="31" t="s">
        <v>520</v>
      </c>
      <c r="H40" s="42">
        <v>0.4533101851851852</v>
      </c>
      <c r="I40" s="31" t="s">
        <v>409</v>
      </c>
      <c r="J40" s="31">
        <v>1.754880766E9</v>
      </c>
      <c r="K40" s="31">
        <v>0.00406568690218713</v>
      </c>
      <c r="L40" s="31">
        <v>4.06568690218713</v>
      </c>
      <c r="M40" s="31">
        <v>4.42946593580187</v>
      </c>
      <c r="N40" s="31">
        <v>452.464993691092</v>
      </c>
      <c r="O40" s="31">
        <v>416.860441277324</v>
      </c>
      <c r="P40" s="31">
        <v>42.1203472604541</v>
      </c>
      <c r="Q40" s="31">
        <v>45.7178968555313</v>
      </c>
      <c r="R40" s="31">
        <v>0.292432908822068</v>
      </c>
      <c r="S40" s="31">
        <v>2.76281970770434</v>
      </c>
      <c r="T40" s="31">
        <v>0.27626086454062</v>
      </c>
      <c r="U40" s="31">
        <v>0.174041464729953</v>
      </c>
      <c r="V40" s="31">
        <v>31.4297977999045</v>
      </c>
      <c r="W40" s="31">
        <v>34.4614023832361</v>
      </c>
      <c r="X40" s="31">
        <v>34.2624</v>
      </c>
      <c r="Y40" s="31">
        <v>5.42171369374136</v>
      </c>
      <c r="Z40" s="31">
        <v>69.427971392048</v>
      </c>
      <c r="AA40" s="31">
        <v>4.00405584185109</v>
      </c>
      <c r="AB40" s="31">
        <v>5.76720846305716</v>
      </c>
      <c r="AC40" s="31">
        <v>1.41765785189026</v>
      </c>
      <c r="AD40" s="31">
        <v>-179.296792386452</v>
      </c>
      <c r="AE40" s="31">
        <v>165.944232508685</v>
      </c>
      <c r="AF40" s="31">
        <v>14.0026560491693</v>
      </c>
      <c r="AG40" s="31">
        <v>32.0798939713064</v>
      </c>
      <c r="AH40" s="31">
        <v>0.0</v>
      </c>
      <c r="AI40" s="31">
        <v>0.0</v>
      </c>
      <c r="AJ40" s="31">
        <v>1.0</v>
      </c>
      <c r="AK40" s="31">
        <v>0.0</v>
      </c>
      <c r="AL40" s="31">
        <v>46839.0</v>
      </c>
      <c r="AM40" s="31" t="s">
        <v>410</v>
      </c>
      <c r="AN40" s="31">
        <v>8173.37</v>
      </c>
      <c r="AO40" s="31">
        <v>559.295999999999</v>
      </c>
      <c r="AP40" s="31">
        <v>2893.93</v>
      </c>
      <c r="AQ40" s="31">
        <v>0.806734786259515</v>
      </c>
      <c r="AR40" s="31">
        <v>-2.38169762951563</v>
      </c>
      <c r="AS40" s="31" t="s">
        <v>521</v>
      </c>
      <c r="AT40" s="31">
        <v>8151.17</v>
      </c>
      <c r="AU40" s="31">
        <v>767.7272</v>
      </c>
      <c r="AV40" s="31">
        <v>1881.43</v>
      </c>
      <c r="AW40" s="31">
        <v>0.59194485045949</v>
      </c>
      <c r="AX40" s="31">
        <v>0.5</v>
      </c>
      <c r="AY40" s="31">
        <v>160.197186010313</v>
      </c>
      <c r="AZ40" s="31">
        <v>4.42946593580187</v>
      </c>
      <c r="BA40" s="31">
        <v>47.413949658453</v>
      </c>
      <c r="BB40" s="31">
        <v>0.0425173733381248</v>
      </c>
      <c r="BC40" s="31">
        <v>0.538154488872825</v>
      </c>
      <c r="BD40" s="31">
        <v>506.605693500681</v>
      </c>
      <c r="BE40" s="31" t="s">
        <v>522</v>
      </c>
      <c r="BF40" s="31">
        <v>-2142.27</v>
      </c>
      <c r="BG40" s="31">
        <v>-2142.27</v>
      </c>
      <c r="BH40" s="31">
        <v>2.13863922654576</v>
      </c>
      <c r="BI40" s="31">
        <v>0.27678574446405</v>
      </c>
      <c r="BJ40" s="31">
        <v>0.201044438266947</v>
      </c>
      <c r="BK40" s="31">
        <v>0.842352439314018</v>
      </c>
      <c r="BL40" s="31">
        <v>0.433686822002934</v>
      </c>
      <c r="BM40" s="31">
        <v>-0.772344391071465</v>
      </c>
      <c r="BN40" s="31">
        <v>1.77234439107146</v>
      </c>
      <c r="BO40" s="31" t="s">
        <v>413</v>
      </c>
      <c r="BP40" s="31" t="s">
        <v>413</v>
      </c>
      <c r="BQ40" s="31" t="s">
        <v>413</v>
      </c>
      <c r="BR40" s="31" t="s">
        <v>413</v>
      </c>
      <c r="BS40" s="31" t="s">
        <v>413</v>
      </c>
      <c r="BT40" s="31" t="s">
        <v>413</v>
      </c>
      <c r="BU40" s="31" t="s">
        <v>413</v>
      </c>
      <c r="BV40" s="31" t="s">
        <v>413</v>
      </c>
      <c r="BW40" s="31" t="s">
        <v>413</v>
      </c>
      <c r="BX40" s="31" t="s">
        <v>413</v>
      </c>
      <c r="BY40" s="31" t="s">
        <v>413</v>
      </c>
      <c r="BZ40" s="31" t="s">
        <v>413</v>
      </c>
      <c r="CA40" s="31" t="s">
        <v>413</v>
      </c>
      <c r="CB40" s="31" t="s">
        <v>413</v>
      </c>
      <c r="CC40" s="31" t="s">
        <v>413</v>
      </c>
      <c r="CD40" s="31" t="s">
        <v>413</v>
      </c>
      <c r="CE40" s="31" t="s">
        <v>413</v>
      </c>
      <c r="CF40" s="31" t="s">
        <v>413</v>
      </c>
      <c r="CG40" s="31" t="s">
        <v>413</v>
      </c>
      <c r="CH40" s="31" t="s">
        <v>413</v>
      </c>
      <c r="CI40" s="31" t="s">
        <v>413</v>
      </c>
      <c r="CJ40" s="31" t="s">
        <v>413</v>
      </c>
      <c r="CK40" s="31" t="s">
        <v>413</v>
      </c>
      <c r="CL40" s="31" t="s">
        <v>413</v>
      </c>
      <c r="CM40" s="31" t="s">
        <v>413</v>
      </c>
      <c r="CN40" s="31" t="s">
        <v>413</v>
      </c>
      <c r="CO40" s="31" t="s">
        <v>413</v>
      </c>
      <c r="CP40" s="31" t="s">
        <v>413</v>
      </c>
      <c r="CQ40" s="31" t="s">
        <v>413</v>
      </c>
      <c r="CR40" s="31" t="s">
        <v>413</v>
      </c>
      <c r="CS40" s="31" t="s">
        <v>413</v>
      </c>
      <c r="CT40" s="31" t="s">
        <v>413</v>
      </c>
      <c r="CU40" s="31" t="s">
        <v>413</v>
      </c>
      <c r="CV40" s="31" t="s">
        <v>413</v>
      </c>
      <c r="CW40" s="31">
        <v>190.032</v>
      </c>
      <c r="CX40" s="31">
        <v>160.197186010313</v>
      </c>
      <c r="CY40" s="31">
        <v>0.84300110513131</v>
      </c>
      <c r="CZ40" s="31">
        <v>0.165392132903429</v>
      </c>
      <c r="DA40" s="31">
        <v>6.0</v>
      </c>
      <c r="DB40" s="31">
        <v>0.5</v>
      </c>
      <c r="DC40" s="31" t="s">
        <v>414</v>
      </c>
      <c r="DD40" s="31">
        <v>2.0</v>
      </c>
      <c r="DE40" s="31">
        <v>1.754880766E9</v>
      </c>
      <c r="DF40" s="31">
        <v>452.465</v>
      </c>
      <c r="DG40" s="31">
        <v>459.989</v>
      </c>
      <c r="DH40" s="31">
        <v>39.6277</v>
      </c>
      <c r="DI40" s="31">
        <v>34.9415</v>
      </c>
      <c r="DJ40" s="31">
        <v>449.733</v>
      </c>
      <c r="DK40" s="31">
        <v>39.0758</v>
      </c>
      <c r="DL40" s="31">
        <v>499.924</v>
      </c>
      <c r="DM40" s="31">
        <v>100.942</v>
      </c>
      <c r="DN40" s="31">
        <v>0.099843</v>
      </c>
      <c r="DO40" s="31">
        <v>35.3765</v>
      </c>
      <c r="DP40" s="31">
        <v>34.2624</v>
      </c>
      <c r="DQ40" s="31">
        <v>999.9</v>
      </c>
      <c r="DR40" s="31">
        <v>0.0</v>
      </c>
      <c r="DS40" s="31">
        <v>0.0</v>
      </c>
      <c r="DT40" s="31">
        <v>8993.75</v>
      </c>
      <c r="DU40" s="31">
        <v>0.0</v>
      </c>
      <c r="DV40" s="31">
        <v>1621.83</v>
      </c>
      <c r="DW40" s="31">
        <v>190.032</v>
      </c>
      <c r="DX40" s="31">
        <v>0.899915</v>
      </c>
      <c r="DY40" s="31">
        <v>0.100085</v>
      </c>
      <c r="DZ40" s="31">
        <v>0.0</v>
      </c>
      <c r="EA40" s="31">
        <v>764.415</v>
      </c>
      <c r="EB40" s="31">
        <v>0.0999973</v>
      </c>
      <c r="EC40" s="31">
        <v>3538.39</v>
      </c>
      <c r="ED40" s="31">
        <v>1684.3</v>
      </c>
      <c r="EE40" s="31">
        <v>40.562</v>
      </c>
      <c r="EF40" s="31">
        <v>44.25</v>
      </c>
      <c r="EG40" s="31">
        <v>42.125</v>
      </c>
      <c r="EH40" s="31">
        <v>43.812</v>
      </c>
      <c r="EI40" s="31">
        <v>43.25</v>
      </c>
      <c r="EJ40" s="31">
        <v>170.92</v>
      </c>
      <c r="EK40" s="31">
        <v>19.01</v>
      </c>
      <c r="EL40" s="31">
        <v>0.0</v>
      </c>
      <c r="EM40" s="31">
        <v>145.800000190734</v>
      </c>
      <c r="EN40" s="31">
        <v>0.0</v>
      </c>
      <c r="EO40" s="31">
        <v>767.7272</v>
      </c>
      <c r="EP40" s="31">
        <v>-27.5723078852038</v>
      </c>
      <c r="EQ40" s="31">
        <v>105.605384734825</v>
      </c>
      <c r="ER40" s="31">
        <v>3502.8112</v>
      </c>
      <c r="ES40" s="31">
        <v>15.0</v>
      </c>
      <c r="ET40" s="31">
        <v>1.7548806405E9</v>
      </c>
      <c r="EU40" s="42">
        <v>0.45185185185185184</v>
      </c>
      <c r="EV40" s="31">
        <v>1.7548806405E9</v>
      </c>
      <c r="EW40" s="31">
        <v>1.7548765351E9</v>
      </c>
      <c r="EX40" s="31">
        <v>8.0</v>
      </c>
      <c r="EY40" s="31">
        <v>0.0</v>
      </c>
      <c r="EZ40" s="31">
        <v>-0.002</v>
      </c>
      <c r="FA40" s="31">
        <v>2.73</v>
      </c>
      <c r="FB40" s="31">
        <v>0.297</v>
      </c>
      <c r="FC40" s="31">
        <v>460.0</v>
      </c>
      <c r="FD40" s="31">
        <v>20.0</v>
      </c>
      <c r="FE40" s="31">
        <v>0.53</v>
      </c>
      <c r="FF40" s="31">
        <v>0.06</v>
      </c>
      <c r="FG40" s="31">
        <v>100.0</v>
      </c>
      <c r="FH40" s="31">
        <v>100.0</v>
      </c>
      <c r="FI40" s="31">
        <v>2.732</v>
      </c>
      <c r="FJ40" s="31">
        <v>0.5519</v>
      </c>
      <c r="FK40" s="31">
        <v>2.83188461089318</v>
      </c>
      <c r="FL40" s="31">
        <v>-2.2595428698806E-4</v>
      </c>
      <c r="FM40" s="43">
        <v>5.20417301097471E-9</v>
      </c>
      <c r="FN40" s="43">
        <v>1.17243702350096E-12</v>
      </c>
      <c r="FO40" s="31">
        <v>0.551873338452037</v>
      </c>
      <c r="FP40" s="31">
        <v>0.0</v>
      </c>
      <c r="FQ40" s="31">
        <v>0.0</v>
      </c>
      <c r="FR40" s="31">
        <v>0.0</v>
      </c>
      <c r="FS40" s="31">
        <v>1.0</v>
      </c>
      <c r="FT40" s="31">
        <v>2266.0</v>
      </c>
      <c r="FU40" s="31">
        <v>1.0</v>
      </c>
      <c r="FV40" s="31">
        <v>26.0</v>
      </c>
      <c r="FW40" s="31">
        <v>2.1</v>
      </c>
      <c r="FX40" s="31">
        <v>70.5</v>
      </c>
      <c r="FY40" s="31">
        <v>1.11938</v>
      </c>
      <c r="FZ40" s="31">
        <v>2.5415</v>
      </c>
      <c r="GA40" s="31">
        <v>1.59668</v>
      </c>
      <c r="GB40" s="31">
        <v>2.31812</v>
      </c>
      <c r="GC40" s="31">
        <v>1.5979</v>
      </c>
      <c r="GD40" s="31">
        <v>2.36328</v>
      </c>
      <c r="GE40" s="31">
        <v>43.0199</v>
      </c>
      <c r="GF40" s="31">
        <v>15.7256</v>
      </c>
      <c r="GG40" s="31">
        <v>18.0</v>
      </c>
      <c r="GH40" s="31">
        <v>507.168</v>
      </c>
      <c r="GI40" s="31">
        <v>473.788</v>
      </c>
      <c r="GJ40" s="31">
        <v>35.2869</v>
      </c>
      <c r="GK40" s="31">
        <v>35.212</v>
      </c>
      <c r="GL40" s="31">
        <v>30.0001</v>
      </c>
      <c r="GM40" s="31">
        <v>35.1574</v>
      </c>
      <c r="GN40" s="31">
        <v>35.084</v>
      </c>
      <c r="GO40" s="31">
        <v>22.456</v>
      </c>
      <c r="GP40" s="31">
        <v>100.0</v>
      </c>
      <c r="GQ40" s="31">
        <v>0.0</v>
      </c>
      <c r="GR40" s="31">
        <v>-999.9</v>
      </c>
      <c r="GS40" s="31">
        <v>460.0</v>
      </c>
      <c r="GT40" s="31">
        <v>0.0</v>
      </c>
      <c r="GU40" s="31">
        <v>102.64</v>
      </c>
      <c r="GV40" s="31">
        <v>99.6945</v>
      </c>
    </row>
    <row r="41" ht="14.25" customHeight="1">
      <c r="A41" s="41" t="s">
        <v>112</v>
      </c>
      <c r="B41" s="41" t="s">
        <v>59</v>
      </c>
      <c r="C41" s="41" t="s">
        <v>87</v>
      </c>
      <c r="D41" s="31">
        <v>23.0</v>
      </c>
      <c r="E41" s="31">
        <v>1.754880905E9</v>
      </c>
      <c r="F41" s="31">
        <v>3387.0</v>
      </c>
      <c r="G41" s="31" t="s">
        <v>523</v>
      </c>
      <c r="H41" s="42">
        <v>0.45491898148148147</v>
      </c>
      <c r="I41" s="31" t="s">
        <v>409</v>
      </c>
      <c r="J41" s="31">
        <v>1.754880905E9</v>
      </c>
      <c r="K41" s="31">
        <v>0.00457480394539745</v>
      </c>
      <c r="L41" s="31">
        <v>4.57480394539745</v>
      </c>
      <c r="M41" s="31">
        <v>3.45701558870631</v>
      </c>
      <c r="N41" s="31">
        <v>453.37899506375</v>
      </c>
      <c r="O41" s="31">
        <v>423.530848563028</v>
      </c>
      <c r="P41" s="31">
        <v>42.7918810272406</v>
      </c>
      <c r="Q41" s="31">
        <v>45.8076196405578</v>
      </c>
      <c r="R41" s="31">
        <v>0.30832764623653</v>
      </c>
      <c r="S41" s="31">
        <v>2.7609552881959</v>
      </c>
      <c r="T41" s="31">
        <v>0.290396288606428</v>
      </c>
      <c r="U41" s="31">
        <v>0.183021779753222</v>
      </c>
      <c r="V41" s="31">
        <v>31.42897083924</v>
      </c>
      <c r="W41" s="31">
        <v>34.4445917016853</v>
      </c>
      <c r="X41" s="31">
        <v>34.8818</v>
      </c>
      <c r="Y41" s="31">
        <v>5.61150480134759</v>
      </c>
      <c r="Z41" s="31">
        <v>70.547698601626</v>
      </c>
      <c r="AA41" s="31">
        <v>4.0962840841404</v>
      </c>
      <c r="AB41" s="31">
        <v>5.80640356147065</v>
      </c>
      <c r="AC41" s="31">
        <v>1.51522071720718</v>
      </c>
      <c r="AD41" s="31">
        <v>-201.748853992027</v>
      </c>
      <c r="AE41" s="31">
        <v>91.8991389123827</v>
      </c>
      <c r="AF41" s="31">
        <v>7.78791950969483</v>
      </c>
      <c r="AG41" s="31">
        <v>-70.6328247307103</v>
      </c>
      <c r="AH41" s="31">
        <v>0.0</v>
      </c>
      <c r="AI41" s="31">
        <v>0.0</v>
      </c>
      <c r="AJ41" s="31">
        <v>1.0</v>
      </c>
      <c r="AK41" s="31">
        <v>0.0</v>
      </c>
      <c r="AL41" s="31">
        <v>46770.0</v>
      </c>
      <c r="AM41" s="31" t="s">
        <v>410</v>
      </c>
      <c r="AN41" s="31">
        <v>8173.37</v>
      </c>
      <c r="AO41" s="31">
        <v>559.295999999999</v>
      </c>
      <c r="AP41" s="31">
        <v>2893.93</v>
      </c>
      <c r="AQ41" s="31">
        <v>0.806734786259515</v>
      </c>
      <c r="AR41" s="31">
        <v>-2.38169762951563</v>
      </c>
      <c r="AS41" s="31" t="s">
        <v>524</v>
      </c>
      <c r="AT41" s="31">
        <v>8161.46</v>
      </c>
      <c r="AU41" s="31">
        <v>656.580576923076</v>
      </c>
      <c r="AV41" s="31">
        <v>1922.35</v>
      </c>
      <c r="AW41" s="31">
        <v>0.658448993719626</v>
      </c>
      <c r="AX41" s="31">
        <v>0.5</v>
      </c>
      <c r="AY41" s="31">
        <v>160.192971004787</v>
      </c>
      <c r="AZ41" s="31">
        <v>3.45701558870631</v>
      </c>
      <c r="BA41" s="31">
        <v>52.7394502795298</v>
      </c>
      <c r="BB41" s="31">
        <v>0.0364479988204192</v>
      </c>
      <c r="BC41" s="31">
        <v>0.50541264598018</v>
      </c>
      <c r="BD41" s="31">
        <v>509.526156092117</v>
      </c>
      <c r="BE41" s="31" t="s">
        <v>525</v>
      </c>
      <c r="BF41" s="31">
        <v>-1717.6</v>
      </c>
      <c r="BG41" s="31">
        <v>-1717.6</v>
      </c>
      <c r="BH41" s="31">
        <v>1.89348973912138</v>
      </c>
      <c r="BI41" s="31">
        <v>0.347743629191863</v>
      </c>
      <c r="BJ41" s="31">
        <v>0.210684957053299</v>
      </c>
      <c r="BK41" s="31">
        <v>0.928627496105747</v>
      </c>
      <c r="BL41" s="31">
        <v>0.41615944940406</v>
      </c>
      <c r="BM41" s="31">
        <v>-0.90968950117134</v>
      </c>
      <c r="BN41" s="31">
        <v>1.90968950117134</v>
      </c>
      <c r="BO41" s="31" t="s">
        <v>413</v>
      </c>
      <c r="BP41" s="31" t="s">
        <v>413</v>
      </c>
      <c r="BQ41" s="31" t="s">
        <v>413</v>
      </c>
      <c r="BR41" s="31" t="s">
        <v>413</v>
      </c>
      <c r="BS41" s="31" t="s">
        <v>413</v>
      </c>
      <c r="BT41" s="31" t="s">
        <v>413</v>
      </c>
      <c r="BU41" s="31" t="s">
        <v>413</v>
      </c>
      <c r="BV41" s="31" t="s">
        <v>413</v>
      </c>
      <c r="BW41" s="31" t="s">
        <v>413</v>
      </c>
      <c r="BX41" s="31" t="s">
        <v>413</v>
      </c>
      <c r="BY41" s="31" t="s">
        <v>413</v>
      </c>
      <c r="BZ41" s="31" t="s">
        <v>413</v>
      </c>
      <c r="CA41" s="31" t="s">
        <v>413</v>
      </c>
      <c r="CB41" s="31" t="s">
        <v>413</v>
      </c>
      <c r="CC41" s="31" t="s">
        <v>413</v>
      </c>
      <c r="CD41" s="31" t="s">
        <v>413</v>
      </c>
      <c r="CE41" s="31" t="s">
        <v>413</v>
      </c>
      <c r="CF41" s="31" t="s">
        <v>413</v>
      </c>
      <c r="CG41" s="31" t="s">
        <v>413</v>
      </c>
      <c r="CH41" s="31" t="s">
        <v>413</v>
      </c>
      <c r="CI41" s="31" t="s">
        <v>413</v>
      </c>
      <c r="CJ41" s="31" t="s">
        <v>413</v>
      </c>
      <c r="CK41" s="31" t="s">
        <v>413</v>
      </c>
      <c r="CL41" s="31" t="s">
        <v>413</v>
      </c>
      <c r="CM41" s="31" t="s">
        <v>413</v>
      </c>
      <c r="CN41" s="31" t="s">
        <v>413</v>
      </c>
      <c r="CO41" s="31" t="s">
        <v>413</v>
      </c>
      <c r="CP41" s="31" t="s">
        <v>413</v>
      </c>
      <c r="CQ41" s="31" t="s">
        <v>413</v>
      </c>
      <c r="CR41" s="31" t="s">
        <v>413</v>
      </c>
      <c r="CS41" s="31" t="s">
        <v>413</v>
      </c>
      <c r="CT41" s="31" t="s">
        <v>413</v>
      </c>
      <c r="CU41" s="31" t="s">
        <v>413</v>
      </c>
      <c r="CV41" s="31" t="s">
        <v>413</v>
      </c>
      <c r="CW41" s="31">
        <v>190.027</v>
      </c>
      <c r="CX41" s="31">
        <v>160.192971004787</v>
      </c>
      <c r="CY41" s="31">
        <v>0.84300110513131</v>
      </c>
      <c r="CZ41" s="31">
        <v>0.165392132903429</v>
      </c>
      <c r="DA41" s="31">
        <v>6.0</v>
      </c>
      <c r="DB41" s="31">
        <v>0.5</v>
      </c>
      <c r="DC41" s="31" t="s">
        <v>414</v>
      </c>
      <c r="DD41" s="31">
        <v>2.0</v>
      </c>
      <c r="DE41" s="31">
        <v>1.754880905E9</v>
      </c>
      <c r="DF41" s="31">
        <v>453.379</v>
      </c>
      <c r="DG41" s="31">
        <v>460.017</v>
      </c>
      <c r="DH41" s="31">
        <v>40.5428</v>
      </c>
      <c r="DI41" s="31">
        <v>35.2751</v>
      </c>
      <c r="DJ41" s="31">
        <v>450.648</v>
      </c>
      <c r="DK41" s="31">
        <v>39.991</v>
      </c>
      <c r="DL41" s="31">
        <v>499.952</v>
      </c>
      <c r="DM41" s="31">
        <v>100.936</v>
      </c>
      <c r="DN41" s="31">
        <v>0.100043</v>
      </c>
      <c r="DO41" s="31">
        <v>35.4992</v>
      </c>
      <c r="DP41" s="31">
        <v>34.8818</v>
      </c>
      <c r="DQ41" s="31">
        <v>999.9</v>
      </c>
      <c r="DR41" s="31">
        <v>0.0</v>
      </c>
      <c r="DS41" s="31">
        <v>0.0</v>
      </c>
      <c r="DT41" s="31">
        <v>8984.38</v>
      </c>
      <c r="DU41" s="31">
        <v>0.0</v>
      </c>
      <c r="DV41" s="31">
        <v>1243.71</v>
      </c>
      <c r="DW41" s="31">
        <v>190.027</v>
      </c>
      <c r="DX41" s="31">
        <v>0.899915</v>
      </c>
      <c r="DY41" s="31">
        <v>0.100085</v>
      </c>
      <c r="DZ41" s="31">
        <v>0.0</v>
      </c>
      <c r="EA41" s="31">
        <v>653.565</v>
      </c>
      <c r="EB41" s="31">
        <v>0.0999973</v>
      </c>
      <c r="EC41" s="31">
        <v>2856.31</v>
      </c>
      <c r="ED41" s="31">
        <v>1684.26</v>
      </c>
      <c r="EE41" s="31">
        <v>40.75</v>
      </c>
      <c r="EF41" s="31">
        <v>44.562</v>
      </c>
      <c r="EG41" s="31">
        <v>42.312</v>
      </c>
      <c r="EH41" s="31">
        <v>44.062</v>
      </c>
      <c r="EI41" s="31">
        <v>43.375</v>
      </c>
      <c r="EJ41" s="31">
        <v>170.92</v>
      </c>
      <c r="EK41" s="31">
        <v>19.01</v>
      </c>
      <c r="EL41" s="31">
        <v>0.0</v>
      </c>
      <c r="EM41" s="31">
        <v>136.799999952316</v>
      </c>
      <c r="EN41" s="31">
        <v>0.0</v>
      </c>
      <c r="EO41" s="31">
        <v>656.580576923076</v>
      </c>
      <c r="EP41" s="31">
        <v>-20.9092306834933</v>
      </c>
      <c r="EQ41" s="31">
        <v>-82.7832480540073</v>
      </c>
      <c r="ER41" s="31">
        <v>2851.44269230769</v>
      </c>
      <c r="ES41" s="31">
        <v>15.0</v>
      </c>
      <c r="ET41" s="31">
        <v>1.7548806405E9</v>
      </c>
      <c r="EU41" s="42">
        <v>0.45185185185185184</v>
      </c>
      <c r="EV41" s="31">
        <v>1.7548806405E9</v>
      </c>
      <c r="EW41" s="31">
        <v>1.7548765351E9</v>
      </c>
      <c r="EX41" s="31">
        <v>8.0</v>
      </c>
      <c r="EY41" s="31">
        <v>0.0</v>
      </c>
      <c r="EZ41" s="31">
        <v>-0.002</v>
      </c>
      <c r="FA41" s="31">
        <v>2.73</v>
      </c>
      <c r="FB41" s="31">
        <v>0.297</v>
      </c>
      <c r="FC41" s="31">
        <v>460.0</v>
      </c>
      <c r="FD41" s="31">
        <v>20.0</v>
      </c>
      <c r="FE41" s="31">
        <v>0.53</v>
      </c>
      <c r="FF41" s="31">
        <v>0.06</v>
      </c>
      <c r="FG41" s="31">
        <v>100.0</v>
      </c>
      <c r="FH41" s="31">
        <v>100.0</v>
      </c>
      <c r="FI41" s="31">
        <v>2.731</v>
      </c>
      <c r="FJ41" s="31">
        <v>0.5518</v>
      </c>
      <c r="FK41" s="31">
        <v>2.83188461089318</v>
      </c>
      <c r="FL41" s="31">
        <v>-2.2595428698806E-4</v>
      </c>
      <c r="FM41" s="43">
        <v>5.20417301097471E-9</v>
      </c>
      <c r="FN41" s="43">
        <v>1.17243702350096E-12</v>
      </c>
      <c r="FO41" s="31">
        <v>0.551873338452037</v>
      </c>
      <c r="FP41" s="31">
        <v>0.0</v>
      </c>
      <c r="FQ41" s="31">
        <v>0.0</v>
      </c>
      <c r="FR41" s="31">
        <v>0.0</v>
      </c>
      <c r="FS41" s="31">
        <v>1.0</v>
      </c>
      <c r="FT41" s="31">
        <v>2266.0</v>
      </c>
      <c r="FU41" s="31">
        <v>1.0</v>
      </c>
      <c r="FV41" s="31">
        <v>26.0</v>
      </c>
      <c r="FW41" s="31">
        <v>4.4</v>
      </c>
      <c r="FX41" s="31">
        <v>72.8</v>
      </c>
      <c r="FY41" s="31">
        <v>1.11938</v>
      </c>
      <c r="FZ41" s="31">
        <v>2.54272</v>
      </c>
      <c r="GA41" s="31">
        <v>1.59668</v>
      </c>
      <c r="GB41" s="31">
        <v>2.31812</v>
      </c>
      <c r="GC41" s="31">
        <v>1.5979</v>
      </c>
      <c r="GD41" s="31">
        <v>2.37427</v>
      </c>
      <c r="GE41" s="31">
        <v>43.182</v>
      </c>
      <c r="GF41" s="31">
        <v>15.6993</v>
      </c>
      <c r="GG41" s="31">
        <v>18.0</v>
      </c>
      <c r="GH41" s="31">
        <v>508.894</v>
      </c>
      <c r="GI41" s="31">
        <v>472.528</v>
      </c>
      <c r="GJ41" s="31">
        <v>35.4237</v>
      </c>
      <c r="GK41" s="31">
        <v>35.3245</v>
      </c>
      <c r="GL41" s="31">
        <v>30.0006</v>
      </c>
      <c r="GM41" s="31">
        <v>35.2752</v>
      </c>
      <c r="GN41" s="31">
        <v>35.2141</v>
      </c>
      <c r="GO41" s="31">
        <v>22.4592</v>
      </c>
      <c r="GP41" s="31">
        <v>100.0</v>
      </c>
      <c r="GQ41" s="31">
        <v>0.0</v>
      </c>
      <c r="GR41" s="31">
        <v>-999.9</v>
      </c>
      <c r="GS41" s="31">
        <v>460.0</v>
      </c>
      <c r="GT41" s="31">
        <v>0.0</v>
      </c>
      <c r="GU41" s="31">
        <v>102.621</v>
      </c>
      <c r="GV41" s="31">
        <v>99.6806</v>
      </c>
    </row>
    <row r="42" ht="14.25" customHeight="1">
      <c r="A42" s="41" t="s">
        <v>112</v>
      </c>
      <c r="B42" s="41" t="s">
        <v>61</v>
      </c>
      <c r="C42" s="41" t="s">
        <v>86</v>
      </c>
      <c r="D42" s="31">
        <v>11.0</v>
      </c>
      <c r="E42" s="31">
        <v>1.7548791371E9</v>
      </c>
      <c r="F42" s="31">
        <v>1619.09999990463</v>
      </c>
      <c r="G42" s="31" t="s">
        <v>526</v>
      </c>
      <c r="H42" s="42">
        <v>0.4344560185185185</v>
      </c>
      <c r="I42" s="31" t="s">
        <v>409</v>
      </c>
      <c r="J42" s="31">
        <v>1.7548791371E9</v>
      </c>
      <c r="K42" s="31">
        <v>0.00544730556498964</v>
      </c>
      <c r="L42" s="31">
        <v>5.44730556498964</v>
      </c>
      <c r="M42" s="31">
        <v>1.49883129562241</v>
      </c>
      <c r="N42" s="31">
        <v>455.18099786329</v>
      </c>
      <c r="O42" s="31">
        <v>442.435864446863</v>
      </c>
      <c r="P42" s="31">
        <v>44.701394566269</v>
      </c>
      <c r="Q42" s="31">
        <v>45.9890958658907</v>
      </c>
      <c r="R42" s="31">
        <v>0.54087821819453</v>
      </c>
      <c r="S42" s="31">
        <v>2.7617612686022</v>
      </c>
      <c r="T42" s="31">
        <v>0.488187294164955</v>
      </c>
      <c r="U42" s="31">
        <v>0.309422258003584</v>
      </c>
      <c r="V42" s="31">
        <v>31.4287223135675</v>
      </c>
      <c r="W42" s="31">
        <v>34.0022882346845</v>
      </c>
      <c r="X42" s="31">
        <v>33.9764</v>
      </c>
      <c r="Y42" s="31">
        <v>5.33598048093898</v>
      </c>
      <c r="Z42" s="31">
        <v>74.2368401547652</v>
      </c>
      <c r="AA42" s="31">
        <v>4.26216080442546</v>
      </c>
      <c r="AB42" s="31">
        <v>5.74130148257916</v>
      </c>
      <c r="AC42" s="31">
        <v>1.07381967651352</v>
      </c>
      <c r="AD42" s="31">
        <v>-240.226175416043</v>
      </c>
      <c r="AE42" s="31">
        <v>196.329088134086</v>
      </c>
      <c r="AF42" s="31">
        <v>16.5432911965267</v>
      </c>
      <c r="AG42" s="31">
        <v>4.07492622813805</v>
      </c>
      <c r="AH42" s="31">
        <v>0.0</v>
      </c>
      <c r="AI42" s="31">
        <v>0.0</v>
      </c>
      <c r="AJ42" s="31">
        <v>1.0</v>
      </c>
      <c r="AK42" s="31">
        <v>0.0</v>
      </c>
      <c r="AL42" s="31">
        <v>46823.0</v>
      </c>
      <c r="AM42" s="31" t="s">
        <v>410</v>
      </c>
      <c r="AN42" s="31">
        <v>8173.37</v>
      </c>
      <c r="AO42" s="31">
        <v>559.295999999999</v>
      </c>
      <c r="AP42" s="31">
        <v>2893.93</v>
      </c>
      <c r="AQ42" s="31">
        <v>0.806734786259515</v>
      </c>
      <c r="AR42" s="31">
        <v>-2.38169762951563</v>
      </c>
      <c r="AS42" s="31" t="s">
        <v>527</v>
      </c>
      <c r="AT42" s="31">
        <v>8178.71</v>
      </c>
      <c r="AU42" s="31">
        <v>611.159615384615</v>
      </c>
      <c r="AV42" s="31">
        <v>1926.14</v>
      </c>
      <c r="AW42" s="31">
        <v>0.68270239163061</v>
      </c>
      <c r="AX42" s="31">
        <v>0.5</v>
      </c>
      <c r="AY42" s="31">
        <v>160.199657986304</v>
      </c>
      <c r="AZ42" s="31">
        <v>1.49883129562241</v>
      </c>
      <c r="BA42" s="31">
        <v>54.6843448228279</v>
      </c>
      <c r="BB42" s="31">
        <v>0.0242230787126262</v>
      </c>
      <c r="BC42" s="31">
        <v>0.502450496848619</v>
      </c>
      <c r="BD42" s="31">
        <v>509.792031655777</v>
      </c>
      <c r="BE42" s="31" t="s">
        <v>528</v>
      </c>
      <c r="BF42" s="31">
        <v>539.67</v>
      </c>
      <c r="BG42" s="31">
        <v>539.67</v>
      </c>
      <c r="BH42" s="31">
        <v>0.719817874090149</v>
      </c>
      <c r="BI42" s="31">
        <v>0.948437675979562</v>
      </c>
      <c r="BJ42" s="31">
        <v>0.411080339469727</v>
      </c>
      <c r="BK42" s="31">
        <v>0.962055936606799</v>
      </c>
      <c r="BL42" s="31">
        <v>0.414536068608612</v>
      </c>
      <c r="BM42" s="31">
        <v>0.837495390257056</v>
      </c>
      <c r="BN42" s="31">
        <v>0.162504609742944</v>
      </c>
      <c r="BO42" s="31" t="s">
        <v>413</v>
      </c>
      <c r="BP42" s="31" t="s">
        <v>413</v>
      </c>
      <c r="BQ42" s="31" t="s">
        <v>413</v>
      </c>
      <c r="BR42" s="31" t="s">
        <v>413</v>
      </c>
      <c r="BS42" s="31" t="s">
        <v>413</v>
      </c>
      <c r="BT42" s="31" t="s">
        <v>413</v>
      </c>
      <c r="BU42" s="31" t="s">
        <v>413</v>
      </c>
      <c r="BV42" s="31" t="s">
        <v>413</v>
      </c>
      <c r="BW42" s="31" t="s">
        <v>413</v>
      </c>
      <c r="BX42" s="31" t="s">
        <v>413</v>
      </c>
      <c r="BY42" s="31" t="s">
        <v>413</v>
      </c>
      <c r="BZ42" s="31" t="s">
        <v>413</v>
      </c>
      <c r="CA42" s="31" t="s">
        <v>413</v>
      </c>
      <c r="CB42" s="31" t="s">
        <v>413</v>
      </c>
      <c r="CC42" s="31" t="s">
        <v>413</v>
      </c>
      <c r="CD42" s="31" t="s">
        <v>413</v>
      </c>
      <c r="CE42" s="31" t="s">
        <v>413</v>
      </c>
      <c r="CF42" s="31" t="s">
        <v>413</v>
      </c>
      <c r="CG42" s="31" t="s">
        <v>413</v>
      </c>
      <c r="CH42" s="31" t="s">
        <v>413</v>
      </c>
      <c r="CI42" s="31" t="s">
        <v>413</v>
      </c>
      <c r="CJ42" s="31" t="s">
        <v>413</v>
      </c>
      <c r="CK42" s="31" t="s">
        <v>413</v>
      </c>
      <c r="CL42" s="31" t="s">
        <v>413</v>
      </c>
      <c r="CM42" s="31" t="s">
        <v>413</v>
      </c>
      <c r="CN42" s="31" t="s">
        <v>413</v>
      </c>
      <c r="CO42" s="31" t="s">
        <v>413</v>
      </c>
      <c r="CP42" s="31" t="s">
        <v>413</v>
      </c>
      <c r="CQ42" s="31" t="s">
        <v>413</v>
      </c>
      <c r="CR42" s="31" t="s">
        <v>413</v>
      </c>
      <c r="CS42" s="31" t="s">
        <v>413</v>
      </c>
      <c r="CT42" s="31" t="s">
        <v>413</v>
      </c>
      <c r="CU42" s="31" t="s">
        <v>413</v>
      </c>
      <c r="CV42" s="31" t="s">
        <v>413</v>
      </c>
      <c r="CW42" s="31">
        <v>190.036</v>
      </c>
      <c r="CX42" s="31">
        <v>160.199657986304</v>
      </c>
      <c r="CY42" s="31">
        <v>0.842996369036942</v>
      </c>
      <c r="CZ42" s="31">
        <v>0.165382992241299</v>
      </c>
      <c r="DA42" s="31">
        <v>6.0</v>
      </c>
      <c r="DB42" s="31">
        <v>0.5</v>
      </c>
      <c r="DC42" s="31" t="s">
        <v>414</v>
      </c>
      <c r="DD42" s="31">
        <v>2.0</v>
      </c>
      <c r="DE42" s="31">
        <v>1.7548791371E9</v>
      </c>
      <c r="DF42" s="31">
        <v>455.181</v>
      </c>
      <c r="DG42" s="31">
        <v>459.955</v>
      </c>
      <c r="DH42" s="31">
        <v>42.1851</v>
      </c>
      <c r="DI42" s="31">
        <v>35.9241</v>
      </c>
      <c r="DJ42" s="31">
        <v>452.558</v>
      </c>
      <c r="DK42" s="31">
        <v>41.6333</v>
      </c>
      <c r="DL42" s="31">
        <v>500.001</v>
      </c>
      <c r="DM42" s="31">
        <v>100.935</v>
      </c>
      <c r="DN42" s="31">
        <v>0.0997446</v>
      </c>
      <c r="DO42" s="31">
        <v>35.295</v>
      </c>
      <c r="DP42" s="31">
        <v>33.9764</v>
      </c>
      <c r="DQ42" s="31">
        <v>999.9</v>
      </c>
      <c r="DR42" s="31">
        <v>0.0</v>
      </c>
      <c r="DS42" s="31">
        <v>0.0</v>
      </c>
      <c r="DT42" s="31">
        <v>8988.75</v>
      </c>
      <c r="DU42" s="31">
        <v>0.0</v>
      </c>
      <c r="DV42" s="31">
        <v>609.058</v>
      </c>
      <c r="DW42" s="31">
        <v>190.036</v>
      </c>
      <c r="DX42" s="31">
        <v>0.90005</v>
      </c>
      <c r="DY42" s="31">
        <v>0.0999504</v>
      </c>
      <c r="DZ42" s="31">
        <v>0.0</v>
      </c>
      <c r="EA42" s="31">
        <v>610.68</v>
      </c>
      <c r="EB42" s="31">
        <v>0.0999973</v>
      </c>
      <c r="EC42" s="31">
        <v>2631.65</v>
      </c>
      <c r="ED42" s="31">
        <v>1684.41</v>
      </c>
      <c r="EE42" s="31">
        <v>40.437</v>
      </c>
      <c r="EF42" s="31">
        <v>43.937</v>
      </c>
      <c r="EG42" s="31">
        <v>42.0</v>
      </c>
      <c r="EH42" s="31">
        <v>43.5</v>
      </c>
      <c r="EI42" s="31">
        <v>43.062</v>
      </c>
      <c r="EJ42" s="31">
        <v>170.95</v>
      </c>
      <c r="EK42" s="31">
        <v>18.98</v>
      </c>
      <c r="EL42" s="31">
        <v>0.0</v>
      </c>
      <c r="EM42" s="31">
        <v>149.0</v>
      </c>
      <c r="EN42" s="31">
        <v>0.0</v>
      </c>
      <c r="EO42" s="31">
        <v>611.159615384615</v>
      </c>
      <c r="EP42" s="31">
        <v>-18.6567522275628</v>
      </c>
      <c r="EQ42" s="31">
        <v>-321.278631818721</v>
      </c>
      <c r="ER42" s="31">
        <v>2672.53846153846</v>
      </c>
      <c r="ES42" s="31">
        <v>15.0</v>
      </c>
      <c r="ET42" s="31">
        <v>1.7548790026E9</v>
      </c>
      <c r="EU42" s="42">
        <v>0.43289351851851854</v>
      </c>
      <c r="EV42" s="31">
        <v>1.7548790026E9</v>
      </c>
      <c r="EW42" s="31">
        <v>1.7548765351E9</v>
      </c>
      <c r="EX42" s="31">
        <v>5.0</v>
      </c>
      <c r="EY42" s="31">
        <v>0.143</v>
      </c>
      <c r="EZ42" s="31">
        <v>-0.002</v>
      </c>
      <c r="FA42" s="31">
        <v>2.622</v>
      </c>
      <c r="FB42" s="31">
        <v>0.297</v>
      </c>
      <c r="FC42" s="31">
        <v>460.0</v>
      </c>
      <c r="FD42" s="31">
        <v>20.0</v>
      </c>
      <c r="FE42" s="31">
        <v>0.62</v>
      </c>
      <c r="FF42" s="31">
        <v>0.06</v>
      </c>
      <c r="FG42" s="31">
        <v>100.0</v>
      </c>
      <c r="FH42" s="31">
        <v>100.0</v>
      </c>
      <c r="FI42" s="31">
        <v>2.623</v>
      </c>
      <c r="FJ42" s="31">
        <v>0.5518</v>
      </c>
      <c r="FK42" s="31">
        <v>2.72420017421135</v>
      </c>
      <c r="FL42" s="31">
        <v>-2.2595428698806E-4</v>
      </c>
      <c r="FM42" s="43">
        <v>5.20417301097471E-9</v>
      </c>
      <c r="FN42" s="43">
        <v>1.17243702350096E-12</v>
      </c>
      <c r="FO42" s="31">
        <v>0.551873338452037</v>
      </c>
      <c r="FP42" s="31">
        <v>0.0</v>
      </c>
      <c r="FQ42" s="31">
        <v>0.0</v>
      </c>
      <c r="FR42" s="31">
        <v>0.0</v>
      </c>
      <c r="FS42" s="31">
        <v>1.0</v>
      </c>
      <c r="FT42" s="31">
        <v>2266.0</v>
      </c>
      <c r="FU42" s="31">
        <v>1.0</v>
      </c>
      <c r="FV42" s="31">
        <v>26.0</v>
      </c>
      <c r="FW42" s="31">
        <v>2.2</v>
      </c>
      <c r="FX42" s="31">
        <v>43.4</v>
      </c>
      <c r="FY42" s="31">
        <v>1.10962</v>
      </c>
      <c r="FZ42" s="31">
        <v>2.52319</v>
      </c>
      <c r="GA42" s="31">
        <v>1.59546</v>
      </c>
      <c r="GB42" s="31">
        <v>2.323</v>
      </c>
      <c r="GC42" s="31">
        <v>1.5979</v>
      </c>
      <c r="GD42" s="31">
        <v>2.33276</v>
      </c>
      <c r="GE42" s="31">
        <v>42.0857</v>
      </c>
      <c r="GF42" s="31">
        <v>15.9533</v>
      </c>
      <c r="GG42" s="31">
        <v>18.0</v>
      </c>
      <c r="GH42" s="31">
        <v>505.082</v>
      </c>
      <c r="GI42" s="31">
        <v>486.877</v>
      </c>
      <c r="GJ42" s="31">
        <v>35.2499</v>
      </c>
      <c r="GK42" s="31">
        <v>35.5465</v>
      </c>
      <c r="GL42" s="31">
        <v>29.9999</v>
      </c>
      <c r="GM42" s="31">
        <v>35.5392</v>
      </c>
      <c r="GN42" s="31">
        <v>35.4691</v>
      </c>
      <c r="GO42" s="31">
        <v>22.2714</v>
      </c>
      <c r="GP42" s="31">
        <v>100.0</v>
      </c>
      <c r="GQ42" s="31">
        <v>0.0</v>
      </c>
      <c r="GR42" s="31">
        <v>-999.9</v>
      </c>
      <c r="GS42" s="31">
        <v>460.0</v>
      </c>
      <c r="GT42" s="31">
        <v>0.0</v>
      </c>
      <c r="GU42" s="31">
        <v>102.664</v>
      </c>
      <c r="GV42" s="31">
        <v>99.6098</v>
      </c>
    </row>
    <row r="43" ht="14.25" customHeight="1">
      <c r="A43" s="41" t="s">
        <v>112</v>
      </c>
      <c r="B43" s="41" t="s">
        <v>61</v>
      </c>
      <c r="C43" s="41" t="s">
        <v>87</v>
      </c>
      <c r="D43" s="31">
        <v>12.0</v>
      </c>
      <c r="E43" s="31">
        <v>1.7548792921E9</v>
      </c>
      <c r="F43" s="31">
        <v>1774.09999990463</v>
      </c>
      <c r="G43" s="31" t="s">
        <v>529</v>
      </c>
      <c r="H43" s="42">
        <v>0.43625</v>
      </c>
      <c r="I43" s="31" t="s">
        <v>409</v>
      </c>
      <c r="J43" s="31">
        <v>1.7548792921E9</v>
      </c>
      <c r="K43" s="31">
        <v>0.00207325115308526</v>
      </c>
      <c r="L43" s="31">
        <v>2.07325115308526</v>
      </c>
      <c r="M43" s="31">
        <v>1.9381079145797</v>
      </c>
      <c r="N43" s="31">
        <v>456.531997263</v>
      </c>
      <c r="O43" s="31">
        <v>422.097789005678</v>
      </c>
      <c r="P43" s="31">
        <v>42.6527473569607</v>
      </c>
      <c r="Q43" s="31">
        <v>46.1323049938209</v>
      </c>
      <c r="R43" s="31">
        <v>0.135450135245373</v>
      </c>
      <c r="S43" s="31">
        <v>2.76965148443909</v>
      </c>
      <c r="T43" s="31">
        <v>0.131874784051791</v>
      </c>
      <c r="U43" s="31">
        <v>0.0827351104473917</v>
      </c>
      <c r="V43" s="31">
        <v>31.4254474405911</v>
      </c>
      <c r="W43" s="31">
        <v>34.8186421473397</v>
      </c>
      <c r="X43" s="31">
        <v>34.1886</v>
      </c>
      <c r="Y43" s="31">
        <v>5.39947707156606</v>
      </c>
      <c r="Z43" s="31">
        <v>68.043745993215</v>
      </c>
      <c r="AA43" s="31">
        <v>3.88381521252948</v>
      </c>
      <c r="AB43" s="31">
        <v>5.70782098463061</v>
      </c>
      <c r="AC43" s="31">
        <v>1.51566185903658</v>
      </c>
      <c r="AD43" s="31">
        <v>-91.4303758510603</v>
      </c>
      <c r="AE43" s="31">
        <v>149.407041299577</v>
      </c>
      <c r="AF43" s="31">
        <v>12.5601199071087</v>
      </c>
      <c r="AG43" s="31">
        <v>101.962232796217</v>
      </c>
      <c r="AH43" s="31">
        <v>0.0</v>
      </c>
      <c r="AI43" s="31">
        <v>0.0</v>
      </c>
      <c r="AJ43" s="31">
        <v>1.0</v>
      </c>
      <c r="AK43" s="31">
        <v>0.0</v>
      </c>
      <c r="AL43" s="31">
        <v>47054.0</v>
      </c>
      <c r="AM43" s="31" t="s">
        <v>410</v>
      </c>
      <c r="AN43" s="31">
        <v>8173.37</v>
      </c>
      <c r="AO43" s="31">
        <v>559.295999999999</v>
      </c>
      <c r="AP43" s="31">
        <v>2893.93</v>
      </c>
      <c r="AQ43" s="31">
        <v>0.806734786259515</v>
      </c>
      <c r="AR43" s="31">
        <v>-2.38169762951563</v>
      </c>
      <c r="AS43" s="31" t="s">
        <v>530</v>
      </c>
      <c r="AT43" s="31">
        <v>8152.46</v>
      </c>
      <c r="AU43" s="31">
        <v>377.0582</v>
      </c>
      <c r="AV43" s="31">
        <v>1070.61</v>
      </c>
      <c r="AW43" s="31">
        <v>0.64780994012759</v>
      </c>
      <c r="AX43" s="31">
        <v>0.5</v>
      </c>
      <c r="AY43" s="31">
        <v>160.185086964036</v>
      </c>
      <c r="AZ43" s="31">
        <v>1.9381079145797</v>
      </c>
      <c r="BA43" s="31">
        <v>51.8847457977528</v>
      </c>
      <c r="BB43" s="31">
        <v>0.0269675887185751</v>
      </c>
      <c r="BC43" s="31">
        <v>1.70306647612108</v>
      </c>
      <c r="BD43" s="31">
        <v>420.794291403197</v>
      </c>
      <c r="BE43" s="31" t="s">
        <v>531</v>
      </c>
      <c r="BF43" s="31">
        <v>-587.93</v>
      </c>
      <c r="BG43" s="31">
        <v>-587.93</v>
      </c>
      <c r="BH43" s="31">
        <v>1.54915422049112</v>
      </c>
      <c r="BI43" s="31">
        <v>0.418170077296899</v>
      </c>
      <c r="BJ43" s="31">
        <v>0.523662640083174</v>
      </c>
      <c r="BK43" s="31">
        <v>1.3564107378245</v>
      </c>
      <c r="BL43" s="31">
        <v>0.780987512389522</v>
      </c>
      <c r="BM43" s="31">
        <v>-0.652033912921576</v>
      </c>
      <c r="BN43" s="31">
        <v>1.65203391292157</v>
      </c>
      <c r="BO43" s="31" t="s">
        <v>413</v>
      </c>
      <c r="BP43" s="31" t="s">
        <v>413</v>
      </c>
      <c r="BQ43" s="31" t="s">
        <v>413</v>
      </c>
      <c r="BR43" s="31" t="s">
        <v>413</v>
      </c>
      <c r="BS43" s="31" t="s">
        <v>413</v>
      </c>
      <c r="BT43" s="31" t="s">
        <v>413</v>
      </c>
      <c r="BU43" s="31" t="s">
        <v>413</v>
      </c>
      <c r="BV43" s="31" t="s">
        <v>413</v>
      </c>
      <c r="BW43" s="31" t="s">
        <v>413</v>
      </c>
      <c r="BX43" s="31" t="s">
        <v>413</v>
      </c>
      <c r="BY43" s="31" t="s">
        <v>413</v>
      </c>
      <c r="BZ43" s="31" t="s">
        <v>413</v>
      </c>
      <c r="CA43" s="31" t="s">
        <v>413</v>
      </c>
      <c r="CB43" s="31" t="s">
        <v>413</v>
      </c>
      <c r="CC43" s="31" t="s">
        <v>413</v>
      </c>
      <c r="CD43" s="31" t="s">
        <v>413</v>
      </c>
      <c r="CE43" s="31" t="s">
        <v>413</v>
      </c>
      <c r="CF43" s="31" t="s">
        <v>413</v>
      </c>
      <c r="CG43" s="31" t="s">
        <v>413</v>
      </c>
      <c r="CH43" s="31" t="s">
        <v>413</v>
      </c>
      <c r="CI43" s="31" t="s">
        <v>413</v>
      </c>
      <c r="CJ43" s="31" t="s">
        <v>413</v>
      </c>
      <c r="CK43" s="31" t="s">
        <v>413</v>
      </c>
      <c r="CL43" s="31" t="s">
        <v>413</v>
      </c>
      <c r="CM43" s="31" t="s">
        <v>413</v>
      </c>
      <c r="CN43" s="31" t="s">
        <v>413</v>
      </c>
      <c r="CO43" s="31" t="s">
        <v>413</v>
      </c>
      <c r="CP43" s="31" t="s">
        <v>413</v>
      </c>
      <c r="CQ43" s="31" t="s">
        <v>413</v>
      </c>
      <c r="CR43" s="31" t="s">
        <v>413</v>
      </c>
      <c r="CS43" s="31" t="s">
        <v>413</v>
      </c>
      <c r="CT43" s="31" t="s">
        <v>413</v>
      </c>
      <c r="CU43" s="31" t="s">
        <v>413</v>
      </c>
      <c r="CV43" s="31" t="s">
        <v>413</v>
      </c>
      <c r="CW43" s="31">
        <v>190.019</v>
      </c>
      <c r="CX43" s="31">
        <v>160.185086964036</v>
      </c>
      <c r="CY43" s="31">
        <v>0.842995105563321</v>
      </c>
      <c r="CZ43" s="31">
        <v>0.165380553737211</v>
      </c>
      <c r="DA43" s="31">
        <v>6.0</v>
      </c>
      <c r="DB43" s="31">
        <v>0.5</v>
      </c>
      <c r="DC43" s="31" t="s">
        <v>414</v>
      </c>
      <c r="DD43" s="31">
        <v>2.0</v>
      </c>
      <c r="DE43" s="31">
        <v>1.7548792921E9</v>
      </c>
      <c r="DF43" s="31">
        <v>456.532</v>
      </c>
      <c r="DG43" s="31">
        <v>459.994</v>
      </c>
      <c r="DH43" s="31">
        <v>38.4348</v>
      </c>
      <c r="DI43" s="31">
        <v>36.0422</v>
      </c>
      <c r="DJ43" s="31">
        <v>453.909</v>
      </c>
      <c r="DK43" s="31">
        <v>37.883</v>
      </c>
      <c r="DL43" s="31">
        <v>499.933</v>
      </c>
      <c r="DM43" s="31">
        <v>100.95</v>
      </c>
      <c r="DN43" s="31">
        <v>0.0994451</v>
      </c>
      <c r="DO43" s="31">
        <v>35.1892</v>
      </c>
      <c r="DP43" s="31">
        <v>34.1886</v>
      </c>
      <c r="DQ43" s="31">
        <v>999.9</v>
      </c>
      <c r="DR43" s="31">
        <v>0.0</v>
      </c>
      <c r="DS43" s="31">
        <v>0.0</v>
      </c>
      <c r="DT43" s="31">
        <v>9029.38</v>
      </c>
      <c r="DU43" s="31">
        <v>0.0</v>
      </c>
      <c r="DV43" s="31">
        <v>577.315</v>
      </c>
      <c r="DW43" s="31">
        <v>190.019</v>
      </c>
      <c r="DX43" s="31">
        <v>0.900092</v>
      </c>
      <c r="DY43" s="31">
        <v>0.0999081</v>
      </c>
      <c r="DZ43" s="31">
        <v>0.0</v>
      </c>
      <c r="EA43" s="31">
        <v>380.725</v>
      </c>
      <c r="EB43" s="31">
        <v>0.0999973</v>
      </c>
      <c r="EC43" s="31">
        <v>1902.34</v>
      </c>
      <c r="ED43" s="31">
        <v>1684.28</v>
      </c>
      <c r="EE43" s="31">
        <v>40.25</v>
      </c>
      <c r="EF43" s="31">
        <v>43.625</v>
      </c>
      <c r="EG43" s="31">
        <v>41.812</v>
      </c>
      <c r="EH43" s="31">
        <v>43.312</v>
      </c>
      <c r="EI43" s="31">
        <v>42.875</v>
      </c>
      <c r="EJ43" s="31">
        <v>170.94</v>
      </c>
      <c r="EK43" s="31">
        <v>18.97</v>
      </c>
      <c r="EL43" s="31">
        <v>0.0</v>
      </c>
      <c r="EM43" s="31">
        <v>152.599999904632</v>
      </c>
      <c r="EN43" s="31">
        <v>0.0</v>
      </c>
      <c r="EO43" s="31">
        <v>377.0582</v>
      </c>
      <c r="EP43" s="31">
        <v>-10.7203845687112</v>
      </c>
      <c r="EQ43" s="31">
        <v>319.326923945156</v>
      </c>
      <c r="ER43" s="31">
        <v>1864.07279999999</v>
      </c>
      <c r="ES43" s="31">
        <v>15.0</v>
      </c>
      <c r="ET43" s="31">
        <v>1.7548790026E9</v>
      </c>
      <c r="EU43" s="42">
        <v>0.43289351851851854</v>
      </c>
      <c r="EV43" s="31">
        <v>1.7548790026E9</v>
      </c>
      <c r="EW43" s="31">
        <v>1.7548765351E9</v>
      </c>
      <c r="EX43" s="31">
        <v>5.0</v>
      </c>
      <c r="EY43" s="31">
        <v>0.143</v>
      </c>
      <c r="EZ43" s="31">
        <v>-0.002</v>
      </c>
      <c r="FA43" s="31">
        <v>2.622</v>
      </c>
      <c r="FB43" s="31">
        <v>0.297</v>
      </c>
      <c r="FC43" s="31">
        <v>460.0</v>
      </c>
      <c r="FD43" s="31">
        <v>20.0</v>
      </c>
      <c r="FE43" s="31">
        <v>0.62</v>
      </c>
      <c r="FF43" s="31">
        <v>0.06</v>
      </c>
      <c r="FG43" s="31">
        <v>100.0</v>
      </c>
      <c r="FH43" s="31">
        <v>100.0</v>
      </c>
      <c r="FI43" s="31">
        <v>2.623</v>
      </c>
      <c r="FJ43" s="31">
        <v>0.5518</v>
      </c>
      <c r="FK43" s="31">
        <v>2.72420017421135</v>
      </c>
      <c r="FL43" s="31">
        <v>-2.2595428698806E-4</v>
      </c>
      <c r="FM43" s="43">
        <v>5.20417301097471E-9</v>
      </c>
      <c r="FN43" s="43">
        <v>1.17243702350096E-12</v>
      </c>
      <c r="FO43" s="31">
        <v>0.551873338452037</v>
      </c>
      <c r="FP43" s="31">
        <v>0.0</v>
      </c>
      <c r="FQ43" s="31">
        <v>0.0</v>
      </c>
      <c r="FR43" s="31">
        <v>0.0</v>
      </c>
      <c r="FS43" s="31">
        <v>1.0</v>
      </c>
      <c r="FT43" s="31">
        <v>2266.0</v>
      </c>
      <c r="FU43" s="31">
        <v>1.0</v>
      </c>
      <c r="FV43" s="31">
        <v>26.0</v>
      </c>
      <c r="FW43" s="31">
        <v>4.8</v>
      </c>
      <c r="FX43" s="31">
        <v>46.0</v>
      </c>
      <c r="FY43" s="31">
        <v>1.11206</v>
      </c>
      <c r="FZ43" s="31">
        <v>2.53174</v>
      </c>
      <c r="GA43" s="31">
        <v>1.59668</v>
      </c>
      <c r="GB43" s="31">
        <v>2.32178</v>
      </c>
      <c r="GC43" s="31">
        <v>1.5979</v>
      </c>
      <c r="GD43" s="31">
        <v>2.30713</v>
      </c>
      <c r="GE43" s="31">
        <v>42.271</v>
      </c>
      <c r="GF43" s="31">
        <v>15.9358</v>
      </c>
      <c r="GG43" s="31">
        <v>18.0</v>
      </c>
      <c r="GH43" s="31">
        <v>505.321</v>
      </c>
      <c r="GI43" s="31">
        <v>486.262</v>
      </c>
      <c r="GJ43" s="31">
        <v>35.2227</v>
      </c>
      <c r="GK43" s="31">
        <v>35.383</v>
      </c>
      <c r="GL43" s="31">
        <v>29.9995</v>
      </c>
      <c r="GM43" s="31">
        <v>35.4086</v>
      </c>
      <c r="GN43" s="31">
        <v>35.3471</v>
      </c>
      <c r="GO43" s="31">
        <v>22.3061</v>
      </c>
      <c r="GP43" s="31">
        <v>100.0</v>
      </c>
      <c r="GQ43" s="31">
        <v>0.0</v>
      </c>
      <c r="GR43" s="31">
        <v>-999.9</v>
      </c>
      <c r="GS43" s="31">
        <v>460.0</v>
      </c>
      <c r="GT43" s="31">
        <v>0.0</v>
      </c>
      <c r="GU43" s="31">
        <v>102.682</v>
      </c>
      <c r="GV43" s="31">
        <v>99.6462</v>
      </c>
    </row>
    <row r="44" ht="14.25" customHeight="1">
      <c r="A44" s="41" t="s">
        <v>112</v>
      </c>
      <c r="B44" s="41" t="s">
        <v>62</v>
      </c>
      <c r="C44" s="41" t="s">
        <v>86</v>
      </c>
      <c r="D44" s="31">
        <v>1.0</v>
      </c>
      <c r="E44" s="31">
        <v>1.754877518E9</v>
      </c>
      <c r="F44" s="31">
        <v>0.0</v>
      </c>
      <c r="G44" s="31" t="s">
        <v>532</v>
      </c>
      <c r="H44" s="42">
        <v>0.4157175925925926</v>
      </c>
      <c r="I44" s="31" t="s">
        <v>409</v>
      </c>
      <c r="J44" s="31">
        <v>1.754877518E9</v>
      </c>
      <c r="K44" s="31">
        <v>0.00348214148808366</v>
      </c>
      <c r="L44" s="31">
        <v>3.48214148808366</v>
      </c>
      <c r="M44" s="31">
        <v>4.83510746641385</v>
      </c>
      <c r="N44" s="31">
        <v>452.854993248202</v>
      </c>
      <c r="O44" s="31">
        <v>412.521476482567</v>
      </c>
      <c r="P44" s="31">
        <v>41.6566484696721</v>
      </c>
      <c r="Q44" s="31">
        <v>45.7295494584347</v>
      </c>
      <c r="R44" s="31">
        <v>0.262910104222007</v>
      </c>
      <c r="S44" s="31">
        <v>2.76577518067537</v>
      </c>
      <c r="T44" s="31">
        <v>0.249773007904224</v>
      </c>
      <c r="U44" s="31">
        <v>0.157233725918184</v>
      </c>
      <c r="V44" s="31">
        <v>31.4246787242937</v>
      </c>
      <c r="W44" s="31">
        <v>29.8138515851317</v>
      </c>
      <c r="X44" s="31">
        <v>29.87</v>
      </c>
      <c r="Y44" s="31">
        <v>4.2287399203826</v>
      </c>
      <c r="Z44" s="31">
        <v>65.2019561011062</v>
      </c>
      <c r="AA44" s="31">
        <v>2.87043292105919</v>
      </c>
      <c r="AB44" s="31">
        <v>4.40237240215328</v>
      </c>
      <c r="AC44" s="31">
        <v>1.3583069993234</v>
      </c>
      <c r="AD44" s="31">
        <v>-153.562439624489</v>
      </c>
      <c r="AE44" s="31">
        <v>104.629414480018</v>
      </c>
      <c r="AF44" s="31">
        <v>8.42996733257608</v>
      </c>
      <c r="AG44" s="31">
        <v>-9.07837908760163</v>
      </c>
      <c r="AH44" s="31">
        <v>1.0</v>
      </c>
      <c r="AI44" s="31">
        <v>0.0</v>
      </c>
      <c r="AJ44" s="31">
        <v>1.0</v>
      </c>
      <c r="AK44" s="31">
        <v>0.0</v>
      </c>
      <c r="AL44" s="31">
        <v>47662.0</v>
      </c>
      <c r="AM44" s="31" t="s">
        <v>410</v>
      </c>
      <c r="AN44" s="31">
        <v>8173.37</v>
      </c>
      <c r="AO44" s="31">
        <v>559.295999999999</v>
      </c>
      <c r="AP44" s="31">
        <v>2893.93</v>
      </c>
      <c r="AQ44" s="31">
        <v>0.806734786259515</v>
      </c>
      <c r="AR44" s="31">
        <v>-2.38169762951563</v>
      </c>
      <c r="AS44" s="31" t="s">
        <v>533</v>
      </c>
      <c r="AT44" s="31">
        <v>8200.19</v>
      </c>
      <c r="AU44" s="31">
        <v>666.394615384615</v>
      </c>
      <c r="AV44" s="31">
        <v>1969.66</v>
      </c>
      <c r="AW44" s="31">
        <v>0.661670229692121</v>
      </c>
      <c r="AX44" s="31">
        <v>0.5</v>
      </c>
      <c r="AY44" s="31">
        <v>160.175600997043</v>
      </c>
      <c r="AZ44" s="31">
        <v>4.83510746641385</v>
      </c>
      <c r="BA44" s="31">
        <v>52.9917133513936</v>
      </c>
      <c r="BB44" s="31">
        <v>0.0450555830663791</v>
      </c>
      <c r="BC44" s="31">
        <v>0.46925357675944</v>
      </c>
      <c r="BD44" s="31">
        <v>512.790800841837</v>
      </c>
      <c r="BE44" s="31" t="s">
        <v>534</v>
      </c>
      <c r="BF44" s="31">
        <v>518.13</v>
      </c>
      <c r="BG44" s="31">
        <v>518.13</v>
      </c>
      <c r="BH44" s="31">
        <v>0.73694444726501</v>
      </c>
      <c r="BI44" s="31">
        <v>0.897856320307113</v>
      </c>
      <c r="BJ44" s="31">
        <v>0.38903527232932</v>
      </c>
      <c r="BK44" s="31">
        <v>0.924063138746724</v>
      </c>
      <c r="BL44" s="31">
        <v>0.395895031084101</v>
      </c>
      <c r="BM44" s="31">
        <v>0.698094319042819</v>
      </c>
      <c r="BN44" s="31">
        <v>0.30190568095718</v>
      </c>
      <c r="BO44" s="31" t="s">
        <v>413</v>
      </c>
      <c r="BP44" s="31" t="s">
        <v>413</v>
      </c>
      <c r="BQ44" s="31" t="s">
        <v>413</v>
      </c>
      <c r="BR44" s="31" t="s">
        <v>413</v>
      </c>
      <c r="BS44" s="31" t="s">
        <v>413</v>
      </c>
      <c r="BT44" s="31" t="s">
        <v>413</v>
      </c>
      <c r="BU44" s="31" t="s">
        <v>413</v>
      </c>
      <c r="BV44" s="31" t="s">
        <v>413</v>
      </c>
      <c r="BW44" s="31" t="s">
        <v>413</v>
      </c>
      <c r="BX44" s="31" t="s">
        <v>413</v>
      </c>
      <c r="BY44" s="31" t="s">
        <v>413</v>
      </c>
      <c r="BZ44" s="31" t="s">
        <v>413</v>
      </c>
      <c r="CA44" s="31" t="s">
        <v>413</v>
      </c>
      <c r="CB44" s="31" t="s">
        <v>413</v>
      </c>
      <c r="CC44" s="31" t="s">
        <v>413</v>
      </c>
      <c r="CD44" s="31" t="s">
        <v>413</v>
      </c>
      <c r="CE44" s="31" t="s">
        <v>413</v>
      </c>
      <c r="CF44" s="31" t="s">
        <v>413</v>
      </c>
      <c r="CG44" s="31" t="s">
        <v>413</v>
      </c>
      <c r="CH44" s="31" t="s">
        <v>413</v>
      </c>
      <c r="CI44" s="31" t="s">
        <v>413</v>
      </c>
      <c r="CJ44" s="31" t="s">
        <v>413</v>
      </c>
      <c r="CK44" s="31" t="s">
        <v>413</v>
      </c>
      <c r="CL44" s="31" t="s">
        <v>413</v>
      </c>
      <c r="CM44" s="31" t="s">
        <v>413</v>
      </c>
      <c r="CN44" s="31" t="s">
        <v>413</v>
      </c>
      <c r="CO44" s="31" t="s">
        <v>413</v>
      </c>
      <c r="CP44" s="31" t="s">
        <v>413</v>
      </c>
      <c r="CQ44" s="31" t="s">
        <v>413</v>
      </c>
      <c r="CR44" s="31" t="s">
        <v>413</v>
      </c>
      <c r="CS44" s="31" t="s">
        <v>413</v>
      </c>
      <c r="CT44" s="31" t="s">
        <v>413</v>
      </c>
      <c r="CU44" s="31" t="s">
        <v>413</v>
      </c>
      <c r="CV44" s="31" t="s">
        <v>413</v>
      </c>
      <c r="CW44" s="31">
        <v>190.007</v>
      </c>
      <c r="CX44" s="31">
        <v>160.175600997043</v>
      </c>
      <c r="CY44" s="31">
        <v>0.84299842109524</v>
      </c>
      <c r="CZ44" s="31">
        <v>0.165386952713814</v>
      </c>
      <c r="DA44" s="31">
        <v>6.0</v>
      </c>
      <c r="DB44" s="31">
        <v>0.5</v>
      </c>
      <c r="DC44" s="31" t="s">
        <v>414</v>
      </c>
      <c r="DD44" s="31">
        <v>2.0</v>
      </c>
      <c r="DE44" s="31">
        <v>1.754877518E9</v>
      </c>
      <c r="DF44" s="31">
        <v>452.855</v>
      </c>
      <c r="DG44" s="31">
        <v>460.55</v>
      </c>
      <c r="DH44" s="31">
        <v>28.4256</v>
      </c>
      <c r="DI44" s="31">
        <v>24.3655</v>
      </c>
      <c r="DJ44" s="31">
        <v>450.557</v>
      </c>
      <c r="DK44" s="31">
        <v>27.8737</v>
      </c>
      <c r="DL44" s="31">
        <v>499.962</v>
      </c>
      <c r="DM44" s="31">
        <v>100.88</v>
      </c>
      <c r="DN44" s="31">
        <v>0.100557</v>
      </c>
      <c r="DO44" s="31">
        <v>30.5717</v>
      </c>
      <c r="DP44" s="31">
        <v>29.87</v>
      </c>
      <c r="DQ44" s="31">
        <v>999.9</v>
      </c>
      <c r="DR44" s="31">
        <v>0.0</v>
      </c>
      <c r="DS44" s="31">
        <v>0.0</v>
      </c>
      <c r="DT44" s="31">
        <v>9015.0</v>
      </c>
      <c r="DU44" s="31">
        <v>0.0</v>
      </c>
      <c r="DV44" s="31">
        <v>984.425</v>
      </c>
      <c r="DW44" s="31">
        <v>190.007</v>
      </c>
      <c r="DX44" s="31">
        <v>0.899984</v>
      </c>
      <c r="DY44" s="31">
        <v>0.100016</v>
      </c>
      <c r="DZ44" s="31">
        <v>0.0</v>
      </c>
      <c r="EA44" s="31">
        <v>659.435</v>
      </c>
      <c r="EB44" s="31">
        <v>0.0999973</v>
      </c>
      <c r="EC44" s="31">
        <v>4303.65</v>
      </c>
      <c r="ED44" s="31">
        <v>1684.11</v>
      </c>
      <c r="EE44" s="31">
        <v>36.875</v>
      </c>
      <c r="EF44" s="31">
        <v>40.187</v>
      </c>
      <c r="EG44" s="31">
        <v>38.437</v>
      </c>
      <c r="EH44" s="31">
        <v>39.937</v>
      </c>
      <c r="EI44" s="31">
        <v>39.312</v>
      </c>
      <c r="EJ44" s="31">
        <v>170.91</v>
      </c>
      <c r="EK44" s="31">
        <v>18.99</v>
      </c>
      <c r="EL44" s="31">
        <v>0.0</v>
      </c>
      <c r="EM44" s="31">
        <v>1.7548775166E9</v>
      </c>
      <c r="EN44" s="31">
        <v>0.0</v>
      </c>
      <c r="EO44" s="31">
        <v>666.394615384615</v>
      </c>
      <c r="EP44" s="31">
        <v>-22.6475214412376</v>
      </c>
      <c r="EQ44" s="31">
        <v>3222.45162422067</v>
      </c>
      <c r="ER44" s="31">
        <v>3928.48192307692</v>
      </c>
      <c r="ES44" s="31">
        <v>15.0</v>
      </c>
      <c r="ET44" s="31">
        <v>1.754877537E9</v>
      </c>
      <c r="EU44" s="42">
        <v>0.4159375</v>
      </c>
      <c r="EV44" s="31">
        <v>1.754877537E9</v>
      </c>
      <c r="EW44" s="31">
        <v>1.7548765351E9</v>
      </c>
      <c r="EX44" s="31">
        <v>3.0</v>
      </c>
      <c r="EY44" s="31">
        <v>0.273</v>
      </c>
      <c r="EZ44" s="31">
        <v>-0.002</v>
      </c>
      <c r="FA44" s="31">
        <v>2.298</v>
      </c>
      <c r="FB44" s="31">
        <v>0.297</v>
      </c>
      <c r="FC44" s="31">
        <v>460.0</v>
      </c>
      <c r="FD44" s="31">
        <v>20.0</v>
      </c>
      <c r="FE44" s="31">
        <v>0.39</v>
      </c>
      <c r="FF44" s="31">
        <v>0.06</v>
      </c>
      <c r="FG44" s="31">
        <v>100.0</v>
      </c>
      <c r="FH44" s="31">
        <v>100.0</v>
      </c>
      <c r="FI44" s="31">
        <v>2.298</v>
      </c>
      <c r="FJ44" s="31">
        <v>0.5519</v>
      </c>
      <c r="FK44" s="31">
        <v>2.12712369449723</v>
      </c>
      <c r="FL44" s="31">
        <v>-2.2595428698806E-4</v>
      </c>
      <c r="FM44" s="43">
        <v>5.20417301097471E-9</v>
      </c>
      <c r="FN44" s="43">
        <v>1.17243702350096E-12</v>
      </c>
      <c r="FO44" s="31">
        <v>0.551873338452037</v>
      </c>
      <c r="FP44" s="31">
        <v>0.0</v>
      </c>
      <c r="FQ44" s="31">
        <v>0.0</v>
      </c>
      <c r="FR44" s="31">
        <v>0.0</v>
      </c>
      <c r="FS44" s="31">
        <v>1.0</v>
      </c>
      <c r="FT44" s="31">
        <v>2266.0</v>
      </c>
      <c r="FU44" s="31">
        <v>1.0</v>
      </c>
      <c r="FV44" s="31">
        <v>26.0</v>
      </c>
      <c r="FW44" s="31">
        <v>16.3</v>
      </c>
      <c r="FX44" s="31">
        <v>16.4</v>
      </c>
      <c r="FY44" s="31">
        <v>1.10352</v>
      </c>
      <c r="FZ44" s="31">
        <v>2.49023</v>
      </c>
      <c r="GA44" s="31">
        <v>1.59668</v>
      </c>
      <c r="GB44" s="31">
        <v>2.34009</v>
      </c>
      <c r="GC44" s="31">
        <v>1.5979</v>
      </c>
      <c r="GD44" s="31">
        <v>2.37549</v>
      </c>
      <c r="GE44" s="31">
        <v>35.3365</v>
      </c>
      <c r="GF44" s="31">
        <v>16.1021</v>
      </c>
      <c r="GG44" s="31">
        <v>18.0</v>
      </c>
      <c r="GH44" s="31">
        <v>501.472</v>
      </c>
      <c r="GI44" s="31">
        <v>523.122</v>
      </c>
      <c r="GJ44" s="31">
        <v>30.0258</v>
      </c>
      <c r="GK44" s="31">
        <v>30.6213</v>
      </c>
      <c r="GL44" s="31">
        <v>30.0019</v>
      </c>
      <c r="GM44" s="31">
        <v>30.3245</v>
      </c>
      <c r="GN44" s="31">
        <v>30.1985</v>
      </c>
      <c r="GO44" s="31">
        <v>22.1356</v>
      </c>
      <c r="GP44" s="31">
        <v>100.0</v>
      </c>
      <c r="GQ44" s="31">
        <v>86.692</v>
      </c>
      <c r="GR44" s="31">
        <v>-999.9</v>
      </c>
      <c r="GS44" s="31">
        <v>460.0</v>
      </c>
      <c r="GT44" s="31">
        <v>0.0</v>
      </c>
      <c r="GU44" s="31">
        <v>103.313</v>
      </c>
      <c r="GV44" s="31">
        <v>100.233</v>
      </c>
    </row>
    <row r="45" ht="14.25" customHeight="1">
      <c r="A45" s="41" t="s">
        <v>112</v>
      </c>
      <c r="B45" s="41" t="s">
        <v>62</v>
      </c>
      <c r="C45" s="41" t="s">
        <v>87</v>
      </c>
      <c r="D45" s="31">
        <v>2.0</v>
      </c>
      <c r="E45" s="31">
        <v>1.754877652E9</v>
      </c>
      <c r="F45" s="31">
        <v>134.0</v>
      </c>
      <c r="G45" s="31" t="s">
        <v>535</v>
      </c>
      <c r="H45" s="42">
        <v>0.41726851851851854</v>
      </c>
      <c r="I45" s="31" t="s">
        <v>409</v>
      </c>
      <c r="J45" s="31">
        <v>1.754877652E9</v>
      </c>
      <c r="K45" s="31">
        <v>0.00299680824744732</v>
      </c>
      <c r="L45" s="31">
        <v>2.99680824744732</v>
      </c>
      <c r="M45" s="31">
        <v>3.36095928268016</v>
      </c>
      <c r="N45" s="31">
        <v>454.538995310391</v>
      </c>
      <c r="O45" s="31">
        <v>419.613281181554</v>
      </c>
      <c r="P45" s="31">
        <v>42.3782685466585</v>
      </c>
      <c r="Q45" s="31">
        <v>45.9055432038572</v>
      </c>
      <c r="R45" s="31">
        <v>0.222118436897935</v>
      </c>
      <c r="S45" s="31">
        <v>2.76847432927163</v>
      </c>
      <c r="T45" s="31">
        <v>0.212671666644419</v>
      </c>
      <c r="U45" s="31">
        <v>0.133735065267617</v>
      </c>
      <c r="V45" s="31">
        <v>31.4021940156272</v>
      </c>
      <c r="W45" s="31">
        <v>30.6266939192271</v>
      </c>
      <c r="X45" s="31">
        <v>30.3031</v>
      </c>
      <c r="Y45" s="31">
        <v>4.3351885247263</v>
      </c>
      <c r="Z45" s="31">
        <v>64.7566024636731</v>
      </c>
      <c r="AA45" s="31">
        <v>2.96348638904766</v>
      </c>
      <c r="AB45" s="31">
        <v>4.57634631265607</v>
      </c>
      <c r="AC45" s="31">
        <v>1.37170213567864</v>
      </c>
      <c r="AD45" s="31">
        <v>-132.159243712426</v>
      </c>
      <c r="AE45" s="31">
        <v>141.477855262824</v>
      </c>
      <c r="AF45" s="31">
        <v>11.4505174407403</v>
      </c>
      <c r="AG45" s="31">
        <v>52.1713230067654</v>
      </c>
      <c r="AH45" s="31">
        <v>0.0</v>
      </c>
      <c r="AI45" s="31">
        <v>0.0</v>
      </c>
      <c r="AJ45" s="31">
        <v>1.0</v>
      </c>
      <c r="AK45" s="31">
        <v>0.0</v>
      </c>
      <c r="AL45" s="31">
        <v>47630.0</v>
      </c>
      <c r="AM45" s="31" t="s">
        <v>410</v>
      </c>
      <c r="AN45" s="31">
        <v>8173.37</v>
      </c>
      <c r="AO45" s="31">
        <v>559.295999999999</v>
      </c>
      <c r="AP45" s="31">
        <v>2893.93</v>
      </c>
      <c r="AQ45" s="31">
        <v>0.806734786259515</v>
      </c>
      <c r="AR45" s="31">
        <v>-2.38169762951563</v>
      </c>
      <c r="AS45" s="31" t="s">
        <v>536</v>
      </c>
      <c r="AT45" s="31">
        <v>8197.27</v>
      </c>
      <c r="AU45" s="31">
        <v>567.63</v>
      </c>
      <c r="AV45" s="31">
        <v>1527.74</v>
      </c>
      <c r="AW45" s="31">
        <v>0.628451176247267</v>
      </c>
      <c r="AX45" s="31">
        <v>0.5</v>
      </c>
      <c r="AY45" s="31">
        <v>160.060200008097</v>
      </c>
      <c r="AZ45" s="31">
        <v>3.36095928268016</v>
      </c>
      <c r="BA45" s="31">
        <v>50.2950104827307</v>
      </c>
      <c r="BB45" s="31">
        <v>0.0358781065618142</v>
      </c>
      <c r="BC45" s="31">
        <v>0.894255567046748</v>
      </c>
      <c r="BD45" s="31">
        <v>476.877909424283</v>
      </c>
      <c r="BE45" s="31" t="s">
        <v>537</v>
      </c>
      <c r="BF45" s="31">
        <v>-397.13</v>
      </c>
      <c r="BG45" s="31">
        <v>-397.13</v>
      </c>
      <c r="BH45" s="31">
        <v>1.25994606412085</v>
      </c>
      <c r="BI45" s="31">
        <v>0.498792126221511</v>
      </c>
      <c r="BJ45" s="31">
        <v>0.415121571773228</v>
      </c>
      <c r="BK45" s="31">
        <v>0.991394443044719</v>
      </c>
      <c r="BL45" s="31">
        <v>0.585183801829323</v>
      </c>
      <c r="BM45" s="31">
        <v>-0.3489690768394</v>
      </c>
      <c r="BN45" s="31">
        <v>1.3489690768394</v>
      </c>
      <c r="BO45" s="31" t="s">
        <v>413</v>
      </c>
      <c r="BP45" s="31" t="s">
        <v>413</v>
      </c>
      <c r="BQ45" s="31" t="s">
        <v>413</v>
      </c>
      <c r="BR45" s="31" t="s">
        <v>413</v>
      </c>
      <c r="BS45" s="31" t="s">
        <v>413</v>
      </c>
      <c r="BT45" s="31" t="s">
        <v>413</v>
      </c>
      <c r="BU45" s="31" t="s">
        <v>413</v>
      </c>
      <c r="BV45" s="31" t="s">
        <v>413</v>
      </c>
      <c r="BW45" s="31" t="s">
        <v>413</v>
      </c>
      <c r="BX45" s="31" t="s">
        <v>413</v>
      </c>
      <c r="BY45" s="31" t="s">
        <v>413</v>
      </c>
      <c r="BZ45" s="31" t="s">
        <v>413</v>
      </c>
      <c r="CA45" s="31" t="s">
        <v>413</v>
      </c>
      <c r="CB45" s="31" t="s">
        <v>413</v>
      </c>
      <c r="CC45" s="31" t="s">
        <v>413</v>
      </c>
      <c r="CD45" s="31" t="s">
        <v>413</v>
      </c>
      <c r="CE45" s="31" t="s">
        <v>413</v>
      </c>
      <c r="CF45" s="31" t="s">
        <v>413</v>
      </c>
      <c r="CG45" s="31" t="s">
        <v>413</v>
      </c>
      <c r="CH45" s="31" t="s">
        <v>413</v>
      </c>
      <c r="CI45" s="31" t="s">
        <v>413</v>
      </c>
      <c r="CJ45" s="31" t="s">
        <v>413</v>
      </c>
      <c r="CK45" s="31" t="s">
        <v>413</v>
      </c>
      <c r="CL45" s="31" t="s">
        <v>413</v>
      </c>
      <c r="CM45" s="31" t="s">
        <v>413</v>
      </c>
      <c r="CN45" s="31" t="s">
        <v>413</v>
      </c>
      <c r="CO45" s="31" t="s">
        <v>413</v>
      </c>
      <c r="CP45" s="31" t="s">
        <v>413</v>
      </c>
      <c r="CQ45" s="31" t="s">
        <v>413</v>
      </c>
      <c r="CR45" s="31" t="s">
        <v>413</v>
      </c>
      <c r="CS45" s="31" t="s">
        <v>413</v>
      </c>
      <c r="CT45" s="31" t="s">
        <v>413</v>
      </c>
      <c r="CU45" s="31" t="s">
        <v>413</v>
      </c>
      <c r="CV45" s="31" t="s">
        <v>413</v>
      </c>
      <c r="CW45" s="31">
        <v>189.87</v>
      </c>
      <c r="CX45" s="31">
        <v>160.060200008097</v>
      </c>
      <c r="CY45" s="31">
        <v>0.842998894022736</v>
      </c>
      <c r="CZ45" s="31">
        <v>0.165387865463881</v>
      </c>
      <c r="DA45" s="31">
        <v>6.0</v>
      </c>
      <c r="DB45" s="31">
        <v>0.5</v>
      </c>
      <c r="DC45" s="31" t="s">
        <v>414</v>
      </c>
      <c r="DD45" s="31">
        <v>2.0</v>
      </c>
      <c r="DE45" s="31">
        <v>1.754877652E9</v>
      </c>
      <c r="DF45" s="31">
        <v>454.539</v>
      </c>
      <c r="DG45" s="31">
        <v>460.207</v>
      </c>
      <c r="DH45" s="31">
        <v>29.3433</v>
      </c>
      <c r="DI45" s="31">
        <v>25.8525</v>
      </c>
      <c r="DJ45" s="31">
        <v>452.239</v>
      </c>
      <c r="DK45" s="31">
        <v>28.7914</v>
      </c>
      <c r="DL45" s="31">
        <v>499.978</v>
      </c>
      <c r="DM45" s="31">
        <v>100.894</v>
      </c>
      <c r="DN45" s="31">
        <v>0.0996302</v>
      </c>
      <c r="DO45" s="31">
        <v>31.251</v>
      </c>
      <c r="DP45" s="31">
        <v>30.3031</v>
      </c>
      <c r="DQ45" s="31">
        <v>999.9</v>
      </c>
      <c r="DR45" s="31">
        <v>0.0</v>
      </c>
      <c r="DS45" s="31">
        <v>0.0</v>
      </c>
      <c r="DT45" s="31">
        <v>9028.12</v>
      </c>
      <c r="DU45" s="31">
        <v>0.0</v>
      </c>
      <c r="DV45" s="31">
        <v>1200.68</v>
      </c>
      <c r="DW45" s="31">
        <v>189.87</v>
      </c>
      <c r="DX45" s="31">
        <v>0.899984</v>
      </c>
      <c r="DY45" s="31">
        <v>0.100016</v>
      </c>
      <c r="DZ45" s="31">
        <v>0.0</v>
      </c>
      <c r="EA45" s="31">
        <v>565.585</v>
      </c>
      <c r="EB45" s="31">
        <v>0.0999973</v>
      </c>
      <c r="EC45" s="31">
        <v>3253.21</v>
      </c>
      <c r="ED45" s="31">
        <v>1682.9</v>
      </c>
      <c r="EE45" s="31">
        <v>37.25</v>
      </c>
      <c r="EF45" s="31">
        <v>40.875</v>
      </c>
      <c r="EG45" s="31">
        <v>38.812</v>
      </c>
      <c r="EH45" s="31">
        <v>40.437</v>
      </c>
      <c r="EI45" s="31">
        <v>39.687</v>
      </c>
      <c r="EJ45" s="31">
        <v>170.79</v>
      </c>
      <c r="EK45" s="31">
        <v>18.98</v>
      </c>
      <c r="EL45" s="31">
        <v>0.0</v>
      </c>
      <c r="EM45" s="31">
        <v>132.0</v>
      </c>
      <c r="EN45" s="31">
        <v>0.0</v>
      </c>
      <c r="EO45" s="31">
        <v>567.63</v>
      </c>
      <c r="EP45" s="31">
        <v>-18.6676923181221</v>
      </c>
      <c r="EQ45" s="31">
        <v>-632.65153813548</v>
      </c>
      <c r="ER45" s="31">
        <v>3340.7368</v>
      </c>
      <c r="ES45" s="31">
        <v>15.0</v>
      </c>
      <c r="ET45" s="31">
        <v>1.754877537E9</v>
      </c>
      <c r="EU45" s="42">
        <v>0.4159375</v>
      </c>
      <c r="EV45" s="31">
        <v>1.754877537E9</v>
      </c>
      <c r="EW45" s="31">
        <v>1.7548765351E9</v>
      </c>
      <c r="EX45" s="31">
        <v>3.0</v>
      </c>
      <c r="EY45" s="31">
        <v>0.273</v>
      </c>
      <c r="EZ45" s="31">
        <v>-0.002</v>
      </c>
      <c r="FA45" s="31">
        <v>2.298</v>
      </c>
      <c r="FB45" s="31">
        <v>0.297</v>
      </c>
      <c r="FC45" s="31">
        <v>460.0</v>
      </c>
      <c r="FD45" s="31">
        <v>20.0</v>
      </c>
      <c r="FE45" s="31">
        <v>0.39</v>
      </c>
      <c r="FF45" s="31">
        <v>0.06</v>
      </c>
      <c r="FG45" s="31">
        <v>100.0</v>
      </c>
      <c r="FH45" s="31">
        <v>100.0</v>
      </c>
      <c r="FI45" s="31">
        <v>2.3</v>
      </c>
      <c r="FJ45" s="31">
        <v>0.5519</v>
      </c>
      <c r="FK45" s="31">
        <v>2.40041772269655</v>
      </c>
      <c r="FL45" s="31">
        <v>-2.2595428698806E-4</v>
      </c>
      <c r="FM45" s="43">
        <v>5.20417301097471E-9</v>
      </c>
      <c r="FN45" s="43">
        <v>1.17243702350096E-12</v>
      </c>
      <c r="FO45" s="31">
        <v>0.551873338452037</v>
      </c>
      <c r="FP45" s="31">
        <v>0.0</v>
      </c>
      <c r="FQ45" s="31">
        <v>0.0</v>
      </c>
      <c r="FR45" s="31">
        <v>0.0</v>
      </c>
      <c r="FS45" s="31">
        <v>1.0</v>
      </c>
      <c r="FT45" s="31">
        <v>2266.0</v>
      </c>
      <c r="FU45" s="31">
        <v>1.0</v>
      </c>
      <c r="FV45" s="31">
        <v>26.0</v>
      </c>
      <c r="FW45" s="31">
        <v>1.9</v>
      </c>
      <c r="FX45" s="31">
        <v>18.6</v>
      </c>
      <c r="FY45" s="31">
        <v>1.10229</v>
      </c>
      <c r="FZ45" s="31">
        <v>2.48413</v>
      </c>
      <c r="GA45" s="31">
        <v>1.59668</v>
      </c>
      <c r="GB45" s="31">
        <v>2.34009</v>
      </c>
      <c r="GC45" s="31">
        <v>1.5979</v>
      </c>
      <c r="GD45" s="31">
        <v>2.35596</v>
      </c>
      <c r="GE45" s="31">
        <v>36.0347</v>
      </c>
      <c r="GF45" s="31">
        <v>16.0934</v>
      </c>
      <c r="GG45" s="31">
        <v>18.0</v>
      </c>
      <c r="GH45" s="31">
        <v>503.117</v>
      </c>
      <c r="GI45" s="31">
        <v>520.929</v>
      </c>
      <c r="GJ45" s="31">
        <v>30.6456</v>
      </c>
      <c r="GK45" s="31">
        <v>31.2891</v>
      </c>
      <c r="GL45" s="31">
        <v>30.002</v>
      </c>
      <c r="GM45" s="31">
        <v>31.0429</v>
      </c>
      <c r="GN45" s="31">
        <v>30.9382</v>
      </c>
      <c r="GO45" s="31">
        <v>22.1212</v>
      </c>
      <c r="GP45" s="31">
        <v>100.0</v>
      </c>
      <c r="GQ45" s="31">
        <v>68.5334</v>
      </c>
      <c r="GR45" s="31">
        <v>-999.9</v>
      </c>
      <c r="GS45" s="31">
        <v>460.0</v>
      </c>
      <c r="GT45" s="31">
        <v>0.0</v>
      </c>
      <c r="GU45" s="31">
        <v>103.24</v>
      </c>
      <c r="GV45" s="31">
        <v>100.154</v>
      </c>
    </row>
    <row r="46" ht="14.25" customHeight="1">
      <c r="A46" s="41" t="s">
        <v>112</v>
      </c>
      <c r="B46" s="41" t="s">
        <v>64</v>
      </c>
      <c r="C46" s="41" t="s">
        <v>86</v>
      </c>
      <c r="D46" s="31">
        <v>13.0</v>
      </c>
      <c r="E46" s="31">
        <v>1.7548794376E9</v>
      </c>
      <c r="F46" s="31">
        <v>1919.59999990463</v>
      </c>
      <c r="G46" s="31" t="s">
        <v>538</v>
      </c>
      <c r="H46" s="42">
        <v>0.4379282407407407</v>
      </c>
      <c r="I46" s="31" t="s">
        <v>409</v>
      </c>
      <c r="J46" s="31">
        <v>1.7548794376E9</v>
      </c>
      <c r="K46" s="31">
        <v>0.00352829701382164</v>
      </c>
      <c r="L46" s="31">
        <v>3.52829701382164</v>
      </c>
      <c r="M46" s="31">
        <v>2.65445000666929</v>
      </c>
      <c r="N46" s="31">
        <v>454.851996236359</v>
      </c>
      <c r="O46" s="31">
        <v>429.924674931373</v>
      </c>
      <c r="P46" s="31">
        <v>43.4414182695954</v>
      </c>
      <c r="Q46" s="31">
        <v>45.9601808675397</v>
      </c>
      <c r="R46" s="31">
        <v>0.283720358214655</v>
      </c>
      <c r="S46" s="31">
        <v>2.76592649883003</v>
      </c>
      <c r="T46" s="31">
        <v>0.268486760430723</v>
      </c>
      <c r="U46" s="31">
        <v>0.16910471038925</v>
      </c>
      <c r="V46" s="31">
        <v>31.4152681258757</v>
      </c>
      <c r="W46" s="31">
        <v>34.3294097082011</v>
      </c>
      <c r="X46" s="31">
        <v>33.9359</v>
      </c>
      <c r="Y46" s="31">
        <v>5.32393574749441</v>
      </c>
      <c r="Z46" s="31">
        <v>71.4527709369664</v>
      </c>
      <c r="AA46" s="31">
        <v>4.0577149633601</v>
      </c>
      <c r="AB46" s="31">
        <v>5.67887698426657</v>
      </c>
      <c r="AC46" s="31">
        <v>1.26622078413431</v>
      </c>
      <c r="AD46" s="31">
        <v>-155.597898309534</v>
      </c>
      <c r="AE46" s="31">
        <v>173.184053390879</v>
      </c>
      <c r="AF46" s="31">
        <v>14.554112059981</v>
      </c>
      <c r="AG46" s="31">
        <v>63.5555352672017</v>
      </c>
      <c r="AH46" s="31">
        <v>0.0</v>
      </c>
      <c r="AI46" s="31">
        <v>0.0</v>
      </c>
      <c r="AJ46" s="31">
        <v>1.0</v>
      </c>
      <c r="AK46" s="31">
        <v>0.0</v>
      </c>
      <c r="AL46" s="31">
        <v>46967.0</v>
      </c>
      <c r="AM46" s="31" t="s">
        <v>410</v>
      </c>
      <c r="AN46" s="31">
        <v>8173.37</v>
      </c>
      <c r="AO46" s="31">
        <v>559.295999999999</v>
      </c>
      <c r="AP46" s="31">
        <v>2893.93</v>
      </c>
      <c r="AQ46" s="31">
        <v>0.806734786259515</v>
      </c>
      <c r="AR46" s="31">
        <v>-2.38169762951563</v>
      </c>
      <c r="AS46" s="31" t="s">
        <v>539</v>
      </c>
      <c r="AT46" s="31">
        <v>8180.49</v>
      </c>
      <c r="AU46" s="31">
        <v>432.869</v>
      </c>
      <c r="AV46" s="31">
        <v>1241.74</v>
      </c>
      <c r="AW46" s="31">
        <v>0.651401259522927</v>
      </c>
      <c r="AX46" s="31">
        <v>0.5</v>
      </c>
      <c r="AY46" s="31">
        <v>160.126044003044</v>
      </c>
      <c r="AZ46" s="31">
        <v>2.65445000666929</v>
      </c>
      <c r="BA46" s="31">
        <v>52.1531533730034</v>
      </c>
      <c r="BB46" s="31">
        <v>0.0314511462987818</v>
      </c>
      <c r="BC46" s="31">
        <v>1.33054423631355</v>
      </c>
      <c r="BD46" s="31">
        <v>444.89275508698</v>
      </c>
      <c r="BE46" s="31" t="s">
        <v>540</v>
      </c>
      <c r="BF46" s="31">
        <v>-402.07</v>
      </c>
      <c r="BG46" s="31">
        <v>-402.07</v>
      </c>
      <c r="BH46" s="31">
        <v>1.32379564159969</v>
      </c>
      <c r="BI46" s="31">
        <v>0.492070859770898</v>
      </c>
      <c r="BJ46" s="31">
        <v>0.501271237864077</v>
      </c>
      <c r="BK46" s="31">
        <v>1.18525622615188</v>
      </c>
      <c r="BL46" s="31">
        <v>0.707686943649411</v>
      </c>
      <c r="BM46" s="31">
        <v>-0.457059596755796</v>
      </c>
      <c r="BN46" s="31">
        <v>1.45705959675579</v>
      </c>
      <c r="BO46" s="31" t="s">
        <v>413</v>
      </c>
      <c r="BP46" s="31" t="s">
        <v>413</v>
      </c>
      <c r="BQ46" s="31" t="s">
        <v>413</v>
      </c>
      <c r="BR46" s="31" t="s">
        <v>413</v>
      </c>
      <c r="BS46" s="31" t="s">
        <v>413</v>
      </c>
      <c r="BT46" s="31" t="s">
        <v>413</v>
      </c>
      <c r="BU46" s="31" t="s">
        <v>413</v>
      </c>
      <c r="BV46" s="31" t="s">
        <v>413</v>
      </c>
      <c r="BW46" s="31" t="s">
        <v>413</v>
      </c>
      <c r="BX46" s="31" t="s">
        <v>413</v>
      </c>
      <c r="BY46" s="31" t="s">
        <v>413</v>
      </c>
      <c r="BZ46" s="31" t="s">
        <v>413</v>
      </c>
      <c r="CA46" s="31" t="s">
        <v>413</v>
      </c>
      <c r="CB46" s="31" t="s">
        <v>413</v>
      </c>
      <c r="CC46" s="31" t="s">
        <v>413</v>
      </c>
      <c r="CD46" s="31" t="s">
        <v>413</v>
      </c>
      <c r="CE46" s="31" t="s">
        <v>413</v>
      </c>
      <c r="CF46" s="31" t="s">
        <v>413</v>
      </c>
      <c r="CG46" s="31" t="s">
        <v>413</v>
      </c>
      <c r="CH46" s="31" t="s">
        <v>413</v>
      </c>
      <c r="CI46" s="31" t="s">
        <v>413</v>
      </c>
      <c r="CJ46" s="31" t="s">
        <v>413</v>
      </c>
      <c r="CK46" s="31" t="s">
        <v>413</v>
      </c>
      <c r="CL46" s="31" t="s">
        <v>413</v>
      </c>
      <c r="CM46" s="31" t="s">
        <v>413</v>
      </c>
      <c r="CN46" s="31" t="s">
        <v>413</v>
      </c>
      <c r="CO46" s="31" t="s">
        <v>413</v>
      </c>
      <c r="CP46" s="31" t="s">
        <v>413</v>
      </c>
      <c r="CQ46" s="31" t="s">
        <v>413</v>
      </c>
      <c r="CR46" s="31" t="s">
        <v>413</v>
      </c>
      <c r="CS46" s="31" t="s">
        <v>413</v>
      </c>
      <c r="CT46" s="31" t="s">
        <v>413</v>
      </c>
      <c r="CU46" s="31" t="s">
        <v>413</v>
      </c>
      <c r="CV46" s="31" t="s">
        <v>413</v>
      </c>
      <c r="CW46" s="31">
        <v>189.948</v>
      </c>
      <c r="CX46" s="31">
        <v>160.126044003044</v>
      </c>
      <c r="CY46" s="31">
        <v>0.842999368264179</v>
      </c>
      <c r="CZ46" s="31">
        <v>0.165388780749866</v>
      </c>
      <c r="DA46" s="31">
        <v>6.0</v>
      </c>
      <c r="DB46" s="31">
        <v>0.5</v>
      </c>
      <c r="DC46" s="31" t="s">
        <v>414</v>
      </c>
      <c r="DD46" s="31">
        <v>2.0</v>
      </c>
      <c r="DE46" s="31">
        <v>1.7548794376E9</v>
      </c>
      <c r="DF46" s="31">
        <v>454.852</v>
      </c>
      <c r="DG46" s="31">
        <v>459.963</v>
      </c>
      <c r="DH46" s="31">
        <v>40.1578</v>
      </c>
      <c r="DI46" s="31">
        <v>36.094</v>
      </c>
      <c r="DJ46" s="31">
        <v>452.229</v>
      </c>
      <c r="DK46" s="31">
        <v>39.6059</v>
      </c>
      <c r="DL46" s="31">
        <v>500.016</v>
      </c>
      <c r="DM46" s="31">
        <v>100.945</v>
      </c>
      <c r="DN46" s="31">
        <v>0.0992545</v>
      </c>
      <c r="DO46" s="31">
        <v>35.0973</v>
      </c>
      <c r="DP46" s="31">
        <v>33.9359</v>
      </c>
      <c r="DQ46" s="31">
        <v>999.9</v>
      </c>
      <c r="DR46" s="31">
        <v>0.0</v>
      </c>
      <c r="DS46" s="31">
        <v>0.0</v>
      </c>
      <c r="DT46" s="31">
        <v>9010.0</v>
      </c>
      <c r="DU46" s="31">
        <v>0.0</v>
      </c>
      <c r="DV46" s="31">
        <v>547.837</v>
      </c>
      <c r="DW46" s="31">
        <v>189.948</v>
      </c>
      <c r="DX46" s="31">
        <v>0.89995</v>
      </c>
      <c r="DY46" s="31">
        <v>0.10005</v>
      </c>
      <c r="DZ46" s="31">
        <v>0.0</v>
      </c>
      <c r="EA46" s="31">
        <v>433.94</v>
      </c>
      <c r="EB46" s="31">
        <v>0.0999973</v>
      </c>
      <c r="EC46" s="31">
        <v>2013.95</v>
      </c>
      <c r="ED46" s="31">
        <v>1683.57</v>
      </c>
      <c r="EE46" s="31">
        <v>40.062</v>
      </c>
      <c r="EF46" s="31">
        <v>43.312</v>
      </c>
      <c r="EG46" s="31">
        <v>41.625</v>
      </c>
      <c r="EH46" s="31">
        <v>43.0</v>
      </c>
      <c r="EI46" s="31">
        <v>42.687</v>
      </c>
      <c r="EJ46" s="31">
        <v>170.85</v>
      </c>
      <c r="EK46" s="31">
        <v>18.99</v>
      </c>
      <c r="EL46" s="31">
        <v>0.0</v>
      </c>
      <c r="EM46" s="31">
        <v>143.400000095367</v>
      </c>
      <c r="EN46" s="31">
        <v>0.0</v>
      </c>
      <c r="EO46" s="31">
        <v>432.869</v>
      </c>
      <c r="EP46" s="31">
        <v>-3.3434615069672</v>
      </c>
      <c r="EQ46" s="31">
        <v>-50.4653847886102</v>
      </c>
      <c r="ER46" s="31">
        <v>2032.49519999999</v>
      </c>
      <c r="ES46" s="31">
        <v>15.0</v>
      </c>
      <c r="ET46" s="31">
        <v>1.7548790026E9</v>
      </c>
      <c r="EU46" s="42">
        <v>0.43289351851851854</v>
      </c>
      <c r="EV46" s="31">
        <v>1.7548790026E9</v>
      </c>
      <c r="EW46" s="31">
        <v>1.7548765351E9</v>
      </c>
      <c r="EX46" s="31">
        <v>5.0</v>
      </c>
      <c r="EY46" s="31">
        <v>0.143</v>
      </c>
      <c r="EZ46" s="31">
        <v>-0.002</v>
      </c>
      <c r="FA46" s="31">
        <v>2.622</v>
      </c>
      <c r="FB46" s="31">
        <v>0.297</v>
      </c>
      <c r="FC46" s="31">
        <v>460.0</v>
      </c>
      <c r="FD46" s="31">
        <v>20.0</v>
      </c>
      <c r="FE46" s="31">
        <v>0.62</v>
      </c>
      <c r="FF46" s="31">
        <v>0.06</v>
      </c>
      <c r="FG46" s="31">
        <v>100.0</v>
      </c>
      <c r="FH46" s="31">
        <v>100.0</v>
      </c>
      <c r="FI46" s="31">
        <v>2.623</v>
      </c>
      <c r="FJ46" s="31">
        <v>0.5519</v>
      </c>
      <c r="FK46" s="31">
        <v>2.72420017421135</v>
      </c>
      <c r="FL46" s="31">
        <v>-2.2595428698806E-4</v>
      </c>
      <c r="FM46" s="43">
        <v>5.20417301097471E-9</v>
      </c>
      <c r="FN46" s="43">
        <v>1.17243702350096E-12</v>
      </c>
      <c r="FO46" s="31">
        <v>0.551873338452037</v>
      </c>
      <c r="FP46" s="31">
        <v>0.0</v>
      </c>
      <c r="FQ46" s="31">
        <v>0.0</v>
      </c>
      <c r="FR46" s="31">
        <v>0.0</v>
      </c>
      <c r="FS46" s="31">
        <v>1.0</v>
      </c>
      <c r="FT46" s="31">
        <v>2266.0</v>
      </c>
      <c r="FU46" s="31">
        <v>1.0</v>
      </c>
      <c r="FV46" s="31">
        <v>26.0</v>
      </c>
      <c r="FW46" s="31">
        <v>7.2</v>
      </c>
      <c r="FX46" s="31">
        <v>48.4</v>
      </c>
      <c r="FY46" s="31">
        <v>1.11328</v>
      </c>
      <c r="FZ46" s="31">
        <v>2.52808</v>
      </c>
      <c r="GA46" s="31">
        <v>1.59546</v>
      </c>
      <c r="GB46" s="31">
        <v>2.32056</v>
      </c>
      <c r="GC46" s="31">
        <v>1.5979</v>
      </c>
      <c r="GD46" s="31">
        <v>2.37183</v>
      </c>
      <c r="GE46" s="31">
        <v>42.3506</v>
      </c>
      <c r="GF46" s="31">
        <v>15.9182</v>
      </c>
      <c r="GG46" s="31">
        <v>18.0</v>
      </c>
      <c r="GH46" s="31">
        <v>508.166</v>
      </c>
      <c r="GI46" s="31">
        <v>484.77</v>
      </c>
      <c r="GJ46" s="31">
        <v>35.1173</v>
      </c>
      <c r="GK46" s="31">
        <v>35.1966</v>
      </c>
      <c r="GL46" s="31">
        <v>29.9995</v>
      </c>
      <c r="GM46" s="31">
        <v>35.242</v>
      </c>
      <c r="GN46" s="31">
        <v>35.1867</v>
      </c>
      <c r="GO46" s="31">
        <v>22.3334</v>
      </c>
      <c r="GP46" s="31">
        <v>100.0</v>
      </c>
      <c r="GQ46" s="31">
        <v>0.0</v>
      </c>
      <c r="GR46" s="31">
        <v>-999.9</v>
      </c>
      <c r="GS46" s="31">
        <v>460.0</v>
      </c>
      <c r="GT46" s="31">
        <v>0.0</v>
      </c>
      <c r="GU46" s="31">
        <v>102.703</v>
      </c>
      <c r="GV46" s="31">
        <v>99.6826</v>
      </c>
    </row>
    <row r="47" ht="14.25" customHeight="1">
      <c r="A47" s="41" t="s">
        <v>112</v>
      </c>
      <c r="B47" s="41" t="s">
        <v>64</v>
      </c>
      <c r="C47" s="41" t="s">
        <v>87</v>
      </c>
      <c r="D47" s="31">
        <v>14.0</v>
      </c>
      <c r="E47" s="31">
        <v>1.7548795811E9</v>
      </c>
      <c r="F47" s="31">
        <v>2063.09999990463</v>
      </c>
      <c r="G47" s="31" t="s">
        <v>541</v>
      </c>
      <c r="H47" s="42">
        <v>0.4395949074074074</v>
      </c>
      <c r="I47" s="31" t="s">
        <v>409</v>
      </c>
      <c r="J47" s="31">
        <v>1.7548795811E9</v>
      </c>
      <c r="K47" s="31">
        <v>0.0031486812297027</v>
      </c>
      <c r="L47" s="31">
        <v>3.1486812297027</v>
      </c>
      <c r="M47" s="31">
        <v>3.72551019561455</v>
      </c>
      <c r="N47" s="31">
        <v>453.77799474913</v>
      </c>
      <c r="O47" s="31">
        <v>417.396428169961</v>
      </c>
      <c r="P47" s="31">
        <v>42.1722838983914</v>
      </c>
      <c r="Q47" s="31">
        <v>45.84815089412</v>
      </c>
      <c r="R47" s="31">
        <v>0.233102917413033</v>
      </c>
      <c r="S47" s="31">
        <v>2.77048811977354</v>
      </c>
      <c r="T47" s="31">
        <v>0.222729351978392</v>
      </c>
      <c r="U47" s="31">
        <v>0.140099395146831</v>
      </c>
      <c r="V47" s="31">
        <v>31.4059650156338</v>
      </c>
      <c r="W47" s="31">
        <v>34.2613936878972</v>
      </c>
      <c r="X47" s="31">
        <v>34.0502</v>
      </c>
      <c r="Y47" s="31">
        <v>5.35798960425877</v>
      </c>
      <c r="Z47" s="31">
        <v>71.0369180588744</v>
      </c>
      <c r="AA47" s="31">
        <v>3.99577221220896</v>
      </c>
      <c r="AB47" s="31">
        <v>5.62492337983654</v>
      </c>
      <c r="AC47" s="31">
        <v>1.36221739204981</v>
      </c>
      <c r="AD47" s="31">
        <v>-138.856842229889</v>
      </c>
      <c r="AE47" s="31">
        <v>130.647427307423</v>
      </c>
      <c r="AF47" s="31">
        <v>10.9582010625717</v>
      </c>
      <c r="AG47" s="31">
        <v>34.1547511557401</v>
      </c>
      <c r="AH47" s="31">
        <v>0.0</v>
      </c>
      <c r="AI47" s="31">
        <v>0.0</v>
      </c>
      <c r="AJ47" s="31">
        <v>1.0</v>
      </c>
      <c r="AK47" s="31">
        <v>0.0</v>
      </c>
      <c r="AL47" s="31">
        <v>47117.0</v>
      </c>
      <c r="AM47" s="31" t="s">
        <v>410</v>
      </c>
      <c r="AN47" s="31">
        <v>8173.37</v>
      </c>
      <c r="AO47" s="31">
        <v>559.295999999999</v>
      </c>
      <c r="AP47" s="31">
        <v>2893.93</v>
      </c>
      <c r="AQ47" s="31">
        <v>0.806734786259515</v>
      </c>
      <c r="AR47" s="31">
        <v>-2.38169762951563</v>
      </c>
      <c r="AS47" s="31" t="s">
        <v>542</v>
      </c>
      <c r="AT47" s="31">
        <v>8181.89</v>
      </c>
      <c r="AU47" s="31">
        <v>624.234038461538</v>
      </c>
      <c r="AV47" s="31">
        <v>1854.35</v>
      </c>
      <c r="AW47" s="31">
        <v>0.663367736154696</v>
      </c>
      <c r="AX47" s="31">
        <v>0.5</v>
      </c>
      <c r="AY47" s="31">
        <v>160.0773000081</v>
      </c>
      <c r="AZ47" s="31">
        <v>3.72551019561455</v>
      </c>
      <c r="BA47" s="31">
        <v>53.0950580580648</v>
      </c>
      <c r="BB47" s="31">
        <v>0.0381516169052148</v>
      </c>
      <c r="BC47" s="31">
        <v>0.560616927764445</v>
      </c>
      <c r="BD47" s="31">
        <v>504.621405883506</v>
      </c>
      <c r="BE47" s="31" t="s">
        <v>543</v>
      </c>
      <c r="BF47" s="31">
        <v>-1136.67</v>
      </c>
      <c r="BG47" s="31">
        <v>-1136.67</v>
      </c>
      <c r="BH47" s="31">
        <v>1.61297489686413</v>
      </c>
      <c r="BI47" s="31">
        <v>0.411269721211647</v>
      </c>
      <c r="BJ47" s="31">
        <v>0.257921897484245</v>
      </c>
      <c r="BK47" s="31">
        <v>0.949856887464508</v>
      </c>
      <c r="BL47" s="31">
        <v>0.445286070536109</v>
      </c>
      <c r="BM47" s="31">
        <v>-0.748882510735509</v>
      </c>
      <c r="BN47" s="31">
        <v>1.7488825107355</v>
      </c>
      <c r="BO47" s="31" t="s">
        <v>413</v>
      </c>
      <c r="BP47" s="31" t="s">
        <v>413</v>
      </c>
      <c r="BQ47" s="31" t="s">
        <v>413</v>
      </c>
      <c r="BR47" s="31" t="s">
        <v>413</v>
      </c>
      <c r="BS47" s="31" t="s">
        <v>413</v>
      </c>
      <c r="BT47" s="31" t="s">
        <v>413</v>
      </c>
      <c r="BU47" s="31" t="s">
        <v>413</v>
      </c>
      <c r="BV47" s="31" t="s">
        <v>413</v>
      </c>
      <c r="BW47" s="31" t="s">
        <v>413</v>
      </c>
      <c r="BX47" s="31" t="s">
        <v>413</v>
      </c>
      <c r="BY47" s="31" t="s">
        <v>413</v>
      </c>
      <c r="BZ47" s="31" t="s">
        <v>413</v>
      </c>
      <c r="CA47" s="31" t="s">
        <v>413</v>
      </c>
      <c r="CB47" s="31" t="s">
        <v>413</v>
      </c>
      <c r="CC47" s="31" t="s">
        <v>413</v>
      </c>
      <c r="CD47" s="31" t="s">
        <v>413</v>
      </c>
      <c r="CE47" s="31" t="s">
        <v>413</v>
      </c>
      <c r="CF47" s="31" t="s">
        <v>413</v>
      </c>
      <c r="CG47" s="31" t="s">
        <v>413</v>
      </c>
      <c r="CH47" s="31" t="s">
        <v>413</v>
      </c>
      <c r="CI47" s="31" t="s">
        <v>413</v>
      </c>
      <c r="CJ47" s="31" t="s">
        <v>413</v>
      </c>
      <c r="CK47" s="31" t="s">
        <v>413</v>
      </c>
      <c r="CL47" s="31" t="s">
        <v>413</v>
      </c>
      <c r="CM47" s="31" t="s">
        <v>413</v>
      </c>
      <c r="CN47" s="31" t="s">
        <v>413</v>
      </c>
      <c r="CO47" s="31" t="s">
        <v>413</v>
      </c>
      <c r="CP47" s="31" t="s">
        <v>413</v>
      </c>
      <c r="CQ47" s="31" t="s">
        <v>413</v>
      </c>
      <c r="CR47" s="31" t="s">
        <v>413</v>
      </c>
      <c r="CS47" s="31" t="s">
        <v>413</v>
      </c>
      <c r="CT47" s="31" t="s">
        <v>413</v>
      </c>
      <c r="CU47" s="31" t="s">
        <v>413</v>
      </c>
      <c r="CV47" s="31" t="s">
        <v>413</v>
      </c>
      <c r="CW47" s="31">
        <v>189.89</v>
      </c>
      <c r="CX47" s="31">
        <v>160.0773000081</v>
      </c>
      <c r="CY47" s="31">
        <v>0.843000158028861</v>
      </c>
      <c r="CZ47" s="31">
        <v>0.165390304995701</v>
      </c>
      <c r="DA47" s="31">
        <v>6.0</v>
      </c>
      <c r="DB47" s="31">
        <v>0.5</v>
      </c>
      <c r="DC47" s="31" t="s">
        <v>414</v>
      </c>
      <c r="DD47" s="31">
        <v>2.0</v>
      </c>
      <c r="DE47" s="31">
        <v>1.7548795811E9</v>
      </c>
      <c r="DF47" s="31">
        <v>453.778</v>
      </c>
      <c r="DG47" s="31">
        <v>459.962</v>
      </c>
      <c r="DH47" s="31">
        <v>39.5478</v>
      </c>
      <c r="DI47" s="31">
        <v>35.9195</v>
      </c>
      <c r="DJ47" s="31">
        <v>451.155</v>
      </c>
      <c r="DK47" s="31">
        <v>38.996</v>
      </c>
      <c r="DL47" s="31">
        <v>500.095</v>
      </c>
      <c r="DM47" s="31">
        <v>100.937</v>
      </c>
      <c r="DN47" s="31">
        <v>0.0995232</v>
      </c>
      <c r="DO47" s="31">
        <v>34.9249</v>
      </c>
      <c r="DP47" s="31">
        <v>34.0502</v>
      </c>
      <c r="DQ47" s="31">
        <v>999.9</v>
      </c>
      <c r="DR47" s="31">
        <v>0.0</v>
      </c>
      <c r="DS47" s="31">
        <v>0.0</v>
      </c>
      <c r="DT47" s="31">
        <v>9035.0</v>
      </c>
      <c r="DU47" s="31">
        <v>0.0</v>
      </c>
      <c r="DV47" s="31">
        <v>532.469</v>
      </c>
      <c r="DW47" s="31">
        <v>189.89</v>
      </c>
      <c r="DX47" s="31">
        <v>0.89995</v>
      </c>
      <c r="DY47" s="31">
        <v>0.10005</v>
      </c>
      <c r="DZ47" s="31">
        <v>0.0</v>
      </c>
      <c r="EA47" s="31">
        <v>620.85</v>
      </c>
      <c r="EB47" s="31">
        <v>0.0999973</v>
      </c>
      <c r="EC47" s="31">
        <v>2489.6</v>
      </c>
      <c r="ED47" s="31">
        <v>1683.06</v>
      </c>
      <c r="EE47" s="31">
        <v>39.812</v>
      </c>
      <c r="EF47" s="31">
        <v>43.0</v>
      </c>
      <c r="EG47" s="31">
        <v>41.375</v>
      </c>
      <c r="EH47" s="31">
        <v>42.812</v>
      </c>
      <c r="EI47" s="31">
        <v>42.5</v>
      </c>
      <c r="EJ47" s="31">
        <v>170.8</v>
      </c>
      <c r="EK47" s="31">
        <v>18.99</v>
      </c>
      <c r="EL47" s="31">
        <v>0.0</v>
      </c>
      <c r="EM47" s="31">
        <v>141.0</v>
      </c>
      <c r="EN47" s="31">
        <v>0.0</v>
      </c>
      <c r="EO47" s="31">
        <v>624.234038461538</v>
      </c>
      <c r="EP47" s="31">
        <v>-15.8374357355396</v>
      </c>
      <c r="EQ47" s="31">
        <v>-250.939828789375</v>
      </c>
      <c r="ER47" s="31">
        <v>2524.01038461538</v>
      </c>
      <c r="ES47" s="31">
        <v>15.0</v>
      </c>
      <c r="ET47" s="31">
        <v>1.7548790026E9</v>
      </c>
      <c r="EU47" s="42">
        <v>0.43289351851851854</v>
      </c>
      <c r="EV47" s="31">
        <v>1.7548790026E9</v>
      </c>
      <c r="EW47" s="31">
        <v>1.7548765351E9</v>
      </c>
      <c r="EX47" s="31">
        <v>5.0</v>
      </c>
      <c r="EY47" s="31">
        <v>0.143</v>
      </c>
      <c r="EZ47" s="31">
        <v>-0.002</v>
      </c>
      <c r="FA47" s="31">
        <v>2.622</v>
      </c>
      <c r="FB47" s="31">
        <v>0.297</v>
      </c>
      <c r="FC47" s="31">
        <v>460.0</v>
      </c>
      <c r="FD47" s="31">
        <v>20.0</v>
      </c>
      <c r="FE47" s="31">
        <v>0.62</v>
      </c>
      <c r="FF47" s="31">
        <v>0.06</v>
      </c>
      <c r="FG47" s="31">
        <v>100.0</v>
      </c>
      <c r="FH47" s="31">
        <v>100.0</v>
      </c>
      <c r="FI47" s="31">
        <v>2.623</v>
      </c>
      <c r="FJ47" s="31">
        <v>0.5518</v>
      </c>
      <c r="FK47" s="31">
        <v>2.72420017421135</v>
      </c>
      <c r="FL47" s="31">
        <v>-2.2595428698806E-4</v>
      </c>
      <c r="FM47" s="43">
        <v>5.20417301097471E-9</v>
      </c>
      <c r="FN47" s="43">
        <v>1.17243702350096E-12</v>
      </c>
      <c r="FO47" s="31">
        <v>0.551873338452037</v>
      </c>
      <c r="FP47" s="31">
        <v>0.0</v>
      </c>
      <c r="FQ47" s="31">
        <v>0.0</v>
      </c>
      <c r="FR47" s="31">
        <v>0.0</v>
      </c>
      <c r="FS47" s="31">
        <v>1.0</v>
      </c>
      <c r="FT47" s="31">
        <v>2266.0</v>
      </c>
      <c r="FU47" s="31">
        <v>1.0</v>
      </c>
      <c r="FV47" s="31">
        <v>26.0</v>
      </c>
      <c r="FW47" s="31">
        <v>9.6</v>
      </c>
      <c r="FX47" s="31">
        <v>50.8</v>
      </c>
      <c r="FY47" s="31">
        <v>1.1145</v>
      </c>
      <c r="FZ47" s="31">
        <v>2.54028</v>
      </c>
      <c r="GA47" s="31">
        <v>1.59668</v>
      </c>
      <c r="GB47" s="31">
        <v>2.32056</v>
      </c>
      <c r="GC47" s="31">
        <v>1.5979</v>
      </c>
      <c r="GD47" s="31">
        <v>2.26318</v>
      </c>
      <c r="GE47" s="31">
        <v>42.4304</v>
      </c>
      <c r="GF47" s="31">
        <v>15.892</v>
      </c>
      <c r="GG47" s="31">
        <v>18.0</v>
      </c>
      <c r="GH47" s="31">
        <v>508.535</v>
      </c>
      <c r="GI47" s="31">
        <v>483.859</v>
      </c>
      <c r="GJ47" s="31">
        <v>34.9706</v>
      </c>
      <c r="GK47" s="31">
        <v>34.993</v>
      </c>
      <c r="GL47" s="31">
        <v>29.9994</v>
      </c>
      <c r="GM47" s="31">
        <v>35.0498</v>
      </c>
      <c r="GN47" s="31">
        <v>34.9966</v>
      </c>
      <c r="GO47" s="31">
        <v>22.3575</v>
      </c>
      <c r="GP47" s="31">
        <v>100.0</v>
      </c>
      <c r="GQ47" s="31">
        <v>0.0</v>
      </c>
      <c r="GR47" s="31">
        <v>-999.9</v>
      </c>
      <c r="GS47" s="31">
        <v>460.0</v>
      </c>
      <c r="GT47" s="31">
        <v>0.0</v>
      </c>
      <c r="GU47" s="31">
        <v>102.726</v>
      </c>
      <c r="GV47" s="31">
        <v>99.7225</v>
      </c>
    </row>
    <row r="48" ht="14.25" customHeight="1">
      <c r="A48" s="41" t="s">
        <v>112</v>
      </c>
      <c r="B48" s="41" t="s">
        <v>66</v>
      </c>
      <c r="C48" s="41" t="s">
        <v>86</v>
      </c>
      <c r="D48" s="31">
        <v>62.0</v>
      </c>
      <c r="E48" s="31">
        <v>1.7548864501E9</v>
      </c>
      <c r="F48" s="31">
        <v>8932.09999990463</v>
      </c>
      <c r="G48" s="31" t="s">
        <v>544</v>
      </c>
      <c r="H48" s="42">
        <v>0.5190972222222222</v>
      </c>
      <c r="I48" s="31" t="s">
        <v>409</v>
      </c>
      <c r="J48" s="31">
        <v>1.7548864501E9</v>
      </c>
      <c r="K48" s="31">
        <v>0.00537216512847728</v>
      </c>
      <c r="L48" s="31">
        <v>5.37216512847728</v>
      </c>
      <c r="M48" s="31">
        <v>4.62340551771608</v>
      </c>
      <c r="N48" s="31">
        <v>451.536993460036</v>
      </c>
      <c r="O48" s="31">
        <v>427.462579785454</v>
      </c>
      <c r="P48" s="31">
        <v>43.1659290696503</v>
      </c>
      <c r="Q48" s="31">
        <v>45.5970060392227</v>
      </c>
      <c r="R48" s="31">
        <v>0.504201791823878</v>
      </c>
      <c r="S48" s="31">
        <v>2.76463425337804</v>
      </c>
      <c r="T48" s="31">
        <v>0.458131996678214</v>
      </c>
      <c r="U48" s="31">
        <v>0.290120085157397</v>
      </c>
      <c r="V48" s="31">
        <v>31.4301529290529</v>
      </c>
      <c r="W48" s="31">
        <v>32.82257575314</v>
      </c>
      <c r="X48" s="31">
        <v>33.1903</v>
      </c>
      <c r="Y48" s="31">
        <v>5.10637909977594</v>
      </c>
      <c r="Z48" s="31">
        <v>74.0135852805039</v>
      </c>
      <c r="AA48" s="31">
        <v>3.97549082036268</v>
      </c>
      <c r="AB48" s="31">
        <v>5.37129880318049</v>
      </c>
      <c r="AC48" s="31">
        <v>1.13088827941326</v>
      </c>
      <c r="AD48" s="31">
        <v>-236.912482165848</v>
      </c>
      <c r="AE48" s="31">
        <v>134.798072313525</v>
      </c>
      <c r="AF48" s="31">
        <v>11.2371244394991</v>
      </c>
      <c r="AG48" s="31">
        <v>-59.4471324837706</v>
      </c>
      <c r="AH48" s="31">
        <v>0.0</v>
      </c>
      <c r="AI48" s="31">
        <v>0.0</v>
      </c>
      <c r="AJ48" s="31">
        <v>1.0</v>
      </c>
      <c r="AK48" s="31">
        <v>0.0</v>
      </c>
      <c r="AL48" s="31">
        <v>47084.0</v>
      </c>
      <c r="AM48" s="31" t="s">
        <v>410</v>
      </c>
      <c r="AN48" s="31">
        <v>8173.37</v>
      </c>
      <c r="AO48" s="31">
        <v>559.295999999999</v>
      </c>
      <c r="AP48" s="31">
        <v>2893.93</v>
      </c>
      <c r="AQ48" s="31">
        <v>0.806734786259515</v>
      </c>
      <c r="AR48" s="31">
        <v>-2.38169762951563</v>
      </c>
      <c r="AS48" s="31" t="s">
        <v>545</v>
      </c>
      <c r="AT48" s="31">
        <v>8142.23</v>
      </c>
      <c r="AU48" s="31">
        <v>588.98923076923</v>
      </c>
      <c r="AV48" s="31">
        <v>1872.57</v>
      </c>
      <c r="AW48" s="31">
        <v>0.685464772601702</v>
      </c>
      <c r="AX48" s="31">
        <v>0.5</v>
      </c>
      <c r="AY48" s="31">
        <v>160.207214989146</v>
      </c>
      <c r="AZ48" s="31">
        <v>4.62340551771608</v>
      </c>
      <c r="BA48" s="31">
        <v>54.9082010958436</v>
      </c>
      <c r="BB48" s="31">
        <v>0.0437252663539921</v>
      </c>
      <c r="BC48" s="31">
        <v>0.545432213482006</v>
      </c>
      <c r="BD48" s="31">
        <v>505.961086854563</v>
      </c>
      <c r="BE48" s="31" t="s">
        <v>546</v>
      </c>
      <c r="BF48" s="31">
        <v>-31.4</v>
      </c>
      <c r="BG48" s="31">
        <v>-31.4</v>
      </c>
      <c r="BH48" s="31">
        <v>1.01676839851113</v>
      </c>
      <c r="BI48" s="31">
        <v>0.674160185943459</v>
      </c>
      <c r="BJ48" s="31">
        <v>0.349143515432446</v>
      </c>
      <c r="BK48" s="31">
        <v>0.977389919568017</v>
      </c>
      <c r="BL48" s="31">
        <v>0.437481849403375</v>
      </c>
      <c r="BM48" s="31">
        <v>-0.0359406059275107</v>
      </c>
      <c r="BN48" s="31">
        <v>1.03594060592751</v>
      </c>
      <c r="BO48" s="31" t="s">
        <v>413</v>
      </c>
      <c r="BP48" s="31" t="s">
        <v>413</v>
      </c>
      <c r="BQ48" s="31" t="s">
        <v>413</v>
      </c>
      <c r="BR48" s="31" t="s">
        <v>413</v>
      </c>
      <c r="BS48" s="31" t="s">
        <v>413</v>
      </c>
      <c r="BT48" s="31" t="s">
        <v>413</v>
      </c>
      <c r="BU48" s="31" t="s">
        <v>413</v>
      </c>
      <c r="BV48" s="31" t="s">
        <v>413</v>
      </c>
      <c r="BW48" s="31" t="s">
        <v>413</v>
      </c>
      <c r="BX48" s="31" t="s">
        <v>413</v>
      </c>
      <c r="BY48" s="31" t="s">
        <v>413</v>
      </c>
      <c r="BZ48" s="31" t="s">
        <v>413</v>
      </c>
      <c r="CA48" s="31" t="s">
        <v>413</v>
      </c>
      <c r="CB48" s="31" t="s">
        <v>413</v>
      </c>
      <c r="CC48" s="31" t="s">
        <v>413</v>
      </c>
      <c r="CD48" s="31" t="s">
        <v>413</v>
      </c>
      <c r="CE48" s="31" t="s">
        <v>413</v>
      </c>
      <c r="CF48" s="31" t="s">
        <v>413</v>
      </c>
      <c r="CG48" s="31" t="s">
        <v>413</v>
      </c>
      <c r="CH48" s="31" t="s">
        <v>413</v>
      </c>
      <c r="CI48" s="31" t="s">
        <v>413</v>
      </c>
      <c r="CJ48" s="31" t="s">
        <v>413</v>
      </c>
      <c r="CK48" s="31" t="s">
        <v>413</v>
      </c>
      <c r="CL48" s="31" t="s">
        <v>413</v>
      </c>
      <c r="CM48" s="31" t="s">
        <v>413</v>
      </c>
      <c r="CN48" s="31" t="s">
        <v>413</v>
      </c>
      <c r="CO48" s="31" t="s">
        <v>413</v>
      </c>
      <c r="CP48" s="31" t="s">
        <v>413</v>
      </c>
      <c r="CQ48" s="31" t="s">
        <v>413</v>
      </c>
      <c r="CR48" s="31" t="s">
        <v>413</v>
      </c>
      <c r="CS48" s="31" t="s">
        <v>413</v>
      </c>
      <c r="CT48" s="31" t="s">
        <v>413</v>
      </c>
      <c r="CU48" s="31" t="s">
        <v>413</v>
      </c>
      <c r="CV48" s="31" t="s">
        <v>413</v>
      </c>
      <c r="CW48" s="31">
        <v>190.045</v>
      </c>
      <c r="CX48" s="31">
        <v>160.207214989146</v>
      </c>
      <c r="CY48" s="31">
        <v>0.8429962113665</v>
      </c>
      <c r="CZ48" s="31">
        <v>0.165382687937346</v>
      </c>
      <c r="DA48" s="31">
        <v>6.0</v>
      </c>
      <c r="DB48" s="31">
        <v>0.5</v>
      </c>
      <c r="DC48" s="31" t="s">
        <v>414</v>
      </c>
      <c r="DD48" s="31">
        <v>2.0</v>
      </c>
      <c r="DE48" s="31">
        <v>1.7548864501E9</v>
      </c>
      <c r="DF48" s="31">
        <v>451.537</v>
      </c>
      <c r="DG48" s="31">
        <v>459.995</v>
      </c>
      <c r="DH48" s="31">
        <v>39.3684</v>
      </c>
      <c r="DI48" s="31">
        <v>33.1763</v>
      </c>
      <c r="DJ48" s="31">
        <v>448.559</v>
      </c>
      <c r="DK48" s="31">
        <v>38.8166</v>
      </c>
      <c r="DL48" s="31">
        <v>500.057</v>
      </c>
      <c r="DM48" s="31">
        <v>100.882</v>
      </c>
      <c r="DN48" s="31">
        <v>0.0997727</v>
      </c>
      <c r="DO48" s="31">
        <v>34.0947</v>
      </c>
      <c r="DP48" s="31">
        <v>33.1903</v>
      </c>
      <c r="DQ48" s="31">
        <v>999.9</v>
      </c>
      <c r="DR48" s="31">
        <v>0.0</v>
      </c>
      <c r="DS48" s="31">
        <v>0.0</v>
      </c>
      <c r="DT48" s="31">
        <v>9008.75</v>
      </c>
      <c r="DU48" s="31">
        <v>0.0</v>
      </c>
      <c r="DV48" s="31">
        <v>400.002</v>
      </c>
      <c r="DW48" s="31">
        <v>190.045</v>
      </c>
      <c r="DX48" s="31">
        <v>0.900057</v>
      </c>
      <c r="DY48" s="31">
        <v>0.0999431</v>
      </c>
      <c r="DZ48" s="31">
        <v>0.0</v>
      </c>
      <c r="EA48" s="31">
        <v>584.245</v>
      </c>
      <c r="EB48" s="31">
        <v>0.0999973</v>
      </c>
      <c r="EC48" s="31">
        <v>1768.76</v>
      </c>
      <c r="ED48" s="31">
        <v>1684.49</v>
      </c>
      <c r="EE48" s="31">
        <v>39.812</v>
      </c>
      <c r="EF48" s="31">
        <v>43.0</v>
      </c>
      <c r="EG48" s="31">
        <v>41.312</v>
      </c>
      <c r="EH48" s="31">
        <v>42.812</v>
      </c>
      <c r="EI48" s="31">
        <v>42.312</v>
      </c>
      <c r="EJ48" s="31">
        <v>170.96</v>
      </c>
      <c r="EK48" s="31">
        <v>18.98</v>
      </c>
      <c r="EL48" s="31">
        <v>0.0</v>
      </c>
      <c r="EM48" s="31">
        <v>140.0</v>
      </c>
      <c r="EN48" s="31">
        <v>0.0</v>
      </c>
      <c r="EO48" s="31">
        <v>588.98923076923</v>
      </c>
      <c r="EP48" s="31">
        <v>-11.1859829312428</v>
      </c>
      <c r="EQ48" s="31">
        <v>-1123.72444438284</v>
      </c>
      <c r="ER48" s="31">
        <v>1861.26692307692</v>
      </c>
      <c r="ES48" s="31">
        <v>15.0</v>
      </c>
      <c r="ET48" s="31">
        <v>1.7548864741E9</v>
      </c>
      <c r="EU48" s="42">
        <v>0.519375</v>
      </c>
      <c r="EV48" s="31">
        <v>1.7548864741E9</v>
      </c>
      <c r="EW48" s="31">
        <v>1.7548765351E9</v>
      </c>
      <c r="EX48" s="31">
        <v>17.0</v>
      </c>
      <c r="EY48" s="31">
        <v>0.036</v>
      </c>
      <c r="EZ48" s="31">
        <v>-0.002</v>
      </c>
      <c r="FA48" s="31">
        <v>2.978</v>
      </c>
      <c r="FB48" s="31">
        <v>0.297</v>
      </c>
      <c r="FC48" s="31">
        <v>460.0</v>
      </c>
      <c r="FD48" s="31">
        <v>20.0</v>
      </c>
      <c r="FE48" s="31">
        <v>0.17</v>
      </c>
      <c r="FF48" s="31">
        <v>0.06</v>
      </c>
      <c r="FG48" s="31">
        <v>100.0</v>
      </c>
      <c r="FH48" s="31">
        <v>100.0</v>
      </c>
      <c r="FI48" s="31">
        <v>2.978</v>
      </c>
      <c r="FJ48" s="31">
        <v>0.5518</v>
      </c>
      <c r="FK48" s="31">
        <v>3.04387494224265</v>
      </c>
      <c r="FL48" s="31">
        <v>-2.2595428698806E-4</v>
      </c>
      <c r="FM48" s="43">
        <v>5.20417301097471E-9</v>
      </c>
      <c r="FN48" s="43">
        <v>1.17243702350096E-12</v>
      </c>
      <c r="FO48" s="31">
        <v>0.551873338452037</v>
      </c>
      <c r="FP48" s="31">
        <v>0.0</v>
      </c>
      <c r="FQ48" s="31">
        <v>0.0</v>
      </c>
      <c r="FR48" s="31">
        <v>0.0</v>
      </c>
      <c r="FS48" s="31">
        <v>1.0</v>
      </c>
      <c r="FT48" s="31">
        <v>2266.0</v>
      </c>
      <c r="FU48" s="31">
        <v>1.0</v>
      </c>
      <c r="FV48" s="31">
        <v>26.0</v>
      </c>
      <c r="FW48" s="31">
        <v>11.2</v>
      </c>
      <c r="FX48" s="31">
        <v>165.2</v>
      </c>
      <c r="FY48" s="31">
        <v>1.12427</v>
      </c>
      <c r="FZ48" s="31">
        <v>2.56714</v>
      </c>
      <c r="GA48" s="31">
        <v>1.59668</v>
      </c>
      <c r="GB48" s="31">
        <v>2.31812</v>
      </c>
      <c r="GC48" s="31">
        <v>1.5979</v>
      </c>
      <c r="GD48" s="31">
        <v>2.29004</v>
      </c>
      <c r="GE48" s="31">
        <v>42.7778</v>
      </c>
      <c r="GF48" s="31">
        <v>14.9288</v>
      </c>
      <c r="GG48" s="31">
        <v>18.0</v>
      </c>
      <c r="GH48" s="31">
        <v>509.915</v>
      </c>
      <c r="GI48" s="31">
        <v>467.052</v>
      </c>
      <c r="GJ48" s="31">
        <v>34.1433</v>
      </c>
      <c r="GK48" s="31">
        <v>34.7421</v>
      </c>
      <c r="GL48" s="31">
        <v>30.0002</v>
      </c>
      <c r="GM48" s="31">
        <v>34.757</v>
      </c>
      <c r="GN48" s="31">
        <v>34.7008</v>
      </c>
      <c r="GO48" s="31">
        <v>22.5515</v>
      </c>
      <c r="GP48" s="31">
        <v>100.0</v>
      </c>
      <c r="GQ48" s="31">
        <v>0.0</v>
      </c>
      <c r="GR48" s="31">
        <v>-999.9</v>
      </c>
      <c r="GS48" s="31">
        <v>460.0</v>
      </c>
      <c r="GT48" s="31">
        <v>15.5881</v>
      </c>
      <c r="GU48" s="31">
        <v>102.564</v>
      </c>
      <c r="GV48" s="31">
        <v>99.8079</v>
      </c>
    </row>
    <row r="49" ht="14.25" customHeight="1">
      <c r="A49" s="41" t="s">
        <v>112</v>
      </c>
      <c r="B49" s="41" t="s">
        <v>66</v>
      </c>
      <c r="C49" s="41" t="s">
        <v>87</v>
      </c>
      <c r="D49" s="31">
        <v>63.0</v>
      </c>
      <c r="E49" s="31">
        <v>1.7548865936E9</v>
      </c>
      <c r="F49" s="31">
        <v>9075.59999990463</v>
      </c>
      <c r="G49" s="31" t="s">
        <v>547</v>
      </c>
      <c r="H49" s="42">
        <v>0.5207523148148148</v>
      </c>
      <c r="I49" s="31" t="s">
        <v>409</v>
      </c>
      <c r="J49" s="31">
        <v>1.7548865936E9</v>
      </c>
      <c r="K49" s="31">
        <v>0.00396627981196409</v>
      </c>
      <c r="L49" s="31">
        <v>3.96627981196409</v>
      </c>
      <c r="M49" s="31">
        <v>5.52599259904836</v>
      </c>
      <c r="N49" s="31">
        <v>451.234992103299</v>
      </c>
      <c r="O49" s="31">
        <v>410.873153728055</v>
      </c>
      <c r="P49" s="31">
        <v>41.4900824100836</v>
      </c>
      <c r="Q49" s="31">
        <v>45.565831787274</v>
      </c>
      <c r="R49" s="31">
        <v>0.301708888132055</v>
      </c>
      <c r="S49" s="31">
        <v>2.75613028666312</v>
      </c>
      <c r="T49" s="31">
        <v>0.284487826126028</v>
      </c>
      <c r="U49" s="31">
        <v>0.179270170973099</v>
      </c>
      <c r="V49" s="31">
        <v>31.4273163955512</v>
      </c>
      <c r="W49" s="31">
        <v>33.2716094498744</v>
      </c>
      <c r="X49" s="31">
        <v>33.2231</v>
      </c>
      <c r="Y49" s="31">
        <v>5.11578447487675</v>
      </c>
      <c r="Z49" s="31">
        <v>69.9212656111847</v>
      </c>
      <c r="AA49" s="31">
        <v>3.7698762611888</v>
      </c>
      <c r="AB49" s="31">
        <v>5.3916018656644</v>
      </c>
      <c r="AC49" s="31">
        <v>1.34590821368795</v>
      </c>
      <c r="AD49" s="31">
        <v>-174.912939707616</v>
      </c>
      <c r="AE49" s="31">
        <v>139.569174306496</v>
      </c>
      <c r="AF49" s="31">
        <v>11.6764956265294</v>
      </c>
      <c r="AG49" s="31">
        <v>7.76004662096076</v>
      </c>
      <c r="AH49" s="31">
        <v>0.0</v>
      </c>
      <c r="AI49" s="31">
        <v>0.0</v>
      </c>
      <c r="AJ49" s="31">
        <v>1.0</v>
      </c>
      <c r="AK49" s="31">
        <v>0.0</v>
      </c>
      <c r="AL49" s="31">
        <v>46841.0</v>
      </c>
      <c r="AM49" s="31" t="s">
        <v>410</v>
      </c>
      <c r="AN49" s="31">
        <v>8173.37</v>
      </c>
      <c r="AO49" s="31">
        <v>559.295999999999</v>
      </c>
      <c r="AP49" s="31">
        <v>2893.93</v>
      </c>
      <c r="AQ49" s="31">
        <v>0.806734786259515</v>
      </c>
      <c r="AR49" s="31">
        <v>-2.38169762951563</v>
      </c>
      <c r="AS49" s="31" t="s">
        <v>548</v>
      </c>
      <c r="AT49" s="31">
        <v>8182.37</v>
      </c>
      <c r="AU49" s="31">
        <v>777.51923076923</v>
      </c>
      <c r="AV49" s="31">
        <v>2305.27</v>
      </c>
      <c r="AW49" s="31">
        <v>0.66272096944426</v>
      </c>
      <c r="AX49" s="31">
        <v>0.5</v>
      </c>
      <c r="AY49" s="31">
        <v>160.195143002876</v>
      </c>
      <c r="AZ49" s="31">
        <v>5.52599259904836</v>
      </c>
      <c r="BA49" s="31">
        <v>53.082340235564</v>
      </c>
      <c r="BB49" s="31">
        <v>0.0493628588253891</v>
      </c>
      <c r="BC49" s="31">
        <v>0.255354036620439</v>
      </c>
      <c r="BD49" s="31">
        <v>532.992270494357</v>
      </c>
      <c r="BE49" s="31" t="s">
        <v>549</v>
      </c>
      <c r="BF49" s="31">
        <v>-934.6</v>
      </c>
      <c r="BG49" s="31">
        <v>-934.6</v>
      </c>
      <c r="BH49" s="31">
        <v>1.40541888802613</v>
      </c>
      <c r="BI49" s="31">
        <v>0.471546935287764</v>
      </c>
      <c r="BJ49" s="31">
        <v>0.153756141391082</v>
      </c>
      <c r="BK49" s="31">
        <v>0.875013470550402</v>
      </c>
      <c r="BL49" s="31">
        <v>0.252142305817528</v>
      </c>
      <c r="BM49" s="31">
        <v>-0.566812688715023</v>
      </c>
      <c r="BN49" s="31">
        <v>1.56681268871502</v>
      </c>
      <c r="BO49" s="31" t="s">
        <v>413</v>
      </c>
      <c r="BP49" s="31" t="s">
        <v>413</v>
      </c>
      <c r="BQ49" s="31" t="s">
        <v>413</v>
      </c>
      <c r="BR49" s="31" t="s">
        <v>413</v>
      </c>
      <c r="BS49" s="31" t="s">
        <v>413</v>
      </c>
      <c r="BT49" s="31" t="s">
        <v>413</v>
      </c>
      <c r="BU49" s="31" t="s">
        <v>413</v>
      </c>
      <c r="BV49" s="31" t="s">
        <v>413</v>
      </c>
      <c r="BW49" s="31" t="s">
        <v>413</v>
      </c>
      <c r="BX49" s="31" t="s">
        <v>413</v>
      </c>
      <c r="BY49" s="31" t="s">
        <v>413</v>
      </c>
      <c r="BZ49" s="31" t="s">
        <v>413</v>
      </c>
      <c r="CA49" s="31" t="s">
        <v>413</v>
      </c>
      <c r="CB49" s="31" t="s">
        <v>413</v>
      </c>
      <c r="CC49" s="31" t="s">
        <v>413</v>
      </c>
      <c r="CD49" s="31" t="s">
        <v>413</v>
      </c>
      <c r="CE49" s="31" t="s">
        <v>413</v>
      </c>
      <c r="CF49" s="31" t="s">
        <v>413</v>
      </c>
      <c r="CG49" s="31" t="s">
        <v>413</v>
      </c>
      <c r="CH49" s="31" t="s">
        <v>413</v>
      </c>
      <c r="CI49" s="31" t="s">
        <v>413</v>
      </c>
      <c r="CJ49" s="31" t="s">
        <v>413</v>
      </c>
      <c r="CK49" s="31" t="s">
        <v>413</v>
      </c>
      <c r="CL49" s="31" t="s">
        <v>413</v>
      </c>
      <c r="CM49" s="31" t="s">
        <v>413</v>
      </c>
      <c r="CN49" s="31" t="s">
        <v>413</v>
      </c>
      <c r="CO49" s="31" t="s">
        <v>413</v>
      </c>
      <c r="CP49" s="31" t="s">
        <v>413</v>
      </c>
      <c r="CQ49" s="31" t="s">
        <v>413</v>
      </c>
      <c r="CR49" s="31" t="s">
        <v>413</v>
      </c>
      <c r="CS49" s="31" t="s">
        <v>413</v>
      </c>
      <c r="CT49" s="31" t="s">
        <v>413</v>
      </c>
      <c r="CU49" s="31" t="s">
        <v>413</v>
      </c>
      <c r="CV49" s="31" t="s">
        <v>413</v>
      </c>
      <c r="CW49" s="31">
        <v>190.031</v>
      </c>
      <c r="CX49" s="31">
        <v>160.195143002876</v>
      </c>
      <c r="CY49" s="31">
        <v>0.842994790338819</v>
      </c>
      <c r="CZ49" s="31">
        <v>0.165379945353922</v>
      </c>
      <c r="DA49" s="31">
        <v>6.0</v>
      </c>
      <c r="DB49" s="31">
        <v>0.5</v>
      </c>
      <c r="DC49" s="31" t="s">
        <v>414</v>
      </c>
      <c r="DD49" s="31">
        <v>2.0</v>
      </c>
      <c r="DE49" s="31">
        <v>1.7548865936E9</v>
      </c>
      <c r="DF49" s="31">
        <v>451.235</v>
      </c>
      <c r="DG49" s="31">
        <v>460.013</v>
      </c>
      <c r="DH49" s="31">
        <v>37.3328</v>
      </c>
      <c r="DI49" s="31">
        <v>32.7514</v>
      </c>
      <c r="DJ49" s="31">
        <v>448.255</v>
      </c>
      <c r="DK49" s="31">
        <v>36.7809</v>
      </c>
      <c r="DL49" s="31">
        <v>500.049</v>
      </c>
      <c r="DM49" s="31">
        <v>100.88</v>
      </c>
      <c r="DN49" s="31">
        <v>0.100271</v>
      </c>
      <c r="DO49" s="31">
        <v>34.1624</v>
      </c>
      <c r="DP49" s="31">
        <v>33.2231</v>
      </c>
      <c r="DQ49" s="31">
        <v>999.9</v>
      </c>
      <c r="DR49" s="31">
        <v>0.0</v>
      </c>
      <c r="DS49" s="31">
        <v>0.0</v>
      </c>
      <c r="DT49" s="31">
        <v>8963.75</v>
      </c>
      <c r="DU49" s="31">
        <v>0.0</v>
      </c>
      <c r="DV49" s="31">
        <v>566.485</v>
      </c>
      <c r="DW49" s="31">
        <v>190.031</v>
      </c>
      <c r="DX49" s="31">
        <v>0.90011</v>
      </c>
      <c r="DY49" s="31">
        <v>0.0998905</v>
      </c>
      <c r="DZ49" s="31">
        <v>0.0</v>
      </c>
      <c r="EA49" s="31">
        <v>773.53</v>
      </c>
      <c r="EB49" s="31">
        <v>0.0999973</v>
      </c>
      <c r="EC49" s="31">
        <v>2451.37</v>
      </c>
      <c r="ED49" s="31">
        <v>1684.4</v>
      </c>
      <c r="EE49" s="31">
        <v>39.687</v>
      </c>
      <c r="EF49" s="31">
        <v>42.875</v>
      </c>
      <c r="EG49" s="31">
        <v>41.187</v>
      </c>
      <c r="EH49" s="31">
        <v>42.625</v>
      </c>
      <c r="EI49" s="31">
        <v>42.25</v>
      </c>
      <c r="EJ49" s="31">
        <v>170.96</v>
      </c>
      <c r="EK49" s="31">
        <v>18.97</v>
      </c>
      <c r="EL49" s="31">
        <v>0.0</v>
      </c>
      <c r="EM49" s="31">
        <v>141.0</v>
      </c>
      <c r="EN49" s="31">
        <v>0.0</v>
      </c>
      <c r="EO49" s="31">
        <v>777.51923076923</v>
      </c>
      <c r="EP49" s="31">
        <v>-21.2505982007416</v>
      </c>
      <c r="EQ49" s="31">
        <v>-543.917607266985</v>
      </c>
      <c r="ER49" s="31">
        <v>2516.975</v>
      </c>
      <c r="ES49" s="31">
        <v>15.0</v>
      </c>
      <c r="ET49" s="31">
        <v>1.7548864741E9</v>
      </c>
      <c r="EU49" s="42">
        <v>0.519375</v>
      </c>
      <c r="EV49" s="31">
        <v>1.7548864741E9</v>
      </c>
      <c r="EW49" s="31">
        <v>1.7548765351E9</v>
      </c>
      <c r="EX49" s="31">
        <v>17.0</v>
      </c>
      <c r="EY49" s="31">
        <v>0.036</v>
      </c>
      <c r="EZ49" s="31">
        <v>-0.002</v>
      </c>
      <c r="FA49" s="31">
        <v>2.978</v>
      </c>
      <c r="FB49" s="31">
        <v>0.297</v>
      </c>
      <c r="FC49" s="31">
        <v>460.0</v>
      </c>
      <c r="FD49" s="31">
        <v>20.0</v>
      </c>
      <c r="FE49" s="31">
        <v>0.17</v>
      </c>
      <c r="FF49" s="31">
        <v>0.06</v>
      </c>
      <c r="FG49" s="31">
        <v>100.0</v>
      </c>
      <c r="FH49" s="31">
        <v>100.0</v>
      </c>
      <c r="FI49" s="31">
        <v>2.98</v>
      </c>
      <c r="FJ49" s="31">
        <v>0.5519</v>
      </c>
      <c r="FK49" s="31">
        <v>3.0799258240917</v>
      </c>
      <c r="FL49" s="31">
        <v>-2.2595428698806E-4</v>
      </c>
      <c r="FM49" s="43">
        <v>5.20417301097471E-9</v>
      </c>
      <c r="FN49" s="43">
        <v>1.17243702350096E-12</v>
      </c>
      <c r="FO49" s="31">
        <v>0.551873338452037</v>
      </c>
      <c r="FP49" s="31">
        <v>0.0</v>
      </c>
      <c r="FQ49" s="31">
        <v>0.0</v>
      </c>
      <c r="FR49" s="31">
        <v>0.0</v>
      </c>
      <c r="FS49" s="31">
        <v>1.0</v>
      </c>
      <c r="FT49" s="31">
        <v>2266.0</v>
      </c>
      <c r="FU49" s="31">
        <v>1.0</v>
      </c>
      <c r="FV49" s="31">
        <v>26.0</v>
      </c>
      <c r="FW49" s="31">
        <v>2.0</v>
      </c>
      <c r="FX49" s="31">
        <v>167.6</v>
      </c>
      <c r="FY49" s="31">
        <v>1.12427</v>
      </c>
      <c r="FZ49" s="31">
        <v>2.56836</v>
      </c>
      <c r="GA49" s="31">
        <v>1.59668</v>
      </c>
      <c r="GB49" s="31">
        <v>2.31689</v>
      </c>
      <c r="GC49" s="31">
        <v>1.5979</v>
      </c>
      <c r="GD49" s="31">
        <v>2.36328</v>
      </c>
      <c r="GE49" s="31">
        <v>42.5637</v>
      </c>
      <c r="GF49" s="31">
        <v>14.9201</v>
      </c>
      <c r="GG49" s="31">
        <v>18.0</v>
      </c>
      <c r="GH49" s="31">
        <v>507.494</v>
      </c>
      <c r="GI49" s="31">
        <v>467.687</v>
      </c>
      <c r="GJ49" s="31">
        <v>34.1685</v>
      </c>
      <c r="GK49" s="31">
        <v>34.8181</v>
      </c>
      <c r="GL49" s="31">
        <v>30.0003</v>
      </c>
      <c r="GM49" s="31">
        <v>34.8198</v>
      </c>
      <c r="GN49" s="31">
        <v>34.7615</v>
      </c>
      <c r="GO49" s="31">
        <v>22.558</v>
      </c>
      <c r="GP49" s="31">
        <v>100.0</v>
      </c>
      <c r="GQ49" s="31">
        <v>0.0</v>
      </c>
      <c r="GR49" s="31">
        <v>-999.9</v>
      </c>
      <c r="GS49" s="31">
        <v>460.0</v>
      </c>
      <c r="GT49" s="31">
        <v>15.5881</v>
      </c>
      <c r="GU49" s="31">
        <v>102.553</v>
      </c>
      <c r="GV49" s="31">
        <v>99.8009</v>
      </c>
    </row>
    <row r="50" ht="14.25" customHeight="1">
      <c r="A50" s="41" t="s">
        <v>112</v>
      </c>
      <c r="B50" s="41" t="s">
        <v>67</v>
      </c>
      <c r="C50" s="41" t="s">
        <v>86</v>
      </c>
      <c r="D50" s="31">
        <v>40.0</v>
      </c>
      <c r="E50" s="31">
        <v>1.7548833541E9</v>
      </c>
      <c r="F50" s="31">
        <v>5836.09999990463</v>
      </c>
      <c r="G50" s="31" t="s">
        <v>550</v>
      </c>
      <c r="H50" s="42">
        <v>0.4832638888888889</v>
      </c>
      <c r="I50" s="31" t="s">
        <v>409</v>
      </c>
      <c r="J50" s="31">
        <v>1.7548833541E9</v>
      </c>
      <c r="K50" s="31">
        <v>0.0024101227903742</v>
      </c>
      <c r="L50" s="31">
        <v>2.4101227903742</v>
      </c>
      <c r="M50" s="31">
        <v>2.07008443339961</v>
      </c>
      <c r="N50" s="31">
        <v>456.196997059051</v>
      </c>
      <c r="O50" s="31">
        <v>417.393610746248</v>
      </c>
      <c r="P50" s="31">
        <v>42.161382745727</v>
      </c>
      <c r="Q50" s="31">
        <v>46.0809550152675</v>
      </c>
      <c r="R50" s="31">
        <v>0.131677324202278</v>
      </c>
      <c r="S50" s="31">
        <v>2.76418090946731</v>
      </c>
      <c r="T50" s="31">
        <v>0.128289189059052</v>
      </c>
      <c r="U50" s="31">
        <v>0.0804778924419156</v>
      </c>
      <c r="V50" s="31">
        <v>31.4123490156305</v>
      </c>
      <c r="W50" s="31">
        <v>34.7140705566812</v>
      </c>
      <c r="X50" s="31">
        <v>34.6996</v>
      </c>
      <c r="Y50" s="31">
        <v>5.55508633773242</v>
      </c>
      <c r="Z50" s="31">
        <v>65.6511365674062</v>
      </c>
      <c r="AA50" s="31">
        <v>3.744784065424</v>
      </c>
      <c r="AB50" s="31">
        <v>5.7040658566194</v>
      </c>
      <c r="AC50" s="31">
        <v>1.81030227230842</v>
      </c>
      <c r="AD50" s="31">
        <v>-106.286415055502</v>
      </c>
      <c r="AE50" s="31">
        <v>71.1880583730381</v>
      </c>
      <c r="AF50" s="31">
        <v>6.01096102528217</v>
      </c>
      <c r="AG50" s="31">
        <v>2.32495335844821</v>
      </c>
      <c r="AH50" s="31">
        <v>0.0</v>
      </c>
      <c r="AI50" s="31">
        <v>0.0</v>
      </c>
      <c r="AJ50" s="31">
        <v>1.0</v>
      </c>
      <c r="AK50" s="31">
        <v>0.0</v>
      </c>
      <c r="AL50" s="31">
        <v>46906.0</v>
      </c>
      <c r="AM50" s="31" t="s">
        <v>410</v>
      </c>
      <c r="AN50" s="31">
        <v>8173.37</v>
      </c>
      <c r="AO50" s="31">
        <v>559.295999999999</v>
      </c>
      <c r="AP50" s="31">
        <v>2893.93</v>
      </c>
      <c r="AQ50" s="31">
        <v>0.806734786259515</v>
      </c>
      <c r="AR50" s="31">
        <v>-2.38169762951563</v>
      </c>
      <c r="AS50" s="31" t="s">
        <v>551</v>
      </c>
      <c r="AT50" s="31">
        <v>8143.59</v>
      </c>
      <c r="AU50" s="31">
        <v>338.851599999999</v>
      </c>
      <c r="AV50" s="31">
        <v>972.79</v>
      </c>
      <c r="AW50" s="31">
        <v>0.651670350229751</v>
      </c>
      <c r="AX50" s="31">
        <v>0.5</v>
      </c>
      <c r="AY50" s="31">
        <v>160.110900008098</v>
      </c>
      <c r="AZ50" s="31">
        <v>2.07008443339961</v>
      </c>
      <c r="BA50" s="31">
        <v>52.1697631419392</v>
      </c>
      <c r="BB50" s="31">
        <v>0.0278043659906356</v>
      </c>
      <c r="BC50" s="31">
        <v>1.97487638647601</v>
      </c>
      <c r="BD50" s="31">
        <v>404.795655757641</v>
      </c>
      <c r="BE50" s="31" t="s">
        <v>552</v>
      </c>
      <c r="BF50" s="31">
        <v>-147.13</v>
      </c>
      <c r="BG50" s="31">
        <v>-147.13</v>
      </c>
      <c r="BH50" s="31">
        <v>1.15124538697971</v>
      </c>
      <c r="BI50" s="31">
        <v>0.566056861204371</v>
      </c>
      <c r="BJ50" s="31">
        <v>0.631733671811802</v>
      </c>
      <c r="BK50" s="31">
        <v>1.53312599457307</v>
      </c>
      <c r="BL50" s="31">
        <v>0.822887013553302</v>
      </c>
      <c r="BM50" s="31">
        <v>-0.245782950380046</v>
      </c>
      <c r="BN50" s="31">
        <v>1.24578295038004</v>
      </c>
      <c r="BO50" s="31" t="s">
        <v>413</v>
      </c>
      <c r="BP50" s="31" t="s">
        <v>413</v>
      </c>
      <c r="BQ50" s="31" t="s">
        <v>413</v>
      </c>
      <c r="BR50" s="31" t="s">
        <v>413</v>
      </c>
      <c r="BS50" s="31" t="s">
        <v>413</v>
      </c>
      <c r="BT50" s="31" t="s">
        <v>413</v>
      </c>
      <c r="BU50" s="31" t="s">
        <v>413</v>
      </c>
      <c r="BV50" s="31" t="s">
        <v>413</v>
      </c>
      <c r="BW50" s="31" t="s">
        <v>413</v>
      </c>
      <c r="BX50" s="31" t="s">
        <v>413</v>
      </c>
      <c r="BY50" s="31" t="s">
        <v>413</v>
      </c>
      <c r="BZ50" s="31" t="s">
        <v>413</v>
      </c>
      <c r="CA50" s="31" t="s">
        <v>413</v>
      </c>
      <c r="CB50" s="31" t="s">
        <v>413</v>
      </c>
      <c r="CC50" s="31" t="s">
        <v>413</v>
      </c>
      <c r="CD50" s="31" t="s">
        <v>413</v>
      </c>
      <c r="CE50" s="31" t="s">
        <v>413</v>
      </c>
      <c r="CF50" s="31" t="s">
        <v>413</v>
      </c>
      <c r="CG50" s="31" t="s">
        <v>413</v>
      </c>
      <c r="CH50" s="31" t="s">
        <v>413</v>
      </c>
      <c r="CI50" s="31" t="s">
        <v>413</v>
      </c>
      <c r="CJ50" s="31" t="s">
        <v>413</v>
      </c>
      <c r="CK50" s="31" t="s">
        <v>413</v>
      </c>
      <c r="CL50" s="31" t="s">
        <v>413</v>
      </c>
      <c r="CM50" s="31" t="s">
        <v>413</v>
      </c>
      <c r="CN50" s="31" t="s">
        <v>413</v>
      </c>
      <c r="CO50" s="31" t="s">
        <v>413</v>
      </c>
      <c r="CP50" s="31" t="s">
        <v>413</v>
      </c>
      <c r="CQ50" s="31" t="s">
        <v>413</v>
      </c>
      <c r="CR50" s="31" t="s">
        <v>413</v>
      </c>
      <c r="CS50" s="31" t="s">
        <v>413</v>
      </c>
      <c r="CT50" s="31" t="s">
        <v>413</v>
      </c>
      <c r="CU50" s="31" t="s">
        <v>413</v>
      </c>
      <c r="CV50" s="31" t="s">
        <v>413</v>
      </c>
      <c r="CW50" s="31">
        <v>189.93</v>
      </c>
      <c r="CX50" s="31">
        <v>160.110900008098</v>
      </c>
      <c r="CY50" s="31">
        <v>0.84299952618385</v>
      </c>
      <c r="CZ50" s="31">
        <v>0.165389085534831</v>
      </c>
      <c r="DA50" s="31">
        <v>6.0</v>
      </c>
      <c r="DB50" s="31">
        <v>0.5</v>
      </c>
      <c r="DC50" s="31" t="s">
        <v>414</v>
      </c>
      <c r="DD50" s="31">
        <v>2.0</v>
      </c>
      <c r="DE50" s="31">
        <v>1.7548833541E9</v>
      </c>
      <c r="DF50" s="31">
        <v>456.197</v>
      </c>
      <c r="DG50" s="31">
        <v>460.001</v>
      </c>
      <c r="DH50" s="31">
        <v>37.073</v>
      </c>
      <c r="DI50" s="31">
        <v>34.2877</v>
      </c>
      <c r="DJ50" s="31">
        <v>453.304</v>
      </c>
      <c r="DK50" s="31">
        <v>36.5212</v>
      </c>
      <c r="DL50" s="31">
        <v>499.933</v>
      </c>
      <c r="DM50" s="31">
        <v>100.911</v>
      </c>
      <c r="DN50" s="31">
        <v>0.100088</v>
      </c>
      <c r="DO50" s="31">
        <v>35.1773</v>
      </c>
      <c r="DP50" s="31">
        <v>34.6996</v>
      </c>
      <c r="DQ50" s="31">
        <v>999.9</v>
      </c>
      <c r="DR50" s="31">
        <v>0.0</v>
      </c>
      <c r="DS50" s="31">
        <v>0.0</v>
      </c>
      <c r="DT50" s="31">
        <v>9003.75</v>
      </c>
      <c r="DU50" s="31">
        <v>0.0</v>
      </c>
      <c r="DV50" s="31">
        <v>247.889</v>
      </c>
      <c r="DW50" s="31">
        <v>189.93</v>
      </c>
      <c r="DX50" s="31">
        <v>0.899973</v>
      </c>
      <c r="DY50" s="31">
        <v>0.100027</v>
      </c>
      <c r="DZ50" s="31">
        <v>0.0</v>
      </c>
      <c r="EA50" s="31">
        <v>340.81</v>
      </c>
      <c r="EB50" s="31">
        <v>0.0999973</v>
      </c>
      <c r="EC50" s="31">
        <v>1141.65</v>
      </c>
      <c r="ED50" s="31">
        <v>1683.42</v>
      </c>
      <c r="EE50" s="31">
        <v>40.187</v>
      </c>
      <c r="EF50" s="31">
        <v>43.312</v>
      </c>
      <c r="EG50" s="31">
        <v>41.687</v>
      </c>
      <c r="EH50" s="31">
        <v>43.0</v>
      </c>
      <c r="EI50" s="31">
        <v>42.812</v>
      </c>
      <c r="EJ50" s="31">
        <v>170.84</v>
      </c>
      <c r="EK50" s="31">
        <v>18.99</v>
      </c>
      <c r="EL50" s="31">
        <v>0.0</v>
      </c>
      <c r="EM50" s="31">
        <v>124.799999952316</v>
      </c>
      <c r="EN50" s="31">
        <v>0.0</v>
      </c>
      <c r="EO50" s="31">
        <v>338.851599999999</v>
      </c>
      <c r="EP50" s="31">
        <v>1.04653852909889</v>
      </c>
      <c r="EQ50" s="31">
        <v>-389.136923422824</v>
      </c>
      <c r="ER50" s="31">
        <v>1157.8884</v>
      </c>
      <c r="ES50" s="31">
        <v>15.0</v>
      </c>
      <c r="ET50" s="31">
        <v>1.7548829791E9</v>
      </c>
      <c r="EU50" s="42">
        <v>0.4789236111111111</v>
      </c>
      <c r="EV50" s="31">
        <v>1.7548829791E9</v>
      </c>
      <c r="EW50" s="31">
        <v>1.7548765351E9</v>
      </c>
      <c r="EX50" s="31">
        <v>12.0</v>
      </c>
      <c r="EY50" s="31">
        <v>0.124</v>
      </c>
      <c r="EZ50" s="31">
        <v>-0.002</v>
      </c>
      <c r="FA50" s="31">
        <v>2.892</v>
      </c>
      <c r="FB50" s="31">
        <v>0.297</v>
      </c>
      <c r="FC50" s="31">
        <v>460.0</v>
      </c>
      <c r="FD50" s="31">
        <v>20.0</v>
      </c>
      <c r="FE50" s="31">
        <v>0.26</v>
      </c>
      <c r="FF50" s="31">
        <v>0.06</v>
      </c>
      <c r="FG50" s="31">
        <v>100.0</v>
      </c>
      <c r="FH50" s="31">
        <v>100.0</v>
      </c>
      <c r="FI50" s="31">
        <v>2.893</v>
      </c>
      <c r="FJ50" s="31">
        <v>0.5518</v>
      </c>
      <c r="FK50" s="31">
        <v>2.99439367046637</v>
      </c>
      <c r="FL50" s="31">
        <v>-2.2595428698806E-4</v>
      </c>
      <c r="FM50" s="43">
        <v>5.20417301097471E-9</v>
      </c>
      <c r="FN50" s="43">
        <v>1.17243702350096E-12</v>
      </c>
      <c r="FO50" s="31">
        <v>0.551873338452037</v>
      </c>
      <c r="FP50" s="31">
        <v>0.0</v>
      </c>
      <c r="FQ50" s="31">
        <v>0.0</v>
      </c>
      <c r="FR50" s="31">
        <v>0.0</v>
      </c>
      <c r="FS50" s="31">
        <v>1.0</v>
      </c>
      <c r="FT50" s="31">
        <v>2266.0</v>
      </c>
      <c r="FU50" s="31">
        <v>1.0</v>
      </c>
      <c r="FV50" s="31">
        <v>26.0</v>
      </c>
      <c r="FW50" s="31">
        <v>6.2</v>
      </c>
      <c r="FX50" s="31">
        <v>113.7</v>
      </c>
      <c r="FY50" s="31">
        <v>1.12427</v>
      </c>
      <c r="FZ50" s="31">
        <v>2.56104</v>
      </c>
      <c r="GA50" s="31">
        <v>1.59668</v>
      </c>
      <c r="GB50" s="31">
        <v>2.31689</v>
      </c>
      <c r="GC50" s="31">
        <v>1.5979</v>
      </c>
      <c r="GD50" s="31">
        <v>2.33887</v>
      </c>
      <c r="GE50" s="31">
        <v>43.7269</v>
      </c>
      <c r="GF50" s="31">
        <v>15.3404</v>
      </c>
      <c r="GG50" s="31">
        <v>18.0</v>
      </c>
      <c r="GH50" s="31">
        <v>507.953</v>
      </c>
      <c r="GI50" s="31">
        <v>465.867</v>
      </c>
      <c r="GJ50" s="31">
        <v>35.302</v>
      </c>
      <c r="GK50" s="31">
        <v>35.426</v>
      </c>
      <c r="GL50" s="31">
        <v>29.999</v>
      </c>
      <c r="GM50" s="31">
        <v>35.5053</v>
      </c>
      <c r="GN50" s="31">
        <v>35.449</v>
      </c>
      <c r="GO50" s="31">
        <v>22.5613</v>
      </c>
      <c r="GP50" s="31">
        <v>100.0</v>
      </c>
      <c r="GQ50" s="31">
        <v>0.0</v>
      </c>
      <c r="GR50" s="31">
        <v>-999.9</v>
      </c>
      <c r="GS50" s="31">
        <v>460.0</v>
      </c>
      <c r="GT50" s="31">
        <v>0.0</v>
      </c>
      <c r="GU50" s="31">
        <v>102.562</v>
      </c>
      <c r="GV50" s="31">
        <v>99.7173</v>
      </c>
    </row>
    <row r="51" ht="14.25" customHeight="1">
      <c r="A51" s="41" t="s">
        <v>112</v>
      </c>
      <c r="B51" s="41" t="s">
        <v>67</v>
      </c>
      <c r="C51" s="41" t="s">
        <v>87</v>
      </c>
      <c r="D51" s="31">
        <v>41.0</v>
      </c>
      <c r="E51" s="31">
        <v>1.7548834896E9</v>
      </c>
      <c r="F51" s="31">
        <v>5971.59999990463</v>
      </c>
      <c r="G51" s="31" t="s">
        <v>553</v>
      </c>
      <c r="H51" s="42">
        <v>0.4848263888888889</v>
      </c>
      <c r="I51" s="31" t="s">
        <v>409</v>
      </c>
      <c r="J51" s="31">
        <v>1.7548834896E9</v>
      </c>
      <c r="K51" s="31">
        <v>0.00396076427311931</v>
      </c>
      <c r="L51" s="31">
        <v>3.96076427311931</v>
      </c>
      <c r="M51" s="31">
        <v>4.24292663719602</v>
      </c>
      <c r="N51" s="31">
        <v>452.812993959254</v>
      </c>
      <c r="O51" s="31">
        <v>421.69787531312</v>
      </c>
      <c r="P51" s="31">
        <v>42.593051592534</v>
      </c>
      <c r="Q51" s="31">
        <v>45.7357941373442</v>
      </c>
      <c r="R51" s="31">
        <v>0.324330841540426</v>
      </c>
      <c r="S51" s="31">
        <v>2.76087278082384</v>
      </c>
      <c r="T51" s="31">
        <v>0.30455329913492</v>
      </c>
      <c r="U51" s="31">
        <v>0.192022161601902</v>
      </c>
      <c r="V51" s="31">
        <v>31.4314428785043</v>
      </c>
      <c r="W51" s="31">
        <v>33.7764915150427</v>
      </c>
      <c r="X51" s="31">
        <v>33.4254</v>
      </c>
      <c r="Y51" s="31">
        <v>5.17412766994304</v>
      </c>
      <c r="Z51" s="31">
        <v>70.6999696807725</v>
      </c>
      <c r="AA51" s="31">
        <v>3.9196915306836</v>
      </c>
      <c r="AB51" s="31">
        <v>5.54412052562675</v>
      </c>
      <c r="AC51" s="31">
        <v>1.25443613925944</v>
      </c>
      <c r="AD51" s="31">
        <v>-174.669704444561</v>
      </c>
      <c r="AE51" s="31">
        <v>184.358393123417</v>
      </c>
      <c r="AF51" s="31">
        <v>15.4502072507814</v>
      </c>
      <c r="AG51" s="31">
        <v>56.570338808141</v>
      </c>
      <c r="AH51" s="31">
        <v>0.0</v>
      </c>
      <c r="AI51" s="31">
        <v>0.0</v>
      </c>
      <c r="AJ51" s="31">
        <v>1.0</v>
      </c>
      <c r="AK51" s="31">
        <v>0.0</v>
      </c>
      <c r="AL51" s="31">
        <v>46894.0</v>
      </c>
      <c r="AM51" s="31" t="s">
        <v>410</v>
      </c>
      <c r="AN51" s="31">
        <v>8173.37</v>
      </c>
      <c r="AO51" s="31">
        <v>559.295999999999</v>
      </c>
      <c r="AP51" s="31">
        <v>2893.93</v>
      </c>
      <c r="AQ51" s="31">
        <v>0.806734786259515</v>
      </c>
      <c r="AR51" s="31">
        <v>-2.38169762951563</v>
      </c>
      <c r="AS51" s="31" t="s">
        <v>554</v>
      </c>
      <c r="AT51" s="31">
        <v>8199.18</v>
      </c>
      <c r="AU51" s="31">
        <v>509.437</v>
      </c>
      <c r="AV51" s="31">
        <v>1697.15</v>
      </c>
      <c r="AW51" s="31">
        <v>0.699827946852075</v>
      </c>
      <c r="AX51" s="31">
        <v>0.5</v>
      </c>
      <c r="AY51" s="31">
        <v>160.216971025131</v>
      </c>
      <c r="AZ51" s="31">
        <v>4.24292663719602</v>
      </c>
      <c r="BA51" s="31">
        <v>56.0621569416882</v>
      </c>
      <c r="BB51" s="31">
        <v>0.0413478311587385</v>
      </c>
      <c r="BC51" s="31">
        <v>0.705170432784373</v>
      </c>
      <c r="BD51" s="31">
        <v>492.214578319627</v>
      </c>
      <c r="BE51" s="31" t="s">
        <v>555</v>
      </c>
      <c r="BF51" s="31">
        <v>-349.87</v>
      </c>
      <c r="BG51" s="31">
        <v>-349.87</v>
      </c>
      <c r="BH51" s="31">
        <v>1.2061514892614</v>
      </c>
      <c r="BI51" s="31">
        <v>0.580215630526326</v>
      </c>
      <c r="BJ51" s="31">
        <v>0.368943831308958</v>
      </c>
      <c r="BK51" s="31">
        <v>1.04381845122484</v>
      </c>
      <c r="BL51" s="31">
        <v>0.512619965270787</v>
      </c>
      <c r="BM51" s="31">
        <v>-0.398479189089613</v>
      </c>
      <c r="BN51" s="31">
        <v>1.39847918908961</v>
      </c>
      <c r="BO51" s="31" t="s">
        <v>413</v>
      </c>
      <c r="BP51" s="31" t="s">
        <v>413</v>
      </c>
      <c r="BQ51" s="31" t="s">
        <v>413</v>
      </c>
      <c r="BR51" s="31" t="s">
        <v>413</v>
      </c>
      <c r="BS51" s="31" t="s">
        <v>413</v>
      </c>
      <c r="BT51" s="31" t="s">
        <v>413</v>
      </c>
      <c r="BU51" s="31" t="s">
        <v>413</v>
      </c>
      <c r="BV51" s="31" t="s">
        <v>413</v>
      </c>
      <c r="BW51" s="31" t="s">
        <v>413</v>
      </c>
      <c r="BX51" s="31" t="s">
        <v>413</v>
      </c>
      <c r="BY51" s="31" t="s">
        <v>413</v>
      </c>
      <c r="BZ51" s="31" t="s">
        <v>413</v>
      </c>
      <c r="CA51" s="31" t="s">
        <v>413</v>
      </c>
      <c r="CB51" s="31" t="s">
        <v>413</v>
      </c>
      <c r="CC51" s="31" t="s">
        <v>413</v>
      </c>
      <c r="CD51" s="31" t="s">
        <v>413</v>
      </c>
      <c r="CE51" s="31" t="s">
        <v>413</v>
      </c>
      <c r="CF51" s="31" t="s">
        <v>413</v>
      </c>
      <c r="CG51" s="31" t="s">
        <v>413</v>
      </c>
      <c r="CH51" s="31" t="s">
        <v>413</v>
      </c>
      <c r="CI51" s="31" t="s">
        <v>413</v>
      </c>
      <c r="CJ51" s="31" t="s">
        <v>413</v>
      </c>
      <c r="CK51" s="31" t="s">
        <v>413</v>
      </c>
      <c r="CL51" s="31" t="s">
        <v>413</v>
      </c>
      <c r="CM51" s="31" t="s">
        <v>413</v>
      </c>
      <c r="CN51" s="31" t="s">
        <v>413</v>
      </c>
      <c r="CO51" s="31" t="s">
        <v>413</v>
      </c>
      <c r="CP51" s="31" t="s">
        <v>413</v>
      </c>
      <c r="CQ51" s="31" t="s">
        <v>413</v>
      </c>
      <c r="CR51" s="31" t="s">
        <v>413</v>
      </c>
      <c r="CS51" s="31" t="s">
        <v>413</v>
      </c>
      <c r="CT51" s="31" t="s">
        <v>413</v>
      </c>
      <c r="CU51" s="31" t="s">
        <v>413</v>
      </c>
      <c r="CV51" s="31" t="s">
        <v>413</v>
      </c>
      <c r="CW51" s="31">
        <v>190.057</v>
      </c>
      <c r="CX51" s="31">
        <v>160.216971025131</v>
      </c>
      <c r="CY51" s="31">
        <v>0.842994317626458</v>
      </c>
      <c r="CZ51" s="31">
        <v>0.165379033019064</v>
      </c>
      <c r="DA51" s="31">
        <v>6.0</v>
      </c>
      <c r="DB51" s="31">
        <v>0.5</v>
      </c>
      <c r="DC51" s="31" t="s">
        <v>414</v>
      </c>
      <c r="DD51" s="31">
        <v>2.0</v>
      </c>
      <c r="DE51" s="31">
        <v>1.7548834896E9</v>
      </c>
      <c r="DF51" s="31">
        <v>452.813</v>
      </c>
      <c r="DG51" s="31">
        <v>460.055</v>
      </c>
      <c r="DH51" s="31">
        <v>38.8074</v>
      </c>
      <c r="DI51" s="31">
        <v>34.24</v>
      </c>
      <c r="DJ51" s="31">
        <v>449.919</v>
      </c>
      <c r="DK51" s="31">
        <v>38.2555</v>
      </c>
      <c r="DL51" s="31">
        <v>500.117</v>
      </c>
      <c r="DM51" s="31">
        <v>100.903</v>
      </c>
      <c r="DN51" s="31">
        <v>0.100714</v>
      </c>
      <c r="DO51" s="31">
        <v>34.664</v>
      </c>
      <c r="DP51" s="31">
        <v>33.4254</v>
      </c>
      <c r="DQ51" s="31">
        <v>999.9</v>
      </c>
      <c r="DR51" s="31">
        <v>0.0</v>
      </c>
      <c r="DS51" s="31">
        <v>0.0</v>
      </c>
      <c r="DT51" s="31">
        <v>8986.88</v>
      </c>
      <c r="DU51" s="31">
        <v>0.0</v>
      </c>
      <c r="DV51" s="31">
        <v>264.763</v>
      </c>
      <c r="DW51" s="31">
        <v>190.057</v>
      </c>
      <c r="DX51" s="31">
        <v>0.900145</v>
      </c>
      <c r="DY51" s="31">
        <v>0.0998551</v>
      </c>
      <c r="DZ51" s="31">
        <v>0.0</v>
      </c>
      <c r="EA51" s="31">
        <v>505.4</v>
      </c>
      <c r="EB51" s="31">
        <v>0.0999973</v>
      </c>
      <c r="EC51" s="31">
        <v>1850.19</v>
      </c>
      <c r="ED51" s="31">
        <v>1684.65</v>
      </c>
      <c r="EE51" s="31">
        <v>39.812</v>
      </c>
      <c r="EF51" s="31">
        <v>42.75</v>
      </c>
      <c r="EG51" s="31">
        <v>41.25</v>
      </c>
      <c r="EH51" s="31">
        <v>42.562</v>
      </c>
      <c r="EI51" s="31">
        <v>42.375</v>
      </c>
      <c r="EJ51" s="31">
        <v>170.99</v>
      </c>
      <c r="EK51" s="31">
        <v>18.97</v>
      </c>
      <c r="EL51" s="31">
        <v>0.0</v>
      </c>
      <c r="EM51" s="31">
        <v>133.200000047683</v>
      </c>
      <c r="EN51" s="31">
        <v>0.0</v>
      </c>
      <c r="EO51" s="31">
        <v>509.437</v>
      </c>
      <c r="EP51" s="31">
        <v>-24.7476923754676</v>
      </c>
      <c r="EQ51" s="31">
        <v>98.9946152275134</v>
      </c>
      <c r="ER51" s="31">
        <v>1812.2776</v>
      </c>
      <c r="ES51" s="31">
        <v>15.0</v>
      </c>
      <c r="ET51" s="31">
        <v>1.7548829791E9</v>
      </c>
      <c r="EU51" s="42">
        <v>0.4789236111111111</v>
      </c>
      <c r="EV51" s="31">
        <v>1.7548829791E9</v>
      </c>
      <c r="EW51" s="31">
        <v>1.7548765351E9</v>
      </c>
      <c r="EX51" s="31">
        <v>12.0</v>
      </c>
      <c r="EY51" s="31">
        <v>0.124</v>
      </c>
      <c r="EZ51" s="31">
        <v>-0.002</v>
      </c>
      <c r="FA51" s="31">
        <v>2.892</v>
      </c>
      <c r="FB51" s="31">
        <v>0.297</v>
      </c>
      <c r="FC51" s="31">
        <v>460.0</v>
      </c>
      <c r="FD51" s="31">
        <v>20.0</v>
      </c>
      <c r="FE51" s="31">
        <v>0.26</v>
      </c>
      <c r="FF51" s="31">
        <v>0.06</v>
      </c>
      <c r="FG51" s="31">
        <v>100.0</v>
      </c>
      <c r="FH51" s="31">
        <v>100.0</v>
      </c>
      <c r="FI51" s="31">
        <v>2.894</v>
      </c>
      <c r="FJ51" s="31">
        <v>0.5519</v>
      </c>
      <c r="FK51" s="31">
        <v>2.99439367046637</v>
      </c>
      <c r="FL51" s="31">
        <v>-2.2595428698806E-4</v>
      </c>
      <c r="FM51" s="43">
        <v>5.20417301097471E-9</v>
      </c>
      <c r="FN51" s="43">
        <v>1.17243702350096E-12</v>
      </c>
      <c r="FO51" s="31">
        <v>0.551873338452037</v>
      </c>
      <c r="FP51" s="31">
        <v>0.0</v>
      </c>
      <c r="FQ51" s="31">
        <v>0.0</v>
      </c>
      <c r="FR51" s="31">
        <v>0.0</v>
      </c>
      <c r="FS51" s="31">
        <v>1.0</v>
      </c>
      <c r="FT51" s="31">
        <v>2266.0</v>
      </c>
      <c r="FU51" s="31">
        <v>1.0</v>
      </c>
      <c r="FV51" s="31">
        <v>26.0</v>
      </c>
      <c r="FW51" s="31">
        <v>8.5</v>
      </c>
      <c r="FX51" s="31">
        <v>115.9</v>
      </c>
      <c r="FY51" s="31">
        <v>1.12427</v>
      </c>
      <c r="FZ51" s="31">
        <v>2.55493</v>
      </c>
      <c r="GA51" s="31">
        <v>1.59668</v>
      </c>
      <c r="GB51" s="31">
        <v>2.31689</v>
      </c>
      <c r="GC51" s="31">
        <v>1.5979</v>
      </c>
      <c r="GD51" s="31">
        <v>2.36328</v>
      </c>
      <c r="GE51" s="31">
        <v>43.5081</v>
      </c>
      <c r="GF51" s="31">
        <v>15.3404</v>
      </c>
      <c r="GG51" s="31">
        <v>18.0</v>
      </c>
      <c r="GH51" s="31">
        <v>509.409</v>
      </c>
      <c r="GI51" s="31">
        <v>466.639</v>
      </c>
      <c r="GJ51" s="31">
        <v>34.9414</v>
      </c>
      <c r="GK51" s="31">
        <v>35.0484</v>
      </c>
      <c r="GL51" s="31">
        <v>29.999</v>
      </c>
      <c r="GM51" s="31">
        <v>35.1637</v>
      </c>
      <c r="GN51" s="31">
        <v>35.1178</v>
      </c>
      <c r="GO51" s="31">
        <v>22.5629</v>
      </c>
      <c r="GP51" s="31">
        <v>100.0</v>
      </c>
      <c r="GQ51" s="31">
        <v>0.0</v>
      </c>
      <c r="GR51" s="31">
        <v>-999.9</v>
      </c>
      <c r="GS51" s="31">
        <v>460.0</v>
      </c>
      <c r="GT51" s="31">
        <v>0.0</v>
      </c>
      <c r="GU51" s="31">
        <v>102.603</v>
      </c>
      <c r="GV51" s="31">
        <v>99.7804</v>
      </c>
    </row>
    <row r="52" ht="14.25" customHeight="1">
      <c r="A52" s="41" t="s">
        <v>113</v>
      </c>
      <c r="B52" s="41" t="s">
        <v>53</v>
      </c>
      <c r="C52" s="41" t="s">
        <v>86</v>
      </c>
      <c r="D52" s="31">
        <v>42.0</v>
      </c>
      <c r="E52" s="31">
        <v>1.754883633E9</v>
      </c>
      <c r="F52" s="31">
        <v>6115.0</v>
      </c>
      <c r="G52" s="31" t="s">
        <v>556</v>
      </c>
      <c r="H52" s="42">
        <v>0.48649305555555555</v>
      </c>
      <c r="I52" s="31" t="s">
        <v>409</v>
      </c>
      <c r="J52" s="31">
        <v>1.754883633E9</v>
      </c>
      <c r="K52" s="31">
        <v>0.00145045431517723</v>
      </c>
      <c r="L52" s="31">
        <v>1.45045431517723</v>
      </c>
      <c r="M52" s="31">
        <v>0.895813936389862</v>
      </c>
      <c r="N52" s="31">
        <v>458.059998722774</v>
      </c>
      <c r="O52" s="31">
        <v>428.377522790337</v>
      </c>
      <c r="P52" s="31">
        <v>43.2627203451202</v>
      </c>
      <c r="Q52" s="31">
        <v>46.2604141714704</v>
      </c>
      <c r="R52" s="31">
        <v>0.0841427423590986</v>
      </c>
      <c r="S52" s="31">
        <v>2.75915761864252</v>
      </c>
      <c r="T52" s="31">
        <v>0.0827427792094162</v>
      </c>
      <c r="U52" s="31">
        <v>0.0518380779285073</v>
      </c>
      <c r="V52" s="31">
        <v>31.3842825939539</v>
      </c>
      <c r="W52" s="31">
        <v>34.3185910060962</v>
      </c>
      <c r="X52" s="31">
        <v>33.8635</v>
      </c>
      <c r="Y52" s="31">
        <v>5.30246283230369</v>
      </c>
      <c r="Z52" s="31">
        <v>65.6387539419685</v>
      </c>
      <c r="AA52" s="31">
        <v>3.61022308485159</v>
      </c>
      <c r="AB52" s="31">
        <v>5.50013957919343</v>
      </c>
      <c r="AC52" s="31">
        <v>1.69223974745209</v>
      </c>
      <c r="AD52" s="31">
        <v>-63.9650352993158</v>
      </c>
      <c r="AE52" s="31">
        <v>97.7447457078736</v>
      </c>
      <c r="AF52" s="31">
        <v>8.2084003759452</v>
      </c>
      <c r="AG52" s="31">
        <v>73.372393378457</v>
      </c>
      <c r="AH52" s="31">
        <v>0.0</v>
      </c>
      <c r="AI52" s="31">
        <v>0.0</v>
      </c>
      <c r="AJ52" s="31">
        <v>1.0</v>
      </c>
      <c r="AK52" s="31">
        <v>0.0</v>
      </c>
      <c r="AL52" s="31">
        <v>46869.0</v>
      </c>
      <c r="AM52" s="31" t="s">
        <v>410</v>
      </c>
      <c r="AN52" s="31">
        <v>8173.37</v>
      </c>
      <c r="AO52" s="31">
        <v>559.295999999999</v>
      </c>
      <c r="AP52" s="31">
        <v>2893.93</v>
      </c>
      <c r="AQ52" s="31">
        <v>0.806734786259515</v>
      </c>
      <c r="AR52" s="31">
        <v>-2.38169762951563</v>
      </c>
      <c r="AS52" s="31" t="s">
        <v>557</v>
      </c>
      <c r="AT52" s="31">
        <v>8235.89</v>
      </c>
      <c r="AU52" s="31">
        <v>308.769399999999</v>
      </c>
      <c r="AV52" s="31">
        <v>632.42</v>
      </c>
      <c r="AW52" s="31">
        <v>0.511765282565383</v>
      </c>
      <c r="AX52" s="31">
        <v>0.5</v>
      </c>
      <c r="AY52" s="31">
        <v>159.963072017592</v>
      </c>
      <c r="AZ52" s="31">
        <v>0.895813936389862</v>
      </c>
      <c r="BA52" s="31">
        <v>40.931773375555</v>
      </c>
      <c r="BB52" s="31">
        <v>0.0204891761865203</v>
      </c>
      <c r="BC52" s="31">
        <v>3.57596217703424</v>
      </c>
      <c r="BD52" s="31">
        <v>330.727332629293</v>
      </c>
      <c r="BE52" s="31" t="s">
        <v>558</v>
      </c>
      <c r="BF52" s="31">
        <v>-515.53</v>
      </c>
      <c r="BG52" s="31">
        <v>-515.53</v>
      </c>
      <c r="BH52" s="31">
        <v>1.81517029821953</v>
      </c>
      <c r="BI52" s="31">
        <v>0.281937889280892</v>
      </c>
      <c r="BJ52" s="31">
        <v>0.663304452904565</v>
      </c>
      <c r="BK52" s="31">
        <v>4.426051638313</v>
      </c>
      <c r="BL52" s="31">
        <v>0.968678602299118</v>
      </c>
      <c r="BM52" s="31">
        <v>-0.470731361530573</v>
      </c>
      <c r="BN52" s="31">
        <v>1.47073136153057</v>
      </c>
      <c r="BO52" s="31" t="s">
        <v>413</v>
      </c>
      <c r="BP52" s="31" t="s">
        <v>413</v>
      </c>
      <c r="BQ52" s="31" t="s">
        <v>413</v>
      </c>
      <c r="BR52" s="31" t="s">
        <v>413</v>
      </c>
      <c r="BS52" s="31" t="s">
        <v>413</v>
      </c>
      <c r="BT52" s="31" t="s">
        <v>413</v>
      </c>
      <c r="BU52" s="31" t="s">
        <v>413</v>
      </c>
      <c r="BV52" s="31" t="s">
        <v>413</v>
      </c>
      <c r="BW52" s="31" t="s">
        <v>413</v>
      </c>
      <c r="BX52" s="31" t="s">
        <v>413</v>
      </c>
      <c r="BY52" s="31" t="s">
        <v>413</v>
      </c>
      <c r="BZ52" s="31" t="s">
        <v>413</v>
      </c>
      <c r="CA52" s="31" t="s">
        <v>413</v>
      </c>
      <c r="CB52" s="31" t="s">
        <v>413</v>
      </c>
      <c r="CC52" s="31" t="s">
        <v>413</v>
      </c>
      <c r="CD52" s="31" t="s">
        <v>413</v>
      </c>
      <c r="CE52" s="31" t="s">
        <v>413</v>
      </c>
      <c r="CF52" s="31" t="s">
        <v>413</v>
      </c>
      <c r="CG52" s="31" t="s">
        <v>413</v>
      </c>
      <c r="CH52" s="31" t="s">
        <v>413</v>
      </c>
      <c r="CI52" s="31" t="s">
        <v>413</v>
      </c>
      <c r="CJ52" s="31" t="s">
        <v>413</v>
      </c>
      <c r="CK52" s="31" t="s">
        <v>413</v>
      </c>
      <c r="CL52" s="31" t="s">
        <v>413</v>
      </c>
      <c r="CM52" s="31" t="s">
        <v>413</v>
      </c>
      <c r="CN52" s="31" t="s">
        <v>413</v>
      </c>
      <c r="CO52" s="31" t="s">
        <v>413</v>
      </c>
      <c r="CP52" s="31" t="s">
        <v>413</v>
      </c>
      <c r="CQ52" s="31" t="s">
        <v>413</v>
      </c>
      <c r="CR52" s="31" t="s">
        <v>413</v>
      </c>
      <c r="CS52" s="31" t="s">
        <v>413</v>
      </c>
      <c r="CT52" s="31" t="s">
        <v>413</v>
      </c>
      <c r="CU52" s="31" t="s">
        <v>413</v>
      </c>
      <c r="CV52" s="31" t="s">
        <v>413</v>
      </c>
      <c r="CW52" s="31">
        <v>189.754</v>
      </c>
      <c r="CX52" s="31">
        <v>159.963072017592</v>
      </c>
      <c r="CY52" s="31">
        <v>0.843002371584223</v>
      </c>
      <c r="CZ52" s="31">
        <v>0.165394577157551</v>
      </c>
      <c r="DA52" s="31">
        <v>6.0</v>
      </c>
      <c r="DB52" s="31">
        <v>0.5</v>
      </c>
      <c r="DC52" s="31" t="s">
        <v>414</v>
      </c>
      <c r="DD52" s="31">
        <v>2.0</v>
      </c>
      <c r="DE52" s="31">
        <v>1.754883633E9</v>
      </c>
      <c r="DF52" s="31">
        <v>458.06</v>
      </c>
      <c r="DG52" s="31">
        <v>459.932</v>
      </c>
      <c r="DH52" s="31">
        <v>35.7476</v>
      </c>
      <c r="DI52" s="31">
        <v>34.0695</v>
      </c>
      <c r="DJ52" s="31">
        <v>455.083</v>
      </c>
      <c r="DK52" s="31">
        <v>35.1957</v>
      </c>
      <c r="DL52" s="31">
        <v>500.067</v>
      </c>
      <c r="DM52" s="31">
        <v>100.892</v>
      </c>
      <c r="DN52" s="31">
        <v>0.100041</v>
      </c>
      <c r="DO52" s="31">
        <v>34.5206</v>
      </c>
      <c r="DP52" s="31">
        <v>33.8635</v>
      </c>
      <c r="DQ52" s="31">
        <v>999.9</v>
      </c>
      <c r="DR52" s="31">
        <v>0.0</v>
      </c>
      <c r="DS52" s="31">
        <v>0.0</v>
      </c>
      <c r="DT52" s="31">
        <v>8978.75</v>
      </c>
      <c r="DU52" s="31">
        <v>0.0</v>
      </c>
      <c r="DV52" s="31">
        <v>1691.96</v>
      </c>
      <c r="DW52" s="31">
        <v>189.754</v>
      </c>
      <c r="DX52" s="31">
        <v>0.899858</v>
      </c>
      <c r="DY52" s="31">
        <v>0.100142</v>
      </c>
      <c r="DZ52" s="31">
        <v>0.0</v>
      </c>
      <c r="EA52" s="31">
        <v>311.07</v>
      </c>
      <c r="EB52" s="31">
        <v>0.0999973</v>
      </c>
      <c r="EC52" s="31">
        <v>2664.06</v>
      </c>
      <c r="ED52" s="31">
        <v>1681.8</v>
      </c>
      <c r="EE52" s="31">
        <v>39.437</v>
      </c>
      <c r="EF52" s="31">
        <v>42.5</v>
      </c>
      <c r="EG52" s="31">
        <v>40.937</v>
      </c>
      <c r="EH52" s="31">
        <v>42.25</v>
      </c>
      <c r="EI52" s="31">
        <v>42.062</v>
      </c>
      <c r="EJ52" s="31">
        <v>170.66</v>
      </c>
      <c r="EK52" s="31">
        <v>18.99</v>
      </c>
      <c r="EL52" s="31">
        <v>0.0</v>
      </c>
      <c r="EM52" s="31">
        <v>141.599999904632</v>
      </c>
      <c r="EN52" s="31">
        <v>0.0</v>
      </c>
      <c r="EO52" s="31">
        <v>308.769399999999</v>
      </c>
      <c r="EP52" s="31">
        <v>-10.1246153477354</v>
      </c>
      <c r="EQ52" s="31">
        <v>3373.88154490618</v>
      </c>
      <c r="ER52" s="31">
        <v>2335.2164</v>
      </c>
      <c r="ES52" s="31">
        <v>15.0</v>
      </c>
      <c r="ET52" s="31">
        <v>1.754883664E9</v>
      </c>
      <c r="EU52" s="42">
        <v>0.48685185185185187</v>
      </c>
      <c r="EV52" s="31">
        <v>1.754883664E9</v>
      </c>
      <c r="EW52" s="31">
        <v>1.7548765351E9</v>
      </c>
      <c r="EX52" s="31">
        <v>13.0</v>
      </c>
      <c r="EY52" s="31">
        <v>0.084</v>
      </c>
      <c r="EZ52" s="31">
        <v>-0.002</v>
      </c>
      <c r="FA52" s="31">
        <v>2.977</v>
      </c>
      <c r="FB52" s="31">
        <v>0.297</v>
      </c>
      <c r="FC52" s="31">
        <v>460.0</v>
      </c>
      <c r="FD52" s="31">
        <v>20.0</v>
      </c>
      <c r="FE52" s="31">
        <v>0.35</v>
      </c>
      <c r="FF52" s="31">
        <v>0.06</v>
      </c>
      <c r="FG52" s="31">
        <v>100.0</v>
      </c>
      <c r="FH52" s="31">
        <v>100.0</v>
      </c>
      <c r="FI52" s="31">
        <v>2.977</v>
      </c>
      <c r="FJ52" s="31">
        <v>0.5519</v>
      </c>
      <c r="FK52" s="31">
        <v>2.99439367046637</v>
      </c>
      <c r="FL52" s="31">
        <v>-2.2595428698806E-4</v>
      </c>
      <c r="FM52" s="43">
        <v>5.20417301097471E-9</v>
      </c>
      <c r="FN52" s="43">
        <v>1.17243702350096E-12</v>
      </c>
      <c r="FO52" s="31">
        <v>0.551873338452037</v>
      </c>
      <c r="FP52" s="31">
        <v>0.0</v>
      </c>
      <c r="FQ52" s="31">
        <v>0.0</v>
      </c>
      <c r="FR52" s="31">
        <v>0.0</v>
      </c>
      <c r="FS52" s="31">
        <v>1.0</v>
      </c>
      <c r="FT52" s="31">
        <v>2266.0</v>
      </c>
      <c r="FU52" s="31">
        <v>1.0</v>
      </c>
      <c r="FV52" s="31">
        <v>26.0</v>
      </c>
      <c r="FW52" s="31">
        <v>10.9</v>
      </c>
      <c r="FX52" s="31">
        <v>118.3</v>
      </c>
      <c r="FY52" s="31">
        <v>1.12427</v>
      </c>
      <c r="FZ52" s="31">
        <v>2.55737</v>
      </c>
      <c r="GA52" s="31">
        <v>1.59668</v>
      </c>
      <c r="GB52" s="31">
        <v>2.31567</v>
      </c>
      <c r="GC52" s="31">
        <v>1.5979</v>
      </c>
      <c r="GD52" s="31">
        <v>2.39014</v>
      </c>
      <c r="GE52" s="31">
        <v>43.2362</v>
      </c>
      <c r="GF52" s="31">
        <v>15.3141</v>
      </c>
      <c r="GG52" s="31">
        <v>18.0</v>
      </c>
      <c r="GH52" s="31">
        <v>507.665</v>
      </c>
      <c r="GI52" s="31">
        <v>468.25</v>
      </c>
      <c r="GJ52" s="31">
        <v>34.6687</v>
      </c>
      <c r="GK52" s="31">
        <v>34.7904</v>
      </c>
      <c r="GL52" s="31">
        <v>29.9996</v>
      </c>
      <c r="GM52" s="31">
        <v>34.8926</v>
      </c>
      <c r="GN52" s="31">
        <v>34.8595</v>
      </c>
      <c r="GO52" s="31">
        <v>22.5642</v>
      </c>
      <c r="GP52" s="31">
        <v>100.0</v>
      </c>
      <c r="GQ52" s="31">
        <v>0.0</v>
      </c>
      <c r="GR52" s="31">
        <v>-999.9</v>
      </c>
      <c r="GS52" s="31">
        <v>460.0</v>
      </c>
      <c r="GT52" s="31">
        <v>0.0</v>
      </c>
      <c r="GU52" s="31">
        <v>102.639</v>
      </c>
      <c r="GV52" s="31">
        <v>99.8201</v>
      </c>
    </row>
    <row r="53" ht="14.25" customHeight="1">
      <c r="A53" s="41" t="s">
        <v>113</v>
      </c>
      <c r="B53" s="41" t="s">
        <v>53</v>
      </c>
      <c r="C53" s="41" t="s">
        <v>87</v>
      </c>
      <c r="D53" s="31">
        <v>43.0</v>
      </c>
      <c r="E53" s="31">
        <v>1.754883785E9</v>
      </c>
      <c r="F53" s="31">
        <v>6267.0</v>
      </c>
      <c r="G53" s="31" t="s">
        <v>559</v>
      </c>
      <c r="H53" s="42">
        <v>0.4882523148148148</v>
      </c>
      <c r="I53" s="31" t="s">
        <v>409</v>
      </c>
      <c r="J53" s="31">
        <v>1.754883785E9</v>
      </c>
      <c r="K53" s="31">
        <v>0.00117672580363122</v>
      </c>
      <c r="L53" s="31">
        <v>1.17672580363122</v>
      </c>
      <c r="M53" s="31">
        <v>0.64394130306228</v>
      </c>
      <c r="N53" s="31">
        <v>458.600999082644</v>
      </c>
      <c r="O53" s="31">
        <v>423.913857637974</v>
      </c>
      <c r="P53" s="31">
        <v>42.8133474981209</v>
      </c>
      <c r="Q53" s="31">
        <v>46.3165890497463</v>
      </c>
      <c r="R53" s="31">
        <v>0.0541537234889055</v>
      </c>
      <c r="S53" s="31">
        <v>2.76132588706909</v>
      </c>
      <c r="T53" s="31">
        <v>0.0535705618829174</v>
      </c>
      <c r="U53" s="31">
        <v>0.0335334725380352</v>
      </c>
      <c r="V53" s="31">
        <v>31.4103394019648</v>
      </c>
      <c r="W53" s="31">
        <v>34.9137405337644</v>
      </c>
      <c r="X53" s="31">
        <v>35.0919</v>
      </c>
      <c r="Y53" s="31">
        <v>5.6771802237513</v>
      </c>
      <c r="Z53" s="31">
        <v>62.8886485884368</v>
      </c>
      <c r="AA53" s="31">
        <v>3.5601785696055</v>
      </c>
      <c r="AB53" s="31">
        <v>5.6610829609401</v>
      </c>
      <c r="AC53" s="31">
        <v>2.1170016541458</v>
      </c>
      <c r="AD53" s="31">
        <v>-51.893607940137</v>
      </c>
      <c r="AE53" s="31">
        <v>-7.63695924277493</v>
      </c>
      <c r="AF53" s="31">
        <v>-0.646318199843489</v>
      </c>
      <c r="AG53" s="31">
        <v>-28.7665459807906</v>
      </c>
      <c r="AH53" s="31">
        <v>0.0</v>
      </c>
      <c r="AI53" s="31">
        <v>0.0</v>
      </c>
      <c r="AJ53" s="31">
        <v>1.0</v>
      </c>
      <c r="AK53" s="31">
        <v>0.0</v>
      </c>
      <c r="AL53" s="31">
        <v>46849.0</v>
      </c>
      <c r="AM53" s="31" t="s">
        <v>410</v>
      </c>
      <c r="AN53" s="31">
        <v>8173.37</v>
      </c>
      <c r="AO53" s="31">
        <v>559.295999999999</v>
      </c>
      <c r="AP53" s="31">
        <v>2893.93</v>
      </c>
      <c r="AQ53" s="31">
        <v>0.806734786259515</v>
      </c>
      <c r="AR53" s="31">
        <v>-2.38169762951563</v>
      </c>
      <c r="AS53" s="31" t="s">
        <v>560</v>
      </c>
      <c r="AT53" s="31">
        <v>8228.23</v>
      </c>
      <c r="AU53" s="31">
        <v>301.2776</v>
      </c>
      <c r="AV53" s="31">
        <v>576.9</v>
      </c>
      <c r="AW53" s="31">
        <v>0.47776460391749</v>
      </c>
      <c r="AX53" s="31">
        <v>0.5</v>
      </c>
      <c r="AY53" s="31">
        <v>160.103043006199</v>
      </c>
      <c r="AZ53" s="31">
        <v>0.64394130306228</v>
      </c>
      <c r="BA53" s="31">
        <v>38.2457834639208</v>
      </c>
      <c r="BB53" s="31">
        <v>0.0188980726147769</v>
      </c>
      <c r="BC53" s="31">
        <v>4.01634598717282</v>
      </c>
      <c r="BD53" s="31">
        <v>314.879919610672</v>
      </c>
      <c r="BE53" s="31" t="s">
        <v>561</v>
      </c>
      <c r="BF53" s="31">
        <v>-698.8</v>
      </c>
      <c r="BG53" s="31">
        <v>-698.8</v>
      </c>
      <c r="BH53" s="31">
        <v>2.21130178540474</v>
      </c>
      <c r="BI53" s="31">
        <v>0.2160558124951</v>
      </c>
      <c r="BJ53" s="31">
        <v>0.6449218282476</v>
      </c>
      <c r="BK53" s="31">
        <v>15.6568052715291</v>
      </c>
      <c r="BL53" s="31">
        <v>0.992459631788108</v>
      </c>
      <c r="BM53" s="31">
        <v>-0.501131852389876</v>
      </c>
      <c r="BN53" s="31">
        <v>1.50113185238987</v>
      </c>
      <c r="BO53" s="31" t="s">
        <v>413</v>
      </c>
      <c r="BP53" s="31" t="s">
        <v>413</v>
      </c>
      <c r="BQ53" s="31" t="s">
        <v>413</v>
      </c>
      <c r="BR53" s="31" t="s">
        <v>413</v>
      </c>
      <c r="BS53" s="31" t="s">
        <v>413</v>
      </c>
      <c r="BT53" s="31" t="s">
        <v>413</v>
      </c>
      <c r="BU53" s="31" t="s">
        <v>413</v>
      </c>
      <c r="BV53" s="31" t="s">
        <v>413</v>
      </c>
      <c r="BW53" s="31" t="s">
        <v>413</v>
      </c>
      <c r="BX53" s="31" t="s">
        <v>413</v>
      </c>
      <c r="BY53" s="31" t="s">
        <v>413</v>
      </c>
      <c r="BZ53" s="31" t="s">
        <v>413</v>
      </c>
      <c r="CA53" s="31" t="s">
        <v>413</v>
      </c>
      <c r="CB53" s="31" t="s">
        <v>413</v>
      </c>
      <c r="CC53" s="31" t="s">
        <v>413</v>
      </c>
      <c r="CD53" s="31" t="s">
        <v>413</v>
      </c>
      <c r="CE53" s="31" t="s">
        <v>413</v>
      </c>
      <c r="CF53" s="31" t="s">
        <v>413</v>
      </c>
      <c r="CG53" s="31" t="s">
        <v>413</v>
      </c>
      <c r="CH53" s="31" t="s">
        <v>413</v>
      </c>
      <c r="CI53" s="31" t="s">
        <v>413</v>
      </c>
      <c r="CJ53" s="31" t="s">
        <v>413</v>
      </c>
      <c r="CK53" s="31" t="s">
        <v>413</v>
      </c>
      <c r="CL53" s="31" t="s">
        <v>413</v>
      </c>
      <c r="CM53" s="31" t="s">
        <v>413</v>
      </c>
      <c r="CN53" s="31" t="s">
        <v>413</v>
      </c>
      <c r="CO53" s="31" t="s">
        <v>413</v>
      </c>
      <c r="CP53" s="31" t="s">
        <v>413</v>
      </c>
      <c r="CQ53" s="31" t="s">
        <v>413</v>
      </c>
      <c r="CR53" s="31" t="s">
        <v>413</v>
      </c>
      <c r="CS53" s="31" t="s">
        <v>413</v>
      </c>
      <c r="CT53" s="31" t="s">
        <v>413</v>
      </c>
      <c r="CU53" s="31" t="s">
        <v>413</v>
      </c>
      <c r="CV53" s="31" t="s">
        <v>413</v>
      </c>
      <c r="CW53" s="31">
        <v>189.921</v>
      </c>
      <c r="CX53" s="31">
        <v>160.103043006199</v>
      </c>
      <c r="CY53" s="31">
        <v>0.84299810450766</v>
      </c>
      <c r="CZ53" s="31">
        <v>0.165386341699784</v>
      </c>
      <c r="DA53" s="31">
        <v>6.0</v>
      </c>
      <c r="DB53" s="31">
        <v>0.5</v>
      </c>
      <c r="DC53" s="31" t="s">
        <v>414</v>
      </c>
      <c r="DD53" s="31">
        <v>2.0</v>
      </c>
      <c r="DE53" s="31">
        <v>1.754883785E9</v>
      </c>
      <c r="DF53" s="31">
        <v>458.601</v>
      </c>
      <c r="DG53" s="31">
        <v>460.021</v>
      </c>
      <c r="DH53" s="31">
        <v>35.2509</v>
      </c>
      <c r="DI53" s="31">
        <v>33.8889</v>
      </c>
      <c r="DJ53" s="31">
        <v>455.624</v>
      </c>
      <c r="DK53" s="31">
        <v>34.699</v>
      </c>
      <c r="DL53" s="31">
        <v>500.108</v>
      </c>
      <c r="DM53" s="31">
        <v>100.895</v>
      </c>
      <c r="DN53" s="31">
        <v>0.100395</v>
      </c>
      <c r="DO53" s="31">
        <v>35.0406</v>
      </c>
      <c r="DP53" s="31">
        <v>35.0919</v>
      </c>
      <c r="DQ53" s="31">
        <v>999.9</v>
      </c>
      <c r="DR53" s="31">
        <v>0.0</v>
      </c>
      <c r="DS53" s="31">
        <v>0.0</v>
      </c>
      <c r="DT53" s="31">
        <v>8990.0</v>
      </c>
      <c r="DU53" s="31">
        <v>0.0</v>
      </c>
      <c r="DV53" s="31">
        <v>1680.8</v>
      </c>
      <c r="DW53" s="31">
        <v>189.921</v>
      </c>
      <c r="DX53" s="31">
        <v>0.90002</v>
      </c>
      <c r="DY53" s="31">
        <v>0.0999804</v>
      </c>
      <c r="DZ53" s="31">
        <v>0.0</v>
      </c>
      <c r="EA53" s="31">
        <v>302.43</v>
      </c>
      <c r="EB53" s="31">
        <v>0.0999973</v>
      </c>
      <c r="EC53" s="31">
        <v>2711.41</v>
      </c>
      <c r="ED53" s="31">
        <v>1683.38</v>
      </c>
      <c r="EE53" s="31">
        <v>39.562</v>
      </c>
      <c r="EF53" s="31">
        <v>43.0</v>
      </c>
      <c r="EG53" s="31">
        <v>41.062</v>
      </c>
      <c r="EH53" s="31">
        <v>42.687</v>
      </c>
      <c r="EI53" s="31">
        <v>42.187</v>
      </c>
      <c r="EJ53" s="31">
        <v>170.84</v>
      </c>
      <c r="EK53" s="31">
        <v>18.98</v>
      </c>
      <c r="EL53" s="31">
        <v>0.0</v>
      </c>
      <c r="EM53" s="31">
        <v>149.399999856948</v>
      </c>
      <c r="EN53" s="31">
        <v>0.0</v>
      </c>
      <c r="EO53" s="31">
        <v>301.2776</v>
      </c>
      <c r="EP53" s="31">
        <v>3.09884604187799</v>
      </c>
      <c r="EQ53" s="31">
        <v>254.702308563884</v>
      </c>
      <c r="ER53" s="31">
        <v>2685.1296</v>
      </c>
      <c r="ES53" s="31">
        <v>15.0</v>
      </c>
      <c r="ET53" s="31">
        <v>1.754883664E9</v>
      </c>
      <c r="EU53" s="42">
        <v>0.48685185185185187</v>
      </c>
      <c r="EV53" s="31">
        <v>1.754883664E9</v>
      </c>
      <c r="EW53" s="31">
        <v>1.7548765351E9</v>
      </c>
      <c r="EX53" s="31">
        <v>13.0</v>
      </c>
      <c r="EY53" s="31">
        <v>0.084</v>
      </c>
      <c r="EZ53" s="31">
        <v>-0.002</v>
      </c>
      <c r="FA53" s="31">
        <v>2.977</v>
      </c>
      <c r="FB53" s="31">
        <v>0.297</v>
      </c>
      <c r="FC53" s="31">
        <v>460.0</v>
      </c>
      <c r="FD53" s="31">
        <v>20.0</v>
      </c>
      <c r="FE53" s="31">
        <v>0.35</v>
      </c>
      <c r="FF53" s="31">
        <v>0.06</v>
      </c>
      <c r="FG53" s="31">
        <v>100.0</v>
      </c>
      <c r="FH53" s="31">
        <v>100.0</v>
      </c>
      <c r="FI53" s="31">
        <v>2.977</v>
      </c>
      <c r="FJ53" s="31">
        <v>0.5519</v>
      </c>
      <c r="FK53" s="31">
        <v>3.07863359537776</v>
      </c>
      <c r="FL53" s="31">
        <v>-2.2595428698806E-4</v>
      </c>
      <c r="FM53" s="43">
        <v>5.20417301097471E-9</v>
      </c>
      <c r="FN53" s="43">
        <v>1.17243702350096E-12</v>
      </c>
      <c r="FO53" s="31">
        <v>0.551873338452037</v>
      </c>
      <c r="FP53" s="31">
        <v>0.0</v>
      </c>
      <c r="FQ53" s="31">
        <v>0.0</v>
      </c>
      <c r="FR53" s="31">
        <v>0.0</v>
      </c>
      <c r="FS53" s="31">
        <v>1.0</v>
      </c>
      <c r="FT53" s="31">
        <v>2266.0</v>
      </c>
      <c r="FU53" s="31">
        <v>1.0</v>
      </c>
      <c r="FV53" s="31">
        <v>26.0</v>
      </c>
      <c r="FW53" s="31">
        <v>2.0</v>
      </c>
      <c r="FX53" s="31">
        <v>120.8</v>
      </c>
      <c r="FY53" s="31">
        <v>1.12427</v>
      </c>
      <c r="FZ53" s="31">
        <v>2.55493</v>
      </c>
      <c r="GA53" s="31">
        <v>1.59668</v>
      </c>
      <c r="GB53" s="31">
        <v>2.31689</v>
      </c>
      <c r="GC53" s="31">
        <v>1.5979</v>
      </c>
      <c r="GD53" s="31">
        <v>2.29492</v>
      </c>
      <c r="GE53" s="31">
        <v>43.0739</v>
      </c>
      <c r="GF53" s="31">
        <v>15.2966</v>
      </c>
      <c r="GG53" s="31">
        <v>18.0</v>
      </c>
      <c r="GH53" s="31">
        <v>506.784</v>
      </c>
      <c r="GI53" s="31">
        <v>467.685</v>
      </c>
      <c r="GJ53" s="31">
        <v>34.823</v>
      </c>
      <c r="GK53" s="31">
        <v>34.7862</v>
      </c>
      <c r="GL53" s="31">
        <v>30.0005</v>
      </c>
      <c r="GM53" s="31">
        <v>34.8259</v>
      </c>
      <c r="GN53" s="31">
        <v>34.7898</v>
      </c>
      <c r="GO53" s="31">
        <v>22.5702</v>
      </c>
      <c r="GP53" s="31">
        <v>100.0</v>
      </c>
      <c r="GQ53" s="31">
        <v>0.0</v>
      </c>
      <c r="GR53" s="31">
        <v>-999.9</v>
      </c>
      <c r="GS53" s="31">
        <v>460.0</v>
      </c>
      <c r="GT53" s="31">
        <v>0.0</v>
      </c>
      <c r="GU53" s="31">
        <v>102.651</v>
      </c>
      <c r="GV53" s="31">
        <v>99.8259</v>
      </c>
    </row>
    <row r="54" ht="14.25" customHeight="1">
      <c r="A54" s="41" t="s">
        <v>113</v>
      </c>
      <c r="B54" s="41" t="s">
        <v>57</v>
      </c>
      <c r="C54" s="41" t="s">
        <v>86</v>
      </c>
      <c r="D54" s="31">
        <v>17.0</v>
      </c>
      <c r="E54" s="31">
        <v>1.7548800721E9</v>
      </c>
      <c r="F54" s="31">
        <v>2554.09999990463</v>
      </c>
      <c r="G54" s="31" t="s">
        <v>562</v>
      </c>
      <c r="H54" s="42">
        <v>0.4452777777777778</v>
      </c>
      <c r="I54" s="31" t="s">
        <v>409</v>
      </c>
      <c r="J54" s="31">
        <v>1.7548800721E9</v>
      </c>
      <c r="K54" s="31">
        <v>0.00349065766969626</v>
      </c>
      <c r="L54" s="31">
        <v>3.49065766969626</v>
      </c>
      <c r="M54" s="31">
        <v>2.30899523768091</v>
      </c>
      <c r="N54" s="31">
        <v>455.302996700171</v>
      </c>
      <c r="O54" s="31">
        <v>431.617221293007</v>
      </c>
      <c r="P54" s="31">
        <v>43.6078555009802</v>
      </c>
      <c r="Q54" s="31">
        <v>46.0009154171023</v>
      </c>
      <c r="R54" s="31">
        <v>0.272752028549187</v>
      </c>
      <c r="S54" s="31">
        <v>2.75855036460772</v>
      </c>
      <c r="T54" s="31">
        <v>0.258606413018104</v>
      </c>
      <c r="U54" s="31">
        <v>0.162838775680851</v>
      </c>
      <c r="V54" s="31">
        <v>31.3886816283711</v>
      </c>
      <c r="W54" s="31">
        <v>34.1427288770366</v>
      </c>
      <c r="X54" s="31">
        <v>33.7524</v>
      </c>
      <c r="Y54" s="31">
        <v>5.26965846067335</v>
      </c>
      <c r="Z54" s="31">
        <v>70.6353810771936</v>
      </c>
      <c r="AA54" s="31">
        <v>3.9682575506112</v>
      </c>
      <c r="AB54" s="31">
        <v>5.61794597848138</v>
      </c>
      <c r="AC54" s="31">
        <v>1.30140091006214</v>
      </c>
      <c r="AD54" s="31">
        <v>-153.938003233605</v>
      </c>
      <c r="AE54" s="31">
        <v>171.041684241967</v>
      </c>
      <c r="AF54" s="31">
        <v>14.3859263509403</v>
      </c>
      <c r="AG54" s="31">
        <v>62.878288987674</v>
      </c>
      <c r="AH54" s="31">
        <v>0.0</v>
      </c>
      <c r="AI54" s="31">
        <v>0.0</v>
      </c>
      <c r="AJ54" s="31">
        <v>1.0</v>
      </c>
      <c r="AK54" s="31">
        <v>0.0</v>
      </c>
      <c r="AL54" s="31">
        <v>46795.0</v>
      </c>
      <c r="AM54" s="31" t="s">
        <v>410</v>
      </c>
      <c r="AN54" s="31">
        <v>8173.37</v>
      </c>
      <c r="AO54" s="31">
        <v>559.295999999999</v>
      </c>
      <c r="AP54" s="31">
        <v>2893.93</v>
      </c>
      <c r="AQ54" s="31">
        <v>0.806734786259515</v>
      </c>
      <c r="AR54" s="31">
        <v>-2.38169762951563</v>
      </c>
      <c r="AS54" s="31" t="s">
        <v>563</v>
      </c>
      <c r="AT54" s="31">
        <v>8224.71</v>
      </c>
      <c r="AU54" s="31">
        <v>423.134423076923</v>
      </c>
      <c r="AV54" s="31">
        <v>1170.88</v>
      </c>
      <c r="AW54" s="31">
        <v>0.638618455284125</v>
      </c>
      <c r="AX54" s="31">
        <v>0.5</v>
      </c>
      <c r="AY54" s="31">
        <v>159.991857009518</v>
      </c>
      <c r="AZ54" s="31">
        <v>2.30899523768091</v>
      </c>
      <c r="BA54" s="31">
        <v>51.0868762907287</v>
      </c>
      <c r="BB54" s="31">
        <v>0.0293183225376119</v>
      </c>
      <c r="BC54" s="31">
        <v>1.47158547417327</v>
      </c>
      <c r="BD54" s="31">
        <v>435.451000345419</v>
      </c>
      <c r="BE54" s="31" t="s">
        <v>564</v>
      </c>
      <c r="BF54" s="31">
        <v>-268.67</v>
      </c>
      <c r="BG54" s="31">
        <v>-268.67</v>
      </c>
      <c r="BH54" s="31">
        <v>1.2294598934135</v>
      </c>
      <c r="BI54" s="31">
        <v>0.519430083653278</v>
      </c>
      <c r="BJ54" s="31">
        <v>0.544820717131474</v>
      </c>
      <c r="BK54" s="31">
        <v>1.22263757214557</v>
      </c>
      <c r="BL54" s="31">
        <v>0.738038596199661</v>
      </c>
      <c r="BM54" s="31">
        <v>-0.329813111304716</v>
      </c>
      <c r="BN54" s="31">
        <v>1.32981311130471</v>
      </c>
      <c r="BO54" s="31" t="s">
        <v>413</v>
      </c>
      <c r="BP54" s="31" t="s">
        <v>413</v>
      </c>
      <c r="BQ54" s="31" t="s">
        <v>413</v>
      </c>
      <c r="BR54" s="31" t="s">
        <v>413</v>
      </c>
      <c r="BS54" s="31" t="s">
        <v>413</v>
      </c>
      <c r="BT54" s="31" t="s">
        <v>413</v>
      </c>
      <c r="BU54" s="31" t="s">
        <v>413</v>
      </c>
      <c r="BV54" s="31" t="s">
        <v>413</v>
      </c>
      <c r="BW54" s="31" t="s">
        <v>413</v>
      </c>
      <c r="BX54" s="31" t="s">
        <v>413</v>
      </c>
      <c r="BY54" s="31" t="s">
        <v>413</v>
      </c>
      <c r="BZ54" s="31" t="s">
        <v>413</v>
      </c>
      <c r="CA54" s="31" t="s">
        <v>413</v>
      </c>
      <c r="CB54" s="31" t="s">
        <v>413</v>
      </c>
      <c r="CC54" s="31" t="s">
        <v>413</v>
      </c>
      <c r="CD54" s="31" t="s">
        <v>413</v>
      </c>
      <c r="CE54" s="31" t="s">
        <v>413</v>
      </c>
      <c r="CF54" s="31" t="s">
        <v>413</v>
      </c>
      <c r="CG54" s="31" t="s">
        <v>413</v>
      </c>
      <c r="CH54" s="31" t="s">
        <v>413</v>
      </c>
      <c r="CI54" s="31" t="s">
        <v>413</v>
      </c>
      <c r="CJ54" s="31" t="s">
        <v>413</v>
      </c>
      <c r="CK54" s="31" t="s">
        <v>413</v>
      </c>
      <c r="CL54" s="31" t="s">
        <v>413</v>
      </c>
      <c r="CM54" s="31" t="s">
        <v>413</v>
      </c>
      <c r="CN54" s="31" t="s">
        <v>413</v>
      </c>
      <c r="CO54" s="31" t="s">
        <v>413</v>
      </c>
      <c r="CP54" s="31" t="s">
        <v>413</v>
      </c>
      <c r="CQ54" s="31" t="s">
        <v>413</v>
      </c>
      <c r="CR54" s="31" t="s">
        <v>413</v>
      </c>
      <c r="CS54" s="31" t="s">
        <v>413</v>
      </c>
      <c r="CT54" s="31" t="s">
        <v>413</v>
      </c>
      <c r="CU54" s="31" t="s">
        <v>413</v>
      </c>
      <c r="CV54" s="31" t="s">
        <v>413</v>
      </c>
      <c r="CW54" s="31">
        <v>189.789</v>
      </c>
      <c r="CX54" s="31">
        <v>159.991857009518</v>
      </c>
      <c r="CY54" s="31">
        <v>0.842998577417651</v>
      </c>
      <c r="CZ54" s="31">
        <v>0.165387254416068</v>
      </c>
      <c r="DA54" s="31">
        <v>6.0</v>
      </c>
      <c r="DB54" s="31">
        <v>0.5</v>
      </c>
      <c r="DC54" s="31" t="s">
        <v>414</v>
      </c>
      <c r="DD54" s="31">
        <v>2.0</v>
      </c>
      <c r="DE54" s="31">
        <v>1.7548800721E9</v>
      </c>
      <c r="DF54" s="31">
        <v>455.303</v>
      </c>
      <c r="DG54" s="31">
        <v>459.981</v>
      </c>
      <c r="DH54" s="31">
        <v>39.2766</v>
      </c>
      <c r="DI54" s="31">
        <v>35.2523</v>
      </c>
      <c r="DJ54" s="31">
        <v>452.674</v>
      </c>
      <c r="DK54" s="31">
        <v>38.7248</v>
      </c>
      <c r="DL54" s="31">
        <v>499.996</v>
      </c>
      <c r="DM54" s="31">
        <v>100.933</v>
      </c>
      <c r="DN54" s="31">
        <v>0.100632</v>
      </c>
      <c r="DO54" s="31">
        <v>34.9025</v>
      </c>
      <c r="DP54" s="31">
        <v>33.7524</v>
      </c>
      <c r="DQ54" s="31">
        <v>999.9</v>
      </c>
      <c r="DR54" s="31">
        <v>0.0</v>
      </c>
      <c r="DS54" s="31">
        <v>0.0</v>
      </c>
      <c r="DT54" s="31">
        <v>8971.88</v>
      </c>
      <c r="DU54" s="31">
        <v>0.0</v>
      </c>
      <c r="DV54" s="31">
        <v>501.687</v>
      </c>
      <c r="DW54" s="31">
        <v>189.789</v>
      </c>
      <c r="DX54" s="31">
        <v>0.900002</v>
      </c>
      <c r="DY54" s="31">
        <v>0.099998</v>
      </c>
      <c r="DZ54" s="31">
        <v>0.0</v>
      </c>
      <c r="EA54" s="31">
        <v>423.96</v>
      </c>
      <c r="EB54" s="31">
        <v>0.0999973</v>
      </c>
      <c r="EC54" s="31">
        <v>1955.9</v>
      </c>
      <c r="ED54" s="31">
        <v>1682.19</v>
      </c>
      <c r="EE54" s="31">
        <v>39.875</v>
      </c>
      <c r="EF54" s="31">
        <v>43.187</v>
      </c>
      <c r="EG54" s="31">
        <v>41.375</v>
      </c>
      <c r="EH54" s="31">
        <v>42.937</v>
      </c>
      <c r="EI54" s="31">
        <v>42.5</v>
      </c>
      <c r="EJ54" s="31">
        <v>170.72</v>
      </c>
      <c r="EK54" s="31">
        <v>18.97</v>
      </c>
      <c r="EL54" s="31">
        <v>0.0</v>
      </c>
      <c r="EM54" s="31">
        <v>142.399999856948</v>
      </c>
      <c r="EN54" s="31">
        <v>0.0</v>
      </c>
      <c r="EO54" s="31">
        <v>423.134423076923</v>
      </c>
      <c r="EP54" s="31">
        <v>10.0805127835535</v>
      </c>
      <c r="EQ54" s="31">
        <v>5.03692324452216</v>
      </c>
      <c r="ER54" s="31">
        <v>1968.39653846153</v>
      </c>
      <c r="ES54" s="31">
        <v>15.0</v>
      </c>
      <c r="ET54" s="31">
        <v>1.7548797641E9</v>
      </c>
      <c r="EU54" s="42">
        <v>0.441712962962963</v>
      </c>
      <c r="EV54" s="31">
        <v>1.7548797641E9</v>
      </c>
      <c r="EW54" s="31">
        <v>1.7548765351E9</v>
      </c>
      <c r="EX54" s="31">
        <v>6.0</v>
      </c>
      <c r="EY54" s="31">
        <v>0.006</v>
      </c>
      <c r="EZ54" s="31">
        <v>-0.002</v>
      </c>
      <c r="FA54" s="31">
        <v>2.628</v>
      </c>
      <c r="FB54" s="31">
        <v>0.297</v>
      </c>
      <c r="FC54" s="31">
        <v>460.0</v>
      </c>
      <c r="FD54" s="31">
        <v>20.0</v>
      </c>
      <c r="FE54" s="31">
        <v>0.18</v>
      </c>
      <c r="FF54" s="31">
        <v>0.06</v>
      </c>
      <c r="FG54" s="31">
        <v>100.0</v>
      </c>
      <c r="FH54" s="31">
        <v>100.0</v>
      </c>
      <c r="FI54" s="31">
        <v>2.629</v>
      </c>
      <c r="FJ54" s="31">
        <v>0.5518</v>
      </c>
      <c r="FK54" s="31">
        <v>2.73003477521069</v>
      </c>
      <c r="FL54" s="31">
        <v>-2.2595428698806E-4</v>
      </c>
      <c r="FM54" s="43">
        <v>5.20417301097471E-9</v>
      </c>
      <c r="FN54" s="43">
        <v>1.17243702350096E-12</v>
      </c>
      <c r="FO54" s="31">
        <v>0.551873338452037</v>
      </c>
      <c r="FP54" s="31">
        <v>0.0</v>
      </c>
      <c r="FQ54" s="31">
        <v>0.0</v>
      </c>
      <c r="FR54" s="31">
        <v>0.0</v>
      </c>
      <c r="FS54" s="31">
        <v>1.0</v>
      </c>
      <c r="FT54" s="31">
        <v>2266.0</v>
      </c>
      <c r="FU54" s="31">
        <v>1.0</v>
      </c>
      <c r="FV54" s="31">
        <v>26.0</v>
      </c>
      <c r="FW54" s="31">
        <v>5.1</v>
      </c>
      <c r="FX54" s="31">
        <v>59.0</v>
      </c>
      <c r="FY54" s="31">
        <v>1.11694</v>
      </c>
      <c r="FZ54" s="31">
        <v>2.54761</v>
      </c>
      <c r="GA54" s="31">
        <v>1.59668</v>
      </c>
      <c r="GB54" s="31">
        <v>2.31934</v>
      </c>
      <c r="GC54" s="31">
        <v>1.5979</v>
      </c>
      <c r="GD54" s="31">
        <v>2.26685</v>
      </c>
      <c r="GE54" s="31">
        <v>42.5637</v>
      </c>
      <c r="GF54" s="31">
        <v>15.8307</v>
      </c>
      <c r="GG54" s="31">
        <v>18.0</v>
      </c>
      <c r="GH54" s="31">
        <v>508.205</v>
      </c>
      <c r="GI54" s="31">
        <v>479.287</v>
      </c>
      <c r="GJ54" s="31">
        <v>34.7891</v>
      </c>
      <c r="GK54" s="31">
        <v>34.743</v>
      </c>
      <c r="GL54" s="31">
        <v>30.0002</v>
      </c>
      <c r="GM54" s="31">
        <v>34.7406</v>
      </c>
      <c r="GN54" s="31">
        <v>34.6854</v>
      </c>
      <c r="GO54" s="31">
        <v>22.417</v>
      </c>
      <c r="GP54" s="31">
        <v>100.0</v>
      </c>
      <c r="GQ54" s="31">
        <v>0.0</v>
      </c>
      <c r="GR54" s="31">
        <v>-999.9</v>
      </c>
      <c r="GS54" s="31">
        <v>460.0</v>
      </c>
      <c r="GT54" s="31">
        <v>0.0</v>
      </c>
      <c r="GU54" s="31">
        <v>102.725</v>
      </c>
      <c r="GV54" s="31">
        <v>99.7585</v>
      </c>
    </row>
    <row r="55" ht="14.25" customHeight="1">
      <c r="A55" s="41" t="s">
        <v>113</v>
      </c>
      <c r="B55" s="41" t="s">
        <v>57</v>
      </c>
      <c r="C55" s="41" t="s">
        <v>87</v>
      </c>
      <c r="D55" s="31">
        <v>19.0</v>
      </c>
      <c r="E55" s="31">
        <v>1.75488033E9</v>
      </c>
      <c r="F55" s="31">
        <v>2812.0</v>
      </c>
      <c r="G55" s="31" t="s">
        <v>565</v>
      </c>
      <c r="H55" s="42">
        <v>0.4482638888888889</v>
      </c>
      <c r="I55" s="31" t="s">
        <v>409</v>
      </c>
      <c r="J55" s="31">
        <v>1.75488033E9</v>
      </c>
      <c r="K55" s="31">
        <v>0.0022230610198961</v>
      </c>
      <c r="L55" s="31">
        <v>2.2230610198961</v>
      </c>
      <c r="M55" s="31">
        <v>1.88395350517882</v>
      </c>
      <c r="N55" s="31">
        <v>456.563997339658</v>
      </c>
      <c r="O55" s="31">
        <v>421.352849812239</v>
      </c>
      <c r="P55" s="31">
        <v>42.5707312411567</v>
      </c>
      <c r="Q55" s="31">
        <v>46.1282348838885</v>
      </c>
      <c r="R55" s="31">
        <v>0.132910876174953</v>
      </c>
      <c r="S55" s="31">
        <v>2.76901298392314</v>
      </c>
      <c r="T55" s="31">
        <v>0.129465713655557</v>
      </c>
      <c r="U55" s="31">
        <v>0.081218167165914</v>
      </c>
      <c r="V55" s="31">
        <v>31.3882433409825</v>
      </c>
      <c r="W55" s="31">
        <v>34.576463289502</v>
      </c>
      <c r="X55" s="31">
        <v>34.3312</v>
      </c>
      <c r="Y55" s="31">
        <v>5.44251544141604</v>
      </c>
      <c r="Z55" s="31">
        <v>67.0880259117606</v>
      </c>
      <c r="AA55" s="31">
        <v>3.7869053879016</v>
      </c>
      <c r="AB55" s="31">
        <v>5.64468150081272</v>
      </c>
      <c r="AC55" s="31">
        <v>1.65561005351444</v>
      </c>
      <c r="AD55" s="31">
        <v>-98.0369909774181</v>
      </c>
      <c r="AE55" s="31">
        <v>98.0789493889462</v>
      </c>
      <c r="AF55" s="31">
        <v>8.2446904119065</v>
      </c>
      <c r="AG55" s="31">
        <v>39.6748921644172</v>
      </c>
      <c r="AH55" s="31">
        <v>0.0</v>
      </c>
      <c r="AI55" s="31">
        <v>0.0</v>
      </c>
      <c r="AJ55" s="31">
        <v>1.0</v>
      </c>
      <c r="AK55" s="31">
        <v>0.0</v>
      </c>
      <c r="AL55" s="31">
        <v>47067.0</v>
      </c>
      <c r="AM55" s="31" t="s">
        <v>410</v>
      </c>
      <c r="AN55" s="31">
        <v>8173.37</v>
      </c>
      <c r="AO55" s="31">
        <v>559.295999999999</v>
      </c>
      <c r="AP55" s="31">
        <v>2893.93</v>
      </c>
      <c r="AQ55" s="31">
        <v>0.806734786259515</v>
      </c>
      <c r="AR55" s="31">
        <v>-2.38169762951563</v>
      </c>
      <c r="AS55" s="31" t="s">
        <v>566</v>
      </c>
      <c r="AT55" s="31">
        <v>8197.17</v>
      </c>
      <c r="AU55" s="31">
        <v>337.4496</v>
      </c>
      <c r="AV55" s="31">
        <v>962.76</v>
      </c>
      <c r="AW55" s="31">
        <v>0.649497694129378</v>
      </c>
      <c r="AX55" s="31">
        <v>0.5</v>
      </c>
      <c r="AY55" s="31">
        <v>159.989358000509</v>
      </c>
      <c r="AZ55" s="31">
        <v>1.88395350517882</v>
      </c>
      <c r="BA55" s="31">
        <v>51.9563595532851</v>
      </c>
      <c r="BB55" s="31">
        <v>0.0266620929542131</v>
      </c>
      <c r="BC55" s="31">
        <v>2.00586854460093</v>
      </c>
      <c r="BD55" s="31">
        <v>403.048398552</v>
      </c>
      <c r="BE55" s="31" t="s">
        <v>567</v>
      </c>
      <c r="BF55" s="31">
        <v>-387.6</v>
      </c>
      <c r="BG55" s="31">
        <v>-387.6</v>
      </c>
      <c r="BH55" s="31">
        <v>1.40259254642901</v>
      </c>
      <c r="BI55" s="31">
        <v>0.463069403714565</v>
      </c>
      <c r="BJ55" s="31">
        <v>0.588496829222953</v>
      </c>
      <c r="BK55" s="31">
        <v>1.54985426209029</v>
      </c>
      <c r="BL55" s="31">
        <v>0.827183190170279</v>
      </c>
      <c r="BM55" s="31">
        <v>-0.53188891283251</v>
      </c>
      <c r="BN55" s="31">
        <v>1.53188891283251</v>
      </c>
      <c r="BO55" s="31" t="s">
        <v>413</v>
      </c>
      <c r="BP55" s="31" t="s">
        <v>413</v>
      </c>
      <c r="BQ55" s="31" t="s">
        <v>413</v>
      </c>
      <c r="BR55" s="31" t="s">
        <v>413</v>
      </c>
      <c r="BS55" s="31" t="s">
        <v>413</v>
      </c>
      <c r="BT55" s="31" t="s">
        <v>413</v>
      </c>
      <c r="BU55" s="31" t="s">
        <v>413</v>
      </c>
      <c r="BV55" s="31" t="s">
        <v>413</v>
      </c>
      <c r="BW55" s="31" t="s">
        <v>413</v>
      </c>
      <c r="BX55" s="31" t="s">
        <v>413</v>
      </c>
      <c r="BY55" s="31" t="s">
        <v>413</v>
      </c>
      <c r="BZ55" s="31" t="s">
        <v>413</v>
      </c>
      <c r="CA55" s="31" t="s">
        <v>413</v>
      </c>
      <c r="CB55" s="31" t="s">
        <v>413</v>
      </c>
      <c r="CC55" s="31" t="s">
        <v>413</v>
      </c>
      <c r="CD55" s="31" t="s">
        <v>413</v>
      </c>
      <c r="CE55" s="31" t="s">
        <v>413</v>
      </c>
      <c r="CF55" s="31" t="s">
        <v>413</v>
      </c>
      <c r="CG55" s="31" t="s">
        <v>413</v>
      </c>
      <c r="CH55" s="31" t="s">
        <v>413</v>
      </c>
      <c r="CI55" s="31" t="s">
        <v>413</v>
      </c>
      <c r="CJ55" s="31" t="s">
        <v>413</v>
      </c>
      <c r="CK55" s="31" t="s">
        <v>413</v>
      </c>
      <c r="CL55" s="31" t="s">
        <v>413</v>
      </c>
      <c r="CM55" s="31" t="s">
        <v>413</v>
      </c>
      <c r="CN55" s="31" t="s">
        <v>413</v>
      </c>
      <c r="CO55" s="31" t="s">
        <v>413</v>
      </c>
      <c r="CP55" s="31" t="s">
        <v>413</v>
      </c>
      <c r="CQ55" s="31" t="s">
        <v>413</v>
      </c>
      <c r="CR55" s="31" t="s">
        <v>413</v>
      </c>
      <c r="CS55" s="31" t="s">
        <v>413</v>
      </c>
      <c r="CT55" s="31" t="s">
        <v>413</v>
      </c>
      <c r="CU55" s="31" t="s">
        <v>413</v>
      </c>
      <c r="CV55" s="31" t="s">
        <v>413</v>
      </c>
      <c r="CW55" s="31">
        <v>189.786</v>
      </c>
      <c r="CX55" s="31">
        <v>159.989358000509</v>
      </c>
      <c r="CY55" s="31">
        <v>0.842998735420468</v>
      </c>
      <c r="CZ55" s="31">
        <v>0.165387559361504</v>
      </c>
      <c r="DA55" s="31">
        <v>6.0</v>
      </c>
      <c r="DB55" s="31">
        <v>0.5</v>
      </c>
      <c r="DC55" s="31" t="s">
        <v>414</v>
      </c>
      <c r="DD55" s="31">
        <v>2.0</v>
      </c>
      <c r="DE55" s="31">
        <v>1.75488033E9</v>
      </c>
      <c r="DF55" s="31">
        <v>456.564</v>
      </c>
      <c r="DG55" s="31">
        <v>460.043</v>
      </c>
      <c r="DH55" s="31">
        <v>37.4817</v>
      </c>
      <c r="DI55" s="31">
        <v>34.9138</v>
      </c>
      <c r="DJ55" s="31">
        <v>453.935</v>
      </c>
      <c r="DK55" s="31">
        <v>36.9298</v>
      </c>
      <c r="DL55" s="31">
        <v>499.958</v>
      </c>
      <c r="DM55" s="31">
        <v>100.933</v>
      </c>
      <c r="DN55" s="31">
        <v>0.100448</v>
      </c>
      <c r="DO55" s="31">
        <v>34.9882</v>
      </c>
      <c r="DP55" s="31">
        <v>34.3312</v>
      </c>
      <c r="DQ55" s="31">
        <v>999.9</v>
      </c>
      <c r="DR55" s="31">
        <v>0.0</v>
      </c>
      <c r="DS55" s="31">
        <v>0.0</v>
      </c>
      <c r="DT55" s="31">
        <v>9027.5</v>
      </c>
      <c r="DU55" s="31">
        <v>0.0</v>
      </c>
      <c r="DV55" s="31">
        <v>1005.64</v>
      </c>
      <c r="DW55" s="31">
        <v>189.786</v>
      </c>
      <c r="DX55" s="31">
        <v>0.899967</v>
      </c>
      <c r="DY55" s="31">
        <v>0.100033</v>
      </c>
      <c r="DZ55" s="31">
        <v>0.0</v>
      </c>
      <c r="EA55" s="31">
        <v>335.98</v>
      </c>
      <c r="EB55" s="31">
        <v>0.0999973</v>
      </c>
      <c r="EC55" s="31">
        <v>1297.09</v>
      </c>
      <c r="ED55" s="31">
        <v>1682.14</v>
      </c>
      <c r="EE55" s="31">
        <v>40.062</v>
      </c>
      <c r="EF55" s="31">
        <v>43.437</v>
      </c>
      <c r="EG55" s="31">
        <v>41.562</v>
      </c>
      <c r="EH55" s="31">
        <v>43.125</v>
      </c>
      <c r="EI55" s="31">
        <v>42.625</v>
      </c>
      <c r="EJ55" s="31">
        <v>170.71</v>
      </c>
      <c r="EK55" s="31">
        <v>18.97</v>
      </c>
      <c r="EL55" s="31">
        <v>0.0</v>
      </c>
      <c r="EM55" s="31">
        <v>175.400000095367</v>
      </c>
      <c r="EN55" s="31">
        <v>0.0</v>
      </c>
      <c r="EO55" s="31">
        <v>337.4496</v>
      </c>
      <c r="EP55" s="31">
        <v>-1.22269228103153</v>
      </c>
      <c r="EQ55" s="31">
        <v>-19.9699986438625</v>
      </c>
      <c r="ER55" s="31">
        <v>1353.22079999999</v>
      </c>
      <c r="ES55" s="31">
        <v>15.0</v>
      </c>
      <c r="ET55" s="31">
        <v>1.7548797641E9</v>
      </c>
      <c r="EU55" s="42">
        <v>0.441712962962963</v>
      </c>
      <c r="EV55" s="31">
        <v>1.7548797641E9</v>
      </c>
      <c r="EW55" s="31">
        <v>1.7548765351E9</v>
      </c>
      <c r="EX55" s="31">
        <v>6.0</v>
      </c>
      <c r="EY55" s="31">
        <v>0.006</v>
      </c>
      <c r="EZ55" s="31">
        <v>-0.002</v>
      </c>
      <c r="FA55" s="31">
        <v>2.628</v>
      </c>
      <c r="FB55" s="31">
        <v>0.297</v>
      </c>
      <c r="FC55" s="31">
        <v>460.0</v>
      </c>
      <c r="FD55" s="31">
        <v>20.0</v>
      </c>
      <c r="FE55" s="31">
        <v>0.18</v>
      </c>
      <c r="FF55" s="31">
        <v>0.06</v>
      </c>
      <c r="FG55" s="31">
        <v>100.0</v>
      </c>
      <c r="FH55" s="31">
        <v>100.0</v>
      </c>
      <c r="FI55" s="31">
        <v>2.629</v>
      </c>
      <c r="FJ55" s="31">
        <v>0.5519</v>
      </c>
      <c r="FK55" s="31">
        <v>2.73003477521069</v>
      </c>
      <c r="FL55" s="31">
        <v>-2.2595428698806E-4</v>
      </c>
      <c r="FM55" s="43">
        <v>5.20417301097471E-9</v>
      </c>
      <c r="FN55" s="43">
        <v>1.17243702350096E-12</v>
      </c>
      <c r="FO55" s="31">
        <v>0.551873338452037</v>
      </c>
      <c r="FP55" s="31">
        <v>0.0</v>
      </c>
      <c r="FQ55" s="31">
        <v>0.0</v>
      </c>
      <c r="FR55" s="31">
        <v>0.0</v>
      </c>
      <c r="FS55" s="31">
        <v>1.0</v>
      </c>
      <c r="FT55" s="31">
        <v>2266.0</v>
      </c>
      <c r="FU55" s="31">
        <v>1.0</v>
      </c>
      <c r="FV55" s="31">
        <v>26.0</v>
      </c>
      <c r="FW55" s="31">
        <v>9.4</v>
      </c>
      <c r="FX55" s="31">
        <v>63.2</v>
      </c>
      <c r="FY55" s="31">
        <v>1.11816</v>
      </c>
      <c r="FZ55" s="31">
        <v>2.53906</v>
      </c>
      <c r="GA55" s="31">
        <v>1.59668</v>
      </c>
      <c r="GB55" s="31">
        <v>2.32056</v>
      </c>
      <c r="GC55" s="31">
        <v>1.5979</v>
      </c>
      <c r="GD55" s="31">
        <v>2.38281</v>
      </c>
      <c r="GE55" s="31">
        <v>42.6974</v>
      </c>
      <c r="GF55" s="31">
        <v>15.8044</v>
      </c>
      <c r="GG55" s="31">
        <v>18.0</v>
      </c>
      <c r="GH55" s="31">
        <v>507.431</v>
      </c>
      <c r="GI55" s="31">
        <v>477.226</v>
      </c>
      <c r="GJ55" s="31">
        <v>34.8535</v>
      </c>
      <c r="GK55" s="31">
        <v>34.7927</v>
      </c>
      <c r="GL55" s="31">
        <v>30.0005</v>
      </c>
      <c r="GM55" s="31">
        <v>34.7794</v>
      </c>
      <c r="GN55" s="31">
        <v>34.7238</v>
      </c>
      <c r="GO55" s="31">
        <v>22.4333</v>
      </c>
      <c r="GP55" s="31">
        <v>100.0</v>
      </c>
      <c r="GQ55" s="31">
        <v>0.0</v>
      </c>
      <c r="GR55" s="31">
        <v>-999.9</v>
      </c>
      <c r="GS55" s="31">
        <v>460.0</v>
      </c>
      <c r="GT55" s="31">
        <v>0.0</v>
      </c>
      <c r="GU55" s="31">
        <v>102.713</v>
      </c>
      <c r="GV55" s="31">
        <v>99.7552</v>
      </c>
    </row>
    <row r="56" ht="14.25" customHeight="1">
      <c r="A56" s="41" t="s">
        <v>113</v>
      </c>
      <c r="B56" s="41" t="s">
        <v>59</v>
      </c>
      <c r="C56" s="41" t="s">
        <v>86</v>
      </c>
      <c r="D56" s="31">
        <v>58.0</v>
      </c>
      <c r="E56" s="31">
        <v>1.7548859011E9</v>
      </c>
      <c r="F56" s="31">
        <v>8383.09999990463</v>
      </c>
      <c r="G56" s="31" t="s">
        <v>568</v>
      </c>
      <c r="H56" s="42">
        <v>0.5127430555555555</v>
      </c>
      <c r="I56" s="31" t="s">
        <v>409</v>
      </c>
      <c r="J56" s="31">
        <v>1.7548859011E9</v>
      </c>
      <c r="K56" s="31">
        <v>0.00292828022626379</v>
      </c>
      <c r="L56" s="31">
        <v>2.92828022626379</v>
      </c>
      <c r="M56" s="31">
        <v>0.979286015838055</v>
      </c>
      <c r="N56" s="31">
        <v>457.173998623599</v>
      </c>
      <c r="O56" s="31">
        <v>439.222823358932</v>
      </c>
      <c r="P56" s="31">
        <v>44.3491774922689</v>
      </c>
      <c r="Q56" s="31">
        <v>46.1617423583641</v>
      </c>
      <c r="R56" s="31">
        <v>0.211670294252871</v>
      </c>
      <c r="S56" s="31">
        <v>2.76916138471694</v>
      </c>
      <c r="T56" s="31">
        <v>0.203074894247909</v>
      </c>
      <c r="U56" s="31">
        <v>0.127664987188747</v>
      </c>
      <c r="V56" s="31">
        <v>31.4393981581966</v>
      </c>
      <c r="W56" s="31">
        <v>33.186235273484</v>
      </c>
      <c r="X56" s="31">
        <v>33.3391</v>
      </c>
      <c r="Y56" s="31">
        <v>5.14916839575215</v>
      </c>
      <c r="Z56" s="31">
        <v>71.1516634689634</v>
      </c>
      <c r="AA56" s="31">
        <v>3.75739786237589</v>
      </c>
      <c r="AB56" s="31">
        <v>5.28082925849637</v>
      </c>
      <c r="AC56" s="31">
        <v>1.39177053337625</v>
      </c>
      <c r="AD56" s="31">
        <v>-129.137157978233</v>
      </c>
      <c r="AE56" s="31">
        <v>67.3601120920743</v>
      </c>
      <c r="AF56" s="31">
        <v>5.6018621098178</v>
      </c>
      <c r="AG56" s="31">
        <v>-24.7357856181445</v>
      </c>
      <c r="AH56" s="31">
        <v>0.0</v>
      </c>
      <c r="AI56" s="31">
        <v>0.0</v>
      </c>
      <c r="AJ56" s="31">
        <v>1.0</v>
      </c>
      <c r="AK56" s="31">
        <v>0.0</v>
      </c>
      <c r="AL56" s="31">
        <v>47255.0</v>
      </c>
      <c r="AM56" s="31" t="s">
        <v>410</v>
      </c>
      <c r="AN56" s="31">
        <v>8173.37</v>
      </c>
      <c r="AO56" s="31">
        <v>559.295999999999</v>
      </c>
      <c r="AP56" s="31">
        <v>2893.93</v>
      </c>
      <c r="AQ56" s="31">
        <v>0.806734786259515</v>
      </c>
      <c r="AR56" s="31">
        <v>-2.38169762951563</v>
      </c>
      <c r="AS56" s="31" t="s">
        <v>569</v>
      </c>
      <c r="AT56" s="31">
        <v>8153.75</v>
      </c>
      <c r="AU56" s="31">
        <v>260.359807692307</v>
      </c>
      <c r="AV56" s="31">
        <v>726.71</v>
      </c>
      <c r="AW56" s="31">
        <v>0.641728051502927</v>
      </c>
      <c r="AX56" s="31">
        <v>0.5</v>
      </c>
      <c r="AY56" s="31">
        <v>160.255928993884</v>
      </c>
      <c r="AZ56" s="31">
        <v>0.979286015838055</v>
      </c>
      <c r="BA56" s="31">
        <v>51.4203625275184</v>
      </c>
      <c r="BB56" s="31">
        <v>0.0209726009293668</v>
      </c>
      <c r="BC56" s="31">
        <v>2.9822350043346</v>
      </c>
      <c r="BD56" s="31">
        <v>354.801688121739</v>
      </c>
      <c r="BE56" s="31" t="s">
        <v>570</v>
      </c>
      <c r="BF56" s="31">
        <v>-959.0</v>
      </c>
      <c r="BG56" s="31">
        <v>-959.0</v>
      </c>
      <c r="BH56" s="31">
        <v>2.31964607615142</v>
      </c>
      <c r="BI56" s="31">
        <v>0.276649122510806</v>
      </c>
      <c r="BJ56" s="31">
        <v>0.562486211792064</v>
      </c>
      <c r="BK56" s="31">
        <v>2.78561047646966</v>
      </c>
      <c r="BL56" s="31">
        <v>0.928291115438222</v>
      </c>
      <c r="BM56" s="31">
        <v>-1.01899947937203</v>
      </c>
      <c r="BN56" s="31">
        <v>2.01899947937203</v>
      </c>
      <c r="BO56" s="31" t="s">
        <v>413</v>
      </c>
      <c r="BP56" s="31" t="s">
        <v>413</v>
      </c>
      <c r="BQ56" s="31" t="s">
        <v>413</v>
      </c>
      <c r="BR56" s="31" t="s">
        <v>413</v>
      </c>
      <c r="BS56" s="31" t="s">
        <v>413</v>
      </c>
      <c r="BT56" s="31" t="s">
        <v>413</v>
      </c>
      <c r="BU56" s="31" t="s">
        <v>413</v>
      </c>
      <c r="BV56" s="31" t="s">
        <v>413</v>
      </c>
      <c r="BW56" s="31" t="s">
        <v>413</v>
      </c>
      <c r="BX56" s="31" t="s">
        <v>413</v>
      </c>
      <c r="BY56" s="31" t="s">
        <v>413</v>
      </c>
      <c r="BZ56" s="31" t="s">
        <v>413</v>
      </c>
      <c r="CA56" s="31" t="s">
        <v>413</v>
      </c>
      <c r="CB56" s="31" t="s">
        <v>413</v>
      </c>
      <c r="CC56" s="31" t="s">
        <v>413</v>
      </c>
      <c r="CD56" s="31" t="s">
        <v>413</v>
      </c>
      <c r="CE56" s="31" t="s">
        <v>413</v>
      </c>
      <c r="CF56" s="31" t="s">
        <v>413</v>
      </c>
      <c r="CG56" s="31" t="s">
        <v>413</v>
      </c>
      <c r="CH56" s="31" t="s">
        <v>413</v>
      </c>
      <c r="CI56" s="31" t="s">
        <v>413</v>
      </c>
      <c r="CJ56" s="31" t="s">
        <v>413</v>
      </c>
      <c r="CK56" s="31" t="s">
        <v>413</v>
      </c>
      <c r="CL56" s="31" t="s">
        <v>413</v>
      </c>
      <c r="CM56" s="31" t="s">
        <v>413</v>
      </c>
      <c r="CN56" s="31" t="s">
        <v>413</v>
      </c>
      <c r="CO56" s="31" t="s">
        <v>413</v>
      </c>
      <c r="CP56" s="31" t="s">
        <v>413</v>
      </c>
      <c r="CQ56" s="31" t="s">
        <v>413</v>
      </c>
      <c r="CR56" s="31" t="s">
        <v>413</v>
      </c>
      <c r="CS56" s="31" t="s">
        <v>413</v>
      </c>
      <c r="CT56" s="31" t="s">
        <v>413</v>
      </c>
      <c r="CU56" s="31" t="s">
        <v>413</v>
      </c>
      <c r="CV56" s="31" t="s">
        <v>413</v>
      </c>
      <c r="CW56" s="31">
        <v>190.103</v>
      </c>
      <c r="CX56" s="31">
        <v>160.255928993884</v>
      </c>
      <c r="CY56" s="31">
        <v>0.8429952656922</v>
      </c>
      <c r="CZ56" s="31">
        <v>0.165380862785945</v>
      </c>
      <c r="DA56" s="31">
        <v>6.0</v>
      </c>
      <c r="DB56" s="31">
        <v>0.5</v>
      </c>
      <c r="DC56" s="31" t="s">
        <v>414</v>
      </c>
      <c r="DD56" s="31">
        <v>2.0</v>
      </c>
      <c r="DE56" s="31">
        <v>1.7548859011E9</v>
      </c>
      <c r="DF56" s="31">
        <v>457.174</v>
      </c>
      <c r="DG56" s="31">
        <v>459.954</v>
      </c>
      <c r="DH56" s="31">
        <v>37.2123</v>
      </c>
      <c r="DI56" s="31">
        <v>33.8311</v>
      </c>
      <c r="DJ56" s="31">
        <v>454.232</v>
      </c>
      <c r="DK56" s="31">
        <v>36.6604</v>
      </c>
      <c r="DL56" s="31">
        <v>500.292</v>
      </c>
      <c r="DM56" s="31">
        <v>100.872</v>
      </c>
      <c r="DN56" s="31">
        <v>0.099933</v>
      </c>
      <c r="DO56" s="31">
        <v>33.7903</v>
      </c>
      <c r="DP56" s="31">
        <v>33.3391</v>
      </c>
      <c r="DQ56" s="31">
        <v>999.9</v>
      </c>
      <c r="DR56" s="31">
        <v>0.0</v>
      </c>
      <c r="DS56" s="31">
        <v>0.0</v>
      </c>
      <c r="DT56" s="31">
        <v>9033.75</v>
      </c>
      <c r="DU56" s="31">
        <v>0.0</v>
      </c>
      <c r="DV56" s="31">
        <v>795.66</v>
      </c>
      <c r="DW56" s="31">
        <v>190.103</v>
      </c>
      <c r="DX56" s="31">
        <v>0.900092</v>
      </c>
      <c r="DY56" s="31">
        <v>0.0999081</v>
      </c>
      <c r="DZ56" s="31">
        <v>0.0</v>
      </c>
      <c r="EA56" s="31">
        <v>258.895</v>
      </c>
      <c r="EB56" s="31">
        <v>0.0999973</v>
      </c>
      <c r="EC56" s="31">
        <v>1542.17</v>
      </c>
      <c r="ED56" s="31">
        <v>1685.03</v>
      </c>
      <c r="EE56" s="31">
        <v>38.937</v>
      </c>
      <c r="EF56" s="31">
        <v>42.437</v>
      </c>
      <c r="EG56" s="31">
        <v>40.5</v>
      </c>
      <c r="EH56" s="31">
        <v>42.062</v>
      </c>
      <c r="EI56" s="31">
        <v>41.5</v>
      </c>
      <c r="EJ56" s="31">
        <v>171.02</v>
      </c>
      <c r="EK56" s="31">
        <v>18.98</v>
      </c>
      <c r="EL56" s="31">
        <v>0.0</v>
      </c>
      <c r="EM56" s="31">
        <v>138.0</v>
      </c>
      <c r="EN56" s="31">
        <v>0.0</v>
      </c>
      <c r="EO56" s="31">
        <v>260.359807692307</v>
      </c>
      <c r="EP56" s="31">
        <v>-16.2155557771477</v>
      </c>
      <c r="EQ56" s="31">
        <v>-37.8030779547099</v>
      </c>
      <c r="ER56" s="31">
        <v>1565.02461538461</v>
      </c>
      <c r="ES56" s="31">
        <v>15.0</v>
      </c>
      <c r="ET56" s="31">
        <v>1.7548857791E9</v>
      </c>
      <c r="EU56" s="42">
        <v>0.5113310185185185</v>
      </c>
      <c r="EV56" s="31">
        <v>1.7548857791E9</v>
      </c>
      <c r="EW56" s="31">
        <v>1.7548765351E9</v>
      </c>
      <c r="EX56" s="31">
        <v>16.0</v>
      </c>
      <c r="EY56" s="31">
        <v>-0.008</v>
      </c>
      <c r="EZ56" s="31">
        <v>-0.002</v>
      </c>
      <c r="FA56" s="31">
        <v>2.942</v>
      </c>
      <c r="FB56" s="31">
        <v>0.297</v>
      </c>
      <c r="FC56" s="31">
        <v>460.0</v>
      </c>
      <c r="FD56" s="31">
        <v>20.0</v>
      </c>
      <c r="FE56" s="31">
        <v>0.23</v>
      </c>
      <c r="FF56" s="31">
        <v>0.06</v>
      </c>
      <c r="FG56" s="31">
        <v>100.0</v>
      </c>
      <c r="FH56" s="31">
        <v>100.0</v>
      </c>
      <c r="FI56" s="31">
        <v>2.942</v>
      </c>
      <c r="FJ56" s="31">
        <v>0.5519</v>
      </c>
      <c r="FK56" s="31">
        <v>3.04387494224265</v>
      </c>
      <c r="FL56" s="31">
        <v>-2.2595428698806E-4</v>
      </c>
      <c r="FM56" s="43">
        <v>5.20417301097471E-9</v>
      </c>
      <c r="FN56" s="43">
        <v>1.17243702350096E-12</v>
      </c>
      <c r="FO56" s="31">
        <v>0.551873338452037</v>
      </c>
      <c r="FP56" s="31">
        <v>0.0</v>
      </c>
      <c r="FQ56" s="31">
        <v>0.0</v>
      </c>
      <c r="FR56" s="31">
        <v>0.0</v>
      </c>
      <c r="FS56" s="31">
        <v>1.0</v>
      </c>
      <c r="FT56" s="31">
        <v>2266.0</v>
      </c>
      <c r="FU56" s="31">
        <v>1.0</v>
      </c>
      <c r="FV56" s="31">
        <v>26.0</v>
      </c>
      <c r="FW56" s="31">
        <v>2.0</v>
      </c>
      <c r="FX56" s="31">
        <v>156.1</v>
      </c>
      <c r="FY56" s="31">
        <v>1.12427</v>
      </c>
      <c r="FZ56" s="31">
        <v>2.56714</v>
      </c>
      <c r="GA56" s="31">
        <v>1.59668</v>
      </c>
      <c r="GB56" s="31">
        <v>2.31689</v>
      </c>
      <c r="GC56" s="31">
        <v>1.5979</v>
      </c>
      <c r="GD56" s="31">
        <v>2.27173</v>
      </c>
      <c r="GE56" s="31">
        <v>43.1009</v>
      </c>
      <c r="GF56" s="31">
        <v>14.9989</v>
      </c>
      <c r="GG56" s="31">
        <v>18.0</v>
      </c>
      <c r="GH56" s="31">
        <v>508.71</v>
      </c>
      <c r="GI56" s="31">
        <v>467.381</v>
      </c>
      <c r="GJ56" s="31">
        <v>33.7362</v>
      </c>
      <c r="GK56" s="31">
        <v>34.1897</v>
      </c>
      <c r="GL56" s="31">
        <v>30.0007</v>
      </c>
      <c r="GM56" s="31">
        <v>34.2372</v>
      </c>
      <c r="GN56" s="31">
        <v>34.1999</v>
      </c>
      <c r="GO56" s="31">
        <v>22.5495</v>
      </c>
      <c r="GP56" s="31">
        <v>100.0</v>
      </c>
      <c r="GQ56" s="31">
        <v>0.0</v>
      </c>
      <c r="GR56" s="31">
        <v>-999.9</v>
      </c>
      <c r="GS56" s="31">
        <v>460.0</v>
      </c>
      <c r="GT56" s="31">
        <v>15.5881</v>
      </c>
      <c r="GU56" s="31">
        <v>102.654</v>
      </c>
      <c r="GV56" s="31">
        <v>99.9027</v>
      </c>
    </row>
    <row r="57" ht="14.25" customHeight="1">
      <c r="A57" s="41" t="s">
        <v>113</v>
      </c>
      <c r="B57" s="41" t="s">
        <v>59</v>
      </c>
      <c r="C57" s="41" t="s">
        <v>87</v>
      </c>
      <c r="D57" s="31">
        <v>59.0</v>
      </c>
      <c r="E57" s="31">
        <v>1.7548860326E9</v>
      </c>
      <c r="F57" s="31">
        <v>8514.59999990463</v>
      </c>
      <c r="G57" s="31" t="s">
        <v>571</v>
      </c>
      <c r="H57" s="42">
        <v>0.5142592592592593</v>
      </c>
      <c r="I57" s="31" t="s">
        <v>409</v>
      </c>
      <c r="J57" s="31">
        <v>1.7548860326E9</v>
      </c>
      <c r="K57" s="31">
        <v>0.00538049145720769</v>
      </c>
      <c r="L57" s="31">
        <v>5.38049145720769</v>
      </c>
      <c r="M57" s="31">
        <v>2.69550811165485</v>
      </c>
      <c r="N57" s="31">
        <v>453.850996169103</v>
      </c>
      <c r="O57" s="31">
        <v>438.230484612862</v>
      </c>
      <c r="P57" s="31">
        <v>44.2468633541078</v>
      </c>
      <c r="Q57" s="31">
        <v>45.8240211845605</v>
      </c>
      <c r="R57" s="31">
        <v>0.573093827311438</v>
      </c>
      <c r="S57" s="31">
        <v>2.76015057875568</v>
      </c>
      <c r="T57" s="31">
        <v>0.514273200494921</v>
      </c>
      <c r="U57" s="31">
        <v>0.326201000943487</v>
      </c>
      <c r="V57" s="31">
        <v>31.4535720674141</v>
      </c>
      <c r="W57" s="31">
        <v>32.6982218045115</v>
      </c>
      <c r="X57" s="31">
        <v>33.0324</v>
      </c>
      <c r="Y57" s="31">
        <v>5.06131161289453</v>
      </c>
      <c r="Z57" s="31">
        <v>75.957314237409</v>
      </c>
      <c r="AA57" s="31">
        <v>4.052637853911</v>
      </c>
      <c r="AB57" s="31">
        <v>5.33541489005817</v>
      </c>
      <c r="AC57" s="31">
        <v>1.00867375898353</v>
      </c>
      <c r="AD57" s="31">
        <v>-237.279673262859</v>
      </c>
      <c r="AE57" s="31">
        <v>140.189414721567</v>
      </c>
      <c r="AF57" s="31">
        <v>11.6896304716846</v>
      </c>
      <c r="AG57" s="31">
        <v>-53.9470560021931</v>
      </c>
      <c r="AH57" s="31">
        <v>0.0</v>
      </c>
      <c r="AI57" s="31">
        <v>0.0</v>
      </c>
      <c r="AJ57" s="31">
        <v>1.0</v>
      </c>
      <c r="AK57" s="31">
        <v>0.0</v>
      </c>
      <c r="AL57" s="31">
        <v>46980.0</v>
      </c>
      <c r="AM57" s="31" t="s">
        <v>410</v>
      </c>
      <c r="AN57" s="31">
        <v>8173.37</v>
      </c>
      <c r="AO57" s="31">
        <v>559.295999999999</v>
      </c>
      <c r="AP57" s="31">
        <v>2893.93</v>
      </c>
      <c r="AQ57" s="31">
        <v>0.806734786259515</v>
      </c>
      <c r="AR57" s="31">
        <v>-2.38169762951563</v>
      </c>
      <c r="AS57" s="31" t="s">
        <v>572</v>
      </c>
      <c r="AT57" s="31">
        <v>8154.93</v>
      </c>
      <c r="AU57" s="31">
        <v>566.931399999999</v>
      </c>
      <c r="AV57" s="31">
        <v>1627.36</v>
      </c>
      <c r="AW57" s="31">
        <v>0.651625086028905</v>
      </c>
      <c r="AX57" s="31">
        <v>0.5</v>
      </c>
      <c r="AY57" s="31">
        <v>160.327643972753</v>
      </c>
      <c r="AZ57" s="31">
        <v>2.69550811165485</v>
      </c>
      <c r="BA57" s="31">
        <v>52.2367573982786</v>
      </c>
      <c r="BB57" s="31">
        <v>0.0316676875887562</v>
      </c>
      <c r="BC57" s="31">
        <v>0.778297365057516</v>
      </c>
      <c r="BD57" s="31">
        <v>486.167718185257</v>
      </c>
      <c r="BE57" s="31" t="s">
        <v>573</v>
      </c>
      <c r="BF57" s="31">
        <v>-439.33</v>
      </c>
      <c r="BG57" s="31">
        <v>-439.33</v>
      </c>
      <c r="BH57" s="31">
        <v>1.26996485104709</v>
      </c>
      <c r="BI57" s="31">
        <v>0.513104819784292</v>
      </c>
      <c r="BJ57" s="31">
        <v>0.37997935954591</v>
      </c>
      <c r="BK57" s="31">
        <v>0.99285117745753</v>
      </c>
      <c r="BL57" s="31">
        <v>0.542513301870871</v>
      </c>
      <c r="BM57" s="31">
        <v>-0.397618372303656</v>
      </c>
      <c r="BN57" s="31">
        <v>1.39761837230365</v>
      </c>
      <c r="BO57" s="31" t="s">
        <v>413</v>
      </c>
      <c r="BP57" s="31" t="s">
        <v>413</v>
      </c>
      <c r="BQ57" s="31" t="s">
        <v>413</v>
      </c>
      <c r="BR57" s="31" t="s">
        <v>413</v>
      </c>
      <c r="BS57" s="31" t="s">
        <v>413</v>
      </c>
      <c r="BT57" s="31" t="s">
        <v>413</v>
      </c>
      <c r="BU57" s="31" t="s">
        <v>413</v>
      </c>
      <c r="BV57" s="31" t="s">
        <v>413</v>
      </c>
      <c r="BW57" s="31" t="s">
        <v>413</v>
      </c>
      <c r="BX57" s="31" t="s">
        <v>413</v>
      </c>
      <c r="BY57" s="31" t="s">
        <v>413</v>
      </c>
      <c r="BZ57" s="31" t="s">
        <v>413</v>
      </c>
      <c r="CA57" s="31" t="s">
        <v>413</v>
      </c>
      <c r="CB57" s="31" t="s">
        <v>413</v>
      </c>
      <c r="CC57" s="31" t="s">
        <v>413</v>
      </c>
      <c r="CD57" s="31" t="s">
        <v>413</v>
      </c>
      <c r="CE57" s="31" t="s">
        <v>413</v>
      </c>
      <c r="CF57" s="31" t="s">
        <v>413</v>
      </c>
      <c r="CG57" s="31" t="s">
        <v>413</v>
      </c>
      <c r="CH57" s="31" t="s">
        <v>413</v>
      </c>
      <c r="CI57" s="31" t="s">
        <v>413</v>
      </c>
      <c r="CJ57" s="31" t="s">
        <v>413</v>
      </c>
      <c r="CK57" s="31" t="s">
        <v>413</v>
      </c>
      <c r="CL57" s="31" t="s">
        <v>413</v>
      </c>
      <c r="CM57" s="31" t="s">
        <v>413</v>
      </c>
      <c r="CN57" s="31" t="s">
        <v>413</v>
      </c>
      <c r="CO57" s="31" t="s">
        <v>413</v>
      </c>
      <c r="CP57" s="31" t="s">
        <v>413</v>
      </c>
      <c r="CQ57" s="31" t="s">
        <v>413</v>
      </c>
      <c r="CR57" s="31" t="s">
        <v>413</v>
      </c>
      <c r="CS57" s="31" t="s">
        <v>413</v>
      </c>
      <c r="CT57" s="31" t="s">
        <v>413</v>
      </c>
      <c r="CU57" s="31" t="s">
        <v>413</v>
      </c>
      <c r="CV57" s="31" t="s">
        <v>413</v>
      </c>
      <c r="CW57" s="31">
        <v>190.188</v>
      </c>
      <c r="CX57" s="31">
        <v>160.327643972753</v>
      </c>
      <c r="CY57" s="31">
        <v>0.842995583174298</v>
      </c>
      <c r="CZ57" s="31">
        <v>0.165381475526395</v>
      </c>
      <c r="DA57" s="31">
        <v>6.0</v>
      </c>
      <c r="DB57" s="31">
        <v>0.5</v>
      </c>
      <c r="DC57" s="31" t="s">
        <v>414</v>
      </c>
      <c r="DD57" s="31">
        <v>2.0</v>
      </c>
      <c r="DE57" s="31">
        <v>1.7548860326E9</v>
      </c>
      <c r="DF57" s="31">
        <v>453.851</v>
      </c>
      <c r="DG57" s="31">
        <v>460.017</v>
      </c>
      <c r="DH57" s="31">
        <v>40.1382</v>
      </c>
      <c r="DI57" s="31">
        <v>33.9397</v>
      </c>
      <c r="DJ57" s="31">
        <v>450.908</v>
      </c>
      <c r="DK57" s="31">
        <v>39.5864</v>
      </c>
      <c r="DL57" s="31">
        <v>499.914</v>
      </c>
      <c r="DM57" s="31">
        <v>100.867</v>
      </c>
      <c r="DN57" s="31">
        <v>0.100105</v>
      </c>
      <c r="DO57" s="31">
        <v>33.9745</v>
      </c>
      <c r="DP57" s="31">
        <v>33.0324</v>
      </c>
      <c r="DQ57" s="31">
        <v>999.9</v>
      </c>
      <c r="DR57" s="31">
        <v>0.0</v>
      </c>
      <c r="DS57" s="31">
        <v>0.0</v>
      </c>
      <c r="DT57" s="31">
        <v>8986.25</v>
      </c>
      <c r="DU57" s="31">
        <v>0.0</v>
      </c>
      <c r="DV57" s="31">
        <v>345.001</v>
      </c>
      <c r="DW57" s="31">
        <v>190.188</v>
      </c>
      <c r="DX57" s="31">
        <v>0.900074</v>
      </c>
      <c r="DY57" s="31">
        <v>0.0999256</v>
      </c>
      <c r="DZ57" s="31">
        <v>0.0</v>
      </c>
      <c r="EA57" s="31">
        <v>563.145</v>
      </c>
      <c r="EB57" s="31">
        <v>0.0999973</v>
      </c>
      <c r="EC57" s="31">
        <v>1701.7</v>
      </c>
      <c r="ED57" s="31">
        <v>1685.77</v>
      </c>
      <c r="EE57" s="31">
        <v>39.312</v>
      </c>
      <c r="EF57" s="31">
        <v>42.875</v>
      </c>
      <c r="EG57" s="31">
        <v>40.875</v>
      </c>
      <c r="EH57" s="31">
        <v>42.5</v>
      </c>
      <c r="EI57" s="31">
        <v>41.875</v>
      </c>
      <c r="EJ57" s="31">
        <v>171.09</v>
      </c>
      <c r="EK57" s="31">
        <v>18.99</v>
      </c>
      <c r="EL57" s="31">
        <v>0.0</v>
      </c>
      <c r="EM57" s="31">
        <v>129.0</v>
      </c>
      <c r="EN57" s="31">
        <v>0.0</v>
      </c>
      <c r="EO57" s="31">
        <v>566.931399999999</v>
      </c>
      <c r="EP57" s="31">
        <v>-20.7003846203376</v>
      </c>
      <c r="EQ57" s="31">
        <v>-1037.26846292742</v>
      </c>
      <c r="ER57" s="31">
        <v>1886.52799999999</v>
      </c>
      <c r="ES57" s="31">
        <v>15.0</v>
      </c>
      <c r="ET57" s="31">
        <v>1.7548857791E9</v>
      </c>
      <c r="EU57" s="42">
        <v>0.5113310185185185</v>
      </c>
      <c r="EV57" s="31">
        <v>1.7548857791E9</v>
      </c>
      <c r="EW57" s="31">
        <v>1.7548765351E9</v>
      </c>
      <c r="EX57" s="31">
        <v>16.0</v>
      </c>
      <c r="EY57" s="31">
        <v>-0.008</v>
      </c>
      <c r="EZ57" s="31">
        <v>-0.002</v>
      </c>
      <c r="FA57" s="31">
        <v>2.942</v>
      </c>
      <c r="FB57" s="31">
        <v>0.297</v>
      </c>
      <c r="FC57" s="31">
        <v>460.0</v>
      </c>
      <c r="FD57" s="31">
        <v>20.0</v>
      </c>
      <c r="FE57" s="31">
        <v>0.23</v>
      </c>
      <c r="FF57" s="31">
        <v>0.06</v>
      </c>
      <c r="FG57" s="31">
        <v>100.0</v>
      </c>
      <c r="FH57" s="31">
        <v>100.0</v>
      </c>
      <c r="FI57" s="31">
        <v>2.943</v>
      </c>
      <c r="FJ57" s="31">
        <v>0.5518</v>
      </c>
      <c r="FK57" s="31">
        <v>3.04387494224265</v>
      </c>
      <c r="FL57" s="31">
        <v>-2.2595428698806E-4</v>
      </c>
      <c r="FM57" s="43">
        <v>5.20417301097471E-9</v>
      </c>
      <c r="FN57" s="43">
        <v>1.17243702350096E-12</v>
      </c>
      <c r="FO57" s="31">
        <v>0.551873338452037</v>
      </c>
      <c r="FP57" s="31">
        <v>0.0</v>
      </c>
      <c r="FQ57" s="31">
        <v>0.0</v>
      </c>
      <c r="FR57" s="31">
        <v>0.0</v>
      </c>
      <c r="FS57" s="31">
        <v>1.0</v>
      </c>
      <c r="FT57" s="31">
        <v>2266.0</v>
      </c>
      <c r="FU57" s="31">
        <v>1.0</v>
      </c>
      <c r="FV57" s="31">
        <v>26.0</v>
      </c>
      <c r="FW57" s="31">
        <v>4.2</v>
      </c>
      <c r="FX57" s="31">
        <v>158.3</v>
      </c>
      <c r="FY57" s="31">
        <v>1.12305</v>
      </c>
      <c r="FZ57" s="31">
        <v>2.55493</v>
      </c>
      <c r="GA57" s="31">
        <v>1.59668</v>
      </c>
      <c r="GB57" s="31">
        <v>2.31689</v>
      </c>
      <c r="GC57" s="31">
        <v>1.5979</v>
      </c>
      <c r="GD57" s="31">
        <v>2.40479</v>
      </c>
      <c r="GE57" s="31">
        <v>43.155</v>
      </c>
      <c r="GF57" s="31">
        <v>14.9989</v>
      </c>
      <c r="GG57" s="31">
        <v>18.0</v>
      </c>
      <c r="GH57" s="31">
        <v>508.84</v>
      </c>
      <c r="GI57" s="31">
        <v>466.9</v>
      </c>
      <c r="GJ57" s="31">
        <v>33.8891</v>
      </c>
      <c r="GK57" s="31">
        <v>34.4167</v>
      </c>
      <c r="GL57" s="31">
        <v>30.001</v>
      </c>
      <c r="GM57" s="31">
        <v>34.4246</v>
      </c>
      <c r="GN57" s="31">
        <v>34.3785</v>
      </c>
      <c r="GO57" s="31">
        <v>22.5458</v>
      </c>
      <c r="GP57" s="31">
        <v>100.0</v>
      </c>
      <c r="GQ57" s="31">
        <v>0.0</v>
      </c>
      <c r="GR57" s="31">
        <v>-999.9</v>
      </c>
      <c r="GS57" s="31">
        <v>460.0</v>
      </c>
      <c r="GT57" s="31">
        <v>15.5881</v>
      </c>
      <c r="GU57" s="31">
        <v>102.613</v>
      </c>
      <c r="GV57" s="31">
        <v>99.8562</v>
      </c>
    </row>
    <row r="58" ht="14.25" customHeight="1">
      <c r="A58" s="41" t="s">
        <v>113</v>
      </c>
      <c r="B58" s="41" t="s">
        <v>61</v>
      </c>
      <c r="C58" s="41" t="s">
        <v>86</v>
      </c>
      <c r="D58" s="31">
        <v>28.0</v>
      </c>
      <c r="E58" s="31">
        <v>1.754881664E9</v>
      </c>
      <c r="F58" s="31">
        <v>4146.0</v>
      </c>
      <c r="G58" s="31" t="s">
        <v>574</v>
      </c>
      <c r="H58" s="42">
        <v>0.46370370370370373</v>
      </c>
      <c r="I58" s="31" t="s">
        <v>409</v>
      </c>
      <c r="J58" s="31">
        <v>1.754881664E9</v>
      </c>
      <c r="K58" s="31">
        <v>0.00143722422167626</v>
      </c>
      <c r="L58" s="31">
        <v>1.43722422167626</v>
      </c>
      <c r="M58" s="31">
        <v>2.49543642389024</v>
      </c>
      <c r="N58" s="31">
        <v>456.23499646523</v>
      </c>
      <c r="O58" s="31">
        <v>388.086403710602</v>
      </c>
      <c r="P58" s="31">
        <v>39.2063313699416</v>
      </c>
      <c r="Q58" s="31">
        <v>46.0910258204218</v>
      </c>
      <c r="R58" s="31">
        <v>0.073754981050997</v>
      </c>
      <c r="S58" s="31">
        <v>2.76946439190836</v>
      </c>
      <c r="T58" s="31">
        <v>0.0726809049182634</v>
      </c>
      <c r="U58" s="31">
        <v>0.0455207639967841</v>
      </c>
      <c r="V58" s="31">
        <v>31.4226937773242</v>
      </c>
      <c r="W58" s="31">
        <v>35.9400691662624</v>
      </c>
      <c r="X58" s="31">
        <v>35.345</v>
      </c>
      <c r="Y58" s="31">
        <v>5.75718331743744</v>
      </c>
      <c r="Z58" s="31">
        <v>64.0923484871135</v>
      </c>
      <c r="AA58" s="31">
        <v>3.85450836055926</v>
      </c>
      <c r="AB58" s="31">
        <v>6.01399145380708</v>
      </c>
      <c r="AC58" s="31">
        <v>1.90267495687818</v>
      </c>
      <c r="AD58" s="31">
        <v>-63.3815881759231</v>
      </c>
      <c r="AE58" s="31">
        <v>118.296224732168</v>
      </c>
      <c r="AF58" s="31">
        <v>10.0477905758726</v>
      </c>
      <c r="AG58" s="31">
        <v>96.3851209094419</v>
      </c>
      <c r="AH58" s="31">
        <v>0.0</v>
      </c>
      <c r="AI58" s="31">
        <v>0.0</v>
      </c>
      <c r="AJ58" s="31">
        <v>1.0</v>
      </c>
      <c r="AK58" s="31">
        <v>0.0</v>
      </c>
      <c r="AL58" s="31">
        <v>46905.0</v>
      </c>
      <c r="AM58" s="31" t="s">
        <v>410</v>
      </c>
      <c r="AN58" s="31">
        <v>8173.37</v>
      </c>
      <c r="AO58" s="31">
        <v>559.295999999999</v>
      </c>
      <c r="AP58" s="31">
        <v>2893.93</v>
      </c>
      <c r="AQ58" s="31">
        <v>0.806734786259515</v>
      </c>
      <c r="AR58" s="31">
        <v>-2.38169762951563</v>
      </c>
      <c r="AS58" s="31" t="s">
        <v>575</v>
      </c>
      <c r="AT58" s="31">
        <v>8170.95</v>
      </c>
      <c r="AU58" s="31">
        <v>502.202399999999</v>
      </c>
      <c r="AV58" s="31">
        <v>1512.04</v>
      </c>
      <c r="AW58" s="31">
        <v>0.667864342213168</v>
      </c>
      <c r="AX58" s="31">
        <v>0.5</v>
      </c>
      <c r="AY58" s="31">
        <v>160.170785998613</v>
      </c>
      <c r="AZ58" s="31">
        <v>2.49543642389024</v>
      </c>
      <c r="BA58" s="31">
        <v>53.4861783163651</v>
      </c>
      <c r="BB58" s="31">
        <v>0.0304495855657978</v>
      </c>
      <c r="BC58" s="31">
        <v>0.913924234808602</v>
      </c>
      <c r="BD58" s="31">
        <v>475.337287722736</v>
      </c>
      <c r="BE58" s="31" t="s">
        <v>576</v>
      </c>
      <c r="BF58" s="31">
        <v>-1184.33</v>
      </c>
      <c r="BG58" s="31">
        <v>-1184.33</v>
      </c>
      <c r="BH58" s="31">
        <v>1.78326631570593</v>
      </c>
      <c r="BI58" s="31">
        <v>0.37451744382262</v>
      </c>
      <c r="BJ58" s="31">
        <v>0.338843036000647</v>
      </c>
      <c r="BK58" s="31">
        <v>1.05992543642363</v>
      </c>
      <c r="BL58" s="31">
        <v>0.591908624649516</v>
      </c>
      <c r="BM58" s="31">
        <v>-0.883214106986435</v>
      </c>
      <c r="BN58" s="31">
        <v>1.88321410698643</v>
      </c>
      <c r="BO58" s="31" t="s">
        <v>413</v>
      </c>
      <c r="BP58" s="31" t="s">
        <v>413</v>
      </c>
      <c r="BQ58" s="31" t="s">
        <v>413</v>
      </c>
      <c r="BR58" s="31" t="s">
        <v>413</v>
      </c>
      <c r="BS58" s="31" t="s">
        <v>413</v>
      </c>
      <c r="BT58" s="31" t="s">
        <v>413</v>
      </c>
      <c r="BU58" s="31" t="s">
        <v>413</v>
      </c>
      <c r="BV58" s="31" t="s">
        <v>413</v>
      </c>
      <c r="BW58" s="31" t="s">
        <v>413</v>
      </c>
      <c r="BX58" s="31" t="s">
        <v>413</v>
      </c>
      <c r="BY58" s="31" t="s">
        <v>413</v>
      </c>
      <c r="BZ58" s="31" t="s">
        <v>413</v>
      </c>
      <c r="CA58" s="31" t="s">
        <v>413</v>
      </c>
      <c r="CB58" s="31" t="s">
        <v>413</v>
      </c>
      <c r="CC58" s="31" t="s">
        <v>413</v>
      </c>
      <c r="CD58" s="31" t="s">
        <v>413</v>
      </c>
      <c r="CE58" s="31" t="s">
        <v>413</v>
      </c>
      <c r="CF58" s="31" t="s">
        <v>413</v>
      </c>
      <c r="CG58" s="31" t="s">
        <v>413</v>
      </c>
      <c r="CH58" s="31" t="s">
        <v>413</v>
      </c>
      <c r="CI58" s="31" t="s">
        <v>413</v>
      </c>
      <c r="CJ58" s="31" t="s">
        <v>413</v>
      </c>
      <c r="CK58" s="31" t="s">
        <v>413</v>
      </c>
      <c r="CL58" s="31" t="s">
        <v>413</v>
      </c>
      <c r="CM58" s="31" t="s">
        <v>413</v>
      </c>
      <c r="CN58" s="31" t="s">
        <v>413</v>
      </c>
      <c r="CO58" s="31" t="s">
        <v>413</v>
      </c>
      <c r="CP58" s="31" t="s">
        <v>413</v>
      </c>
      <c r="CQ58" s="31" t="s">
        <v>413</v>
      </c>
      <c r="CR58" s="31" t="s">
        <v>413</v>
      </c>
      <c r="CS58" s="31" t="s">
        <v>413</v>
      </c>
      <c r="CT58" s="31" t="s">
        <v>413</v>
      </c>
      <c r="CU58" s="31" t="s">
        <v>413</v>
      </c>
      <c r="CV58" s="31" t="s">
        <v>413</v>
      </c>
      <c r="CW58" s="31">
        <v>190.002</v>
      </c>
      <c r="CX58" s="31">
        <v>160.170785998613</v>
      </c>
      <c r="CY58" s="31">
        <v>0.842995263200458</v>
      </c>
      <c r="CZ58" s="31">
        <v>0.165380857976885</v>
      </c>
      <c r="DA58" s="31">
        <v>6.0</v>
      </c>
      <c r="DB58" s="31">
        <v>0.5</v>
      </c>
      <c r="DC58" s="31" t="s">
        <v>414</v>
      </c>
      <c r="DD58" s="31">
        <v>2.0</v>
      </c>
      <c r="DE58" s="31">
        <v>1.754881664E9</v>
      </c>
      <c r="DF58" s="31">
        <v>456.235</v>
      </c>
      <c r="DG58" s="31">
        <v>460.016</v>
      </c>
      <c r="DH58" s="31">
        <v>38.1541</v>
      </c>
      <c r="DI58" s="31">
        <v>36.4954</v>
      </c>
      <c r="DJ58" s="31">
        <v>453.407</v>
      </c>
      <c r="DK58" s="31">
        <v>37.6022</v>
      </c>
      <c r="DL58" s="31">
        <v>500.05</v>
      </c>
      <c r="DM58" s="31">
        <v>100.925</v>
      </c>
      <c r="DN58" s="31">
        <v>0.0997486</v>
      </c>
      <c r="DO58" s="31">
        <v>36.1373</v>
      </c>
      <c r="DP58" s="31">
        <v>35.345</v>
      </c>
      <c r="DQ58" s="31">
        <v>999.9</v>
      </c>
      <c r="DR58" s="31">
        <v>0.0</v>
      </c>
      <c r="DS58" s="31">
        <v>0.0</v>
      </c>
      <c r="DT58" s="31">
        <v>9030.62</v>
      </c>
      <c r="DU58" s="31">
        <v>0.0</v>
      </c>
      <c r="DV58" s="31">
        <v>860.066</v>
      </c>
      <c r="DW58" s="31">
        <v>190.002</v>
      </c>
      <c r="DX58" s="31">
        <v>0.90011</v>
      </c>
      <c r="DY58" s="31">
        <v>0.0998905</v>
      </c>
      <c r="DZ58" s="31">
        <v>0.0</v>
      </c>
      <c r="EA58" s="31">
        <v>500.08</v>
      </c>
      <c r="EB58" s="31">
        <v>0.0999973</v>
      </c>
      <c r="EC58" s="31">
        <v>2094.02</v>
      </c>
      <c r="ED58" s="31">
        <v>1684.14</v>
      </c>
      <c r="EE58" s="31">
        <v>41.25</v>
      </c>
      <c r="EF58" s="31">
        <v>44.812</v>
      </c>
      <c r="EG58" s="31">
        <v>42.812</v>
      </c>
      <c r="EH58" s="31">
        <v>44.437</v>
      </c>
      <c r="EI58" s="31">
        <v>43.875</v>
      </c>
      <c r="EJ58" s="31">
        <v>170.93</v>
      </c>
      <c r="EK58" s="31">
        <v>18.97</v>
      </c>
      <c r="EL58" s="31">
        <v>0.0</v>
      </c>
      <c r="EM58" s="31">
        <v>130.200000047683</v>
      </c>
      <c r="EN58" s="31">
        <v>0.0</v>
      </c>
      <c r="EO58" s="31">
        <v>502.202399999999</v>
      </c>
      <c r="EP58" s="31">
        <v>-12.4853845929482</v>
      </c>
      <c r="EQ58" s="31">
        <v>-898.556921913989</v>
      </c>
      <c r="ER58" s="31">
        <v>2165.22</v>
      </c>
      <c r="ES58" s="31">
        <v>15.0</v>
      </c>
      <c r="ET58" s="31">
        <v>1.754881279E9</v>
      </c>
      <c r="EU58" s="42">
        <v>0.45924768518518516</v>
      </c>
      <c r="EV58" s="31">
        <v>1.754881279E9</v>
      </c>
      <c r="EW58" s="31">
        <v>1.7548765351E9</v>
      </c>
      <c r="EX58" s="31">
        <v>9.0</v>
      </c>
      <c r="EY58" s="31">
        <v>0.098</v>
      </c>
      <c r="EZ58" s="31">
        <v>-0.002</v>
      </c>
      <c r="FA58" s="31">
        <v>2.828</v>
      </c>
      <c r="FB58" s="31">
        <v>0.297</v>
      </c>
      <c r="FC58" s="31">
        <v>460.0</v>
      </c>
      <c r="FD58" s="31">
        <v>20.0</v>
      </c>
      <c r="FE58" s="31">
        <v>0.56</v>
      </c>
      <c r="FF58" s="31">
        <v>0.06</v>
      </c>
      <c r="FG58" s="31">
        <v>100.0</v>
      </c>
      <c r="FH58" s="31">
        <v>100.0</v>
      </c>
      <c r="FI58" s="31">
        <v>2.828</v>
      </c>
      <c r="FJ58" s="31">
        <v>0.5519</v>
      </c>
      <c r="FK58" s="31">
        <v>2.92973507697512</v>
      </c>
      <c r="FL58" s="31">
        <v>-2.2595428698806E-4</v>
      </c>
      <c r="FM58" s="43">
        <v>5.20417301097471E-9</v>
      </c>
      <c r="FN58" s="43">
        <v>1.17243702350096E-12</v>
      </c>
      <c r="FO58" s="31">
        <v>0.551873338452037</v>
      </c>
      <c r="FP58" s="31">
        <v>0.0</v>
      </c>
      <c r="FQ58" s="31">
        <v>0.0</v>
      </c>
      <c r="FR58" s="31">
        <v>0.0</v>
      </c>
      <c r="FS58" s="31">
        <v>1.0</v>
      </c>
      <c r="FT58" s="31">
        <v>2266.0</v>
      </c>
      <c r="FU58" s="31">
        <v>1.0</v>
      </c>
      <c r="FV58" s="31">
        <v>26.0</v>
      </c>
      <c r="FW58" s="31">
        <v>6.4</v>
      </c>
      <c r="FX58" s="31">
        <v>85.5</v>
      </c>
      <c r="FY58" s="31">
        <v>1.12061</v>
      </c>
      <c r="FZ58" s="31">
        <v>2.55737</v>
      </c>
      <c r="GA58" s="31">
        <v>1.59668</v>
      </c>
      <c r="GB58" s="31">
        <v>2.31567</v>
      </c>
      <c r="GC58" s="31">
        <v>1.5979</v>
      </c>
      <c r="GD58" s="31">
        <v>2.28027</v>
      </c>
      <c r="GE58" s="31">
        <v>44.3899</v>
      </c>
      <c r="GF58" s="31">
        <v>15.5768</v>
      </c>
      <c r="GG58" s="31">
        <v>18.0</v>
      </c>
      <c r="GH58" s="31">
        <v>507.385</v>
      </c>
      <c r="GI58" s="31">
        <v>465.758</v>
      </c>
      <c r="GJ58" s="31">
        <v>36.0905</v>
      </c>
      <c r="GK58" s="31">
        <v>35.8562</v>
      </c>
      <c r="GL58" s="31">
        <v>30.0003</v>
      </c>
      <c r="GM58" s="31">
        <v>35.8205</v>
      </c>
      <c r="GN58" s="31">
        <v>35.7593</v>
      </c>
      <c r="GO58" s="31">
        <v>22.4887</v>
      </c>
      <c r="GP58" s="31">
        <v>100.0</v>
      </c>
      <c r="GQ58" s="31">
        <v>0.0</v>
      </c>
      <c r="GR58" s="31">
        <v>-999.9</v>
      </c>
      <c r="GS58" s="31">
        <v>460.0</v>
      </c>
      <c r="GT58" s="31">
        <v>0.0</v>
      </c>
      <c r="GU58" s="31">
        <v>102.54</v>
      </c>
      <c r="GV58" s="31">
        <v>99.6234</v>
      </c>
    </row>
    <row r="59" ht="14.25" customHeight="1">
      <c r="A59" s="41" t="s">
        <v>113</v>
      </c>
      <c r="B59" s="41" t="s">
        <v>61</v>
      </c>
      <c r="C59" s="41" t="s">
        <v>87</v>
      </c>
      <c r="D59" s="31">
        <v>29.0</v>
      </c>
      <c r="E59" s="31">
        <v>1.7548818075E9</v>
      </c>
      <c r="F59" s="31">
        <v>4289.5</v>
      </c>
      <c r="G59" s="31" t="s">
        <v>577</v>
      </c>
      <c r="H59" s="42">
        <v>0.4653587962962963</v>
      </c>
      <c r="I59" s="31" t="s">
        <v>409</v>
      </c>
      <c r="J59" s="31">
        <v>1.7548818075E9</v>
      </c>
      <c r="K59" s="31">
        <v>0.00314096108112771</v>
      </c>
      <c r="L59" s="31">
        <v>3.14096108112771</v>
      </c>
      <c r="M59" s="31">
        <v>3.32390680372695</v>
      </c>
      <c r="N59" s="31">
        <v>454.29699526104</v>
      </c>
      <c r="O59" s="31">
        <v>413.970253225676</v>
      </c>
      <c r="P59" s="31">
        <v>41.8192070483393</v>
      </c>
      <c r="Q59" s="31">
        <v>45.8930079111333</v>
      </c>
      <c r="R59" s="31">
        <v>0.192116227303263</v>
      </c>
      <c r="S59" s="31">
        <v>2.76315636122437</v>
      </c>
      <c r="T59" s="31">
        <v>0.184992039313543</v>
      </c>
      <c r="U59" s="31">
        <v>0.116238093753611</v>
      </c>
      <c r="V59" s="31">
        <v>31.4319143099144</v>
      </c>
      <c r="W59" s="31">
        <v>35.2084152091611</v>
      </c>
      <c r="X59" s="31">
        <v>35.1348</v>
      </c>
      <c r="Y59" s="31">
        <v>5.69067220557643</v>
      </c>
      <c r="Z59" s="31">
        <v>68.4757311679888</v>
      </c>
      <c r="AA59" s="31">
        <v>4.05822945967634</v>
      </c>
      <c r="AB59" s="31">
        <v>5.92652227359273</v>
      </c>
      <c r="AC59" s="31">
        <v>1.63244274590009</v>
      </c>
      <c r="AD59" s="31">
        <v>-138.516383677732</v>
      </c>
      <c r="AE59" s="31">
        <v>109.639922309298</v>
      </c>
      <c r="AF59" s="31">
        <v>9.31220254922931</v>
      </c>
      <c r="AG59" s="31">
        <v>11.8676554907101</v>
      </c>
      <c r="AH59" s="31">
        <v>0.0</v>
      </c>
      <c r="AI59" s="31">
        <v>0.0</v>
      </c>
      <c r="AJ59" s="31">
        <v>1.0</v>
      </c>
      <c r="AK59" s="31">
        <v>0.0</v>
      </c>
      <c r="AL59" s="31">
        <v>46773.0</v>
      </c>
      <c r="AM59" s="31" t="s">
        <v>410</v>
      </c>
      <c r="AN59" s="31">
        <v>8173.37</v>
      </c>
      <c r="AO59" s="31">
        <v>559.295999999999</v>
      </c>
      <c r="AP59" s="31">
        <v>2893.93</v>
      </c>
      <c r="AQ59" s="31">
        <v>0.806734786259515</v>
      </c>
      <c r="AR59" s="31">
        <v>-2.38169762951563</v>
      </c>
      <c r="AS59" s="31" t="s">
        <v>578</v>
      </c>
      <c r="AT59" s="31">
        <v>8126.75</v>
      </c>
      <c r="AU59" s="31">
        <v>545.426538461538</v>
      </c>
      <c r="AV59" s="31">
        <v>1763.19</v>
      </c>
      <c r="AW59" s="31">
        <v>0.690659237823752</v>
      </c>
      <c r="AX59" s="31">
        <v>0.5</v>
      </c>
      <c r="AY59" s="31">
        <v>160.216457984411</v>
      </c>
      <c r="AZ59" s="31">
        <v>3.32390680372695</v>
      </c>
      <c r="BA59" s="31">
        <v>55.3274883791674</v>
      </c>
      <c r="BB59" s="31">
        <v>0.0356118497751193</v>
      </c>
      <c r="BC59" s="31">
        <v>0.641303546413035</v>
      </c>
      <c r="BD59" s="31">
        <v>497.620131396824</v>
      </c>
      <c r="BE59" s="31" t="s">
        <v>579</v>
      </c>
      <c r="BF59" s="31">
        <v>-1686.47</v>
      </c>
      <c r="BG59" s="31">
        <v>-1686.47</v>
      </c>
      <c r="BH59" s="31">
        <v>1.95648795648795</v>
      </c>
      <c r="BI59" s="31">
        <v>0.353009705750265</v>
      </c>
      <c r="BJ59" s="31">
        <v>0.246864902628591</v>
      </c>
      <c r="BK59" s="31">
        <v>1.01152050059096</v>
      </c>
      <c r="BL59" s="31">
        <v>0.484332876159603</v>
      </c>
      <c r="BM59" s="31">
        <v>-1.09151322217635</v>
      </c>
      <c r="BN59" s="31">
        <v>2.09151322217635</v>
      </c>
      <c r="BO59" s="31" t="s">
        <v>413</v>
      </c>
      <c r="BP59" s="31" t="s">
        <v>413</v>
      </c>
      <c r="BQ59" s="31" t="s">
        <v>413</v>
      </c>
      <c r="BR59" s="31" t="s">
        <v>413</v>
      </c>
      <c r="BS59" s="31" t="s">
        <v>413</v>
      </c>
      <c r="BT59" s="31" t="s">
        <v>413</v>
      </c>
      <c r="BU59" s="31" t="s">
        <v>413</v>
      </c>
      <c r="BV59" s="31" t="s">
        <v>413</v>
      </c>
      <c r="BW59" s="31" t="s">
        <v>413</v>
      </c>
      <c r="BX59" s="31" t="s">
        <v>413</v>
      </c>
      <c r="BY59" s="31" t="s">
        <v>413</v>
      </c>
      <c r="BZ59" s="31" t="s">
        <v>413</v>
      </c>
      <c r="CA59" s="31" t="s">
        <v>413</v>
      </c>
      <c r="CB59" s="31" t="s">
        <v>413</v>
      </c>
      <c r="CC59" s="31" t="s">
        <v>413</v>
      </c>
      <c r="CD59" s="31" t="s">
        <v>413</v>
      </c>
      <c r="CE59" s="31" t="s">
        <v>413</v>
      </c>
      <c r="CF59" s="31" t="s">
        <v>413</v>
      </c>
      <c r="CG59" s="31" t="s">
        <v>413</v>
      </c>
      <c r="CH59" s="31" t="s">
        <v>413</v>
      </c>
      <c r="CI59" s="31" t="s">
        <v>413</v>
      </c>
      <c r="CJ59" s="31" t="s">
        <v>413</v>
      </c>
      <c r="CK59" s="31" t="s">
        <v>413</v>
      </c>
      <c r="CL59" s="31" t="s">
        <v>413</v>
      </c>
      <c r="CM59" s="31" t="s">
        <v>413</v>
      </c>
      <c r="CN59" s="31" t="s">
        <v>413</v>
      </c>
      <c r="CO59" s="31" t="s">
        <v>413</v>
      </c>
      <c r="CP59" s="31" t="s">
        <v>413</v>
      </c>
      <c r="CQ59" s="31" t="s">
        <v>413</v>
      </c>
      <c r="CR59" s="31" t="s">
        <v>413</v>
      </c>
      <c r="CS59" s="31" t="s">
        <v>413</v>
      </c>
      <c r="CT59" s="31" t="s">
        <v>413</v>
      </c>
      <c r="CU59" s="31" t="s">
        <v>413</v>
      </c>
      <c r="CV59" s="31" t="s">
        <v>413</v>
      </c>
      <c r="CW59" s="31">
        <v>190.056</v>
      </c>
      <c r="CX59" s="31">
        <v>160.216457984411</v>
      </c>
      <c r="CY59" s="31">
        <v>0.842996053712651</v>
      </c>
      <c r="CZ59" s="31">
        <v>0.165382383665416</v>
      </c>
      <c r="DA59" s="31">
        <v>6.0</v>
      </c>
      <c r="DB59" s="31">
        <v>0.5</v>
      </c>
      <c r="DC59" s="31" t="s">
        <v>414</v>
      </c>
      <c r="DD59" s="31">
        <v>2.0</v>
      </c>
      <c r="DE59" s="31">
        <v>1.7548818075E9</v>
      </c>
      <c r="DF59" s="31">
        <v>454.297</v>
      </c>
      <c r="DG59" s="31">
        <v>459.997</v>
      </c>
      <c r="DH59" s="31">
        <v>40.1726</v>
      </c>
      <c r="DI59" s="31">
        <v>36.5555</v>
      </c>
      <c r="DJ59" s="31">
        <v>451.468</v>
      </c>
      <c r="DK59" s="31">
        <v>39.6207</v>
      </c>
      <c r="DL59" s="31">
        <v>500.088</v>
      </c>
      <c r="DM59" s="31">
        <v>100.92</v>
      </c>
      <c r="DN59" s="31">
        <v>0.0998359</v>
      </c>
      <c r="DO59" s="31">
        <v>35.8708</v>
      </c>
      <c r="DP59" s="31">
        <v>35.1348</v>
      </c>
      <c r="DQ59" s="31">
        <v>999.9</v>
      </c>
      <c r="DR59" s="31">
        <v>0.0</v>
      </c>
      <c r="DS59" s="31">
        <v>0.0</v>
      </c>
      <c r="DT59" s="31">
        <v>8997.5</v>
      </c>
      <c r="DU59" s="31">
        <v>0.0</v>
      </c>
      <c r="DV59" s="31">
        <v>605.012</v>
      </c>
      <c r="DW59" s="31">
        <v>190.056</v>
      </c>
      <c r="DX59" s="31">
        <v>0.900057</v>
      </c>
      <c r="DY59" s="31">
        <v>0.0999431</v>
      </c>
      <c r="DZ59" s="31">
        <v>0.0</v>
      </c>
      <c r="EA59" s="31">
        <v>543.83</v>
      </c>
      <c r="EB59" s="31">
        <v>0.0999973</v>
      </c>
      <c r="EC59" s="31">
        <v>2063.65</v>
      </c>
      <c r="ED59" s="31">
        <v>1684.59</v>
      </c>
      <c r="EE59" s="31">
        <v>41.125</v>
      </c>
      <c r="EF59" s="31">
        <v>44.562</v>
      </c>
      <c r="EG59" s="31">
        <v>42.625</v>
      </c>
      <c r="EH59" s="31">
        <v>44.187</v>
      </c>
      <c r="EI59" s="31">
        <v>43.75</v>
      </c>
      <c r="EJ59" s="31">
        <v>170.97</v>
      </c>
      <c r="EK59" s="31">
        <v>18.98</v>
      </c>
      <c r="EL59" s="31">
        <v>0.0</v>
      </c>
      <c r="EM59" s="31">
        <v>141.0</v>
      </c>
      <c r="EN59" s="31">
        <v>0.0</v>
      </c>
      <c r="EO59" s="31">
        <v>545.426538461538</v>
      </c>
      <c r="EP59" s="31">
        <v>-22.2540171897759</v>
      </c>
      <c r="EQ59" s="31">
        <v>-216.281025352814</v>
      </c>
      <c r="ER59" s="31">
        <v>2075.45461538461</v>
      </c>
      <c r="ES59" s="31">
        <v>15.0</v>
      </c>
      <c r="ET59" s="31">
        <v>1.754881279E9</v>
      </c>
      <c r="EU59" s="42">
        <v>0.45924768518518516</v>
      </c>
      <c r="EV59" s="31">
        <v>1.754881279E9</v>
      </c>
      <c r="EW59" s="31">
        <v>1.7548765351E9</v>
      </c>
      <c r="EX59" s="31">
        <v>9.0</v>
      </c>
      <c r="EY59" s="31">
        <v>0.098</v>
      </c>
      <c r="EZ59" s="31">
        <v>-0.002</v>
      </c>
      <c r="FA59" s="31">
        <v>2.828</v>
      </c>
      <c r="FB59" s="31">
        <v>0.297</v>
      </c>
      <c r="FC59" s="31">
        <v>460.0</v>
      </c>
      <c r="FD59" s="31">
        <v>20.0</v>
      </c>
      <c r="FE59" s="31">
        <v>0.56</v>
      </c>
      <c r="FF59" s="31">
        <v>0.06</v>
      </c>
      <c r="FG59" s="31">
        <v>100.0</v>
      </c>
      <c r="FH59" s="31">
        <v>100.0</v>
      </c>
      <c r="FI59" s="31">
        <v>2.829</v>
      </c>
      <c r="FJ59" s="31">
        <v>0.5519</v>
      </c>
      <c r="FK59" s="31">
        <v>2.92973507697512</v>
      </c>
      <c r="FL59" s="31">
        <v>-2.2595428698806E-4</v>
      </c>
      <c r="FM59" s="43">
        <v>5.20417301097471E-9</v>
      </c>
      <c r="FN59" s="43">
        <v>1.17243702350096E-12</v>
      </c>
      <c r="FO59" s="31">
        <v>0.551873338452037</v>
      </c>
      <c r="FP59" s="31">
        <v>0.0</v>
      </c>
      <c r="FQ59" s="31">
        <v>0.0</v>
      </c>
      <c r="FR59" s="31">
        <v>0.0</v>
      </c>
      <c r="FS59" s="31">
        <v>1.0</v>
      </c>
      <c r="FT59" s="31">
        <v>2266.0</v>
      </c>
      <c r="FU59" s="31">
        <v>1.0</v>
      </c>
      <c r="FV59" s="31">
        <v>26.0</v>
      </c>
      <c r="FW59" s="31">
        <v>8.8</v>
      </c>
      <c r="FX59" s="31">
        <v>87.9</v>
      </c>
      <c r="FY59" s="31">
        <v>1.12183</v>
      </c>
      <c r="FZ59" s="31">
        <v>2.55737</v>
      </c>
      <c r="GA59" s="31">
        <v>1.59668</v>
      </c>
      <c r="GB59" s="31">
        <v>2.31689</v>
      </c>
      <c r="GC59" s="31">
        <v>1.5979</v>
      </c>
      <c r="GD59" s="31">
        <v>2.32788</v>
      </c>
      <c r="GE59" s="31">
        <v>44.5573</v>
      </c>
      <c r="GF59" s="31">
        <v>15.5505</v>
      </c>
      <c r="GG59" s="31">
        <v>18.0</v>
      </c>
      <c r="GH59" s="31">
        <v>507.315</v>
      </c>
      <c r="GI59" s="31">
        <v>465.431</v>
      </c>
      <c r="GJ59" s="31">
        <v>35.9828</v>
      </c>
      <c r="GK59" s="31">
        <v>35.8476</v>
      </c>
      <c r="GL59" s="31">
        <v>29.9997</v>
      </c>
      <c r="GM59" s="31">
        <v>35.8203</v>
      </c>
      <c r="GN59" s="31">
        <v>35.7488</v>
      </c>
      <c r="GO59" s="31">
        <v>22.5006</v>
      </c>
      <c r="GP59" s="31">
        <v>100.0</v>
      </c>
      <c r="GQ59" s="31">
        <v>0.0</v>
      </c>
      <c r="GR59" s="31">
        <v>-999.9</v>
      </c>
      <c r="GS59" s="31">
        <v>460.0</v>
      </c>
      <c r="GT59" s="31">
        <v>0.0</v>
      </c>
      <c r="GU59" s="31">
        <v>102.542</v>
      </c>
      <c r="GV59" s="31">
        <v>99.6291</v>
      </c>
    </row>
    <row r="60" ht="14.25" customHeight="1">
      <c r="A60" s="41" t="s">
        <v>113</v>
      </c>
      <c r="B60" s="41" t="s">
        <v>62</v>
      </c>
      <c r="C60" s="41" t="s">
        <v>86</v>
      </c>
      <c r="D60" s="31">
        <v>9.0</v>
      </c>
      <c r="E60" s="31">
        <v>1.7548788361E9</v>
      </c>
      <c r="F60" s="31">
        <v>1318.09999990463</v>
      </c>
      <c r="G60" s="31" t="s">
        <v>580</v>
      </c>
      <c r="H60" s="42">
        <v>0.4309722222222222</v>
      </c>
      <c r="I60" s="31" t="s">
        <v>409</v>
      </c>
      <c r="J60" s="31">
        <v>1.7548788361E9</v>
      </c>
      <c r="K60" s="31">
        <v>0.00272850252468629</v>
      </c>
      <c r="L60" s="31">
        <v>2.72850252468629</v>
      </c>
      <c r="M60" s="31">
        <v>2.13037774858143</v>
      </c>
      <c r="N60" s="31">
        <v>455.931996977668</v>
      </c>
      <c r="O60" s="31">
        <v>426.934458498572</v>
      </c>
      <c r="P60" s="31">
        <v>43.1323329362296</v>
      </c>
      <c r="Q60" s="31">
        <v>46.0618961493046</v>
      </c>
      <c r="R60" s="31">
        <v>0.190004660740548</v>
      </c>
      <c r="S60" s="31">
        <v>2.76552468223931</v>
      </c>
      <c r="T60" s="31">
        <v>0.183038895352956</v>
      </c>
      <c r="U60" s="31">
        <v>0.115003879634449</v>
      </c>
      <c r="V60" s="31">
        <v>31.4086608465465</v>
      </c>
      <c r="W60" s="31">
        <v>34.6264279922271</v>
      </c>
      <c r="X60" s="31">
        <v>33.9395</v>
      </c>
      <c r="Y60" s="31">
        <v>5.32500543218531</v>
      </c>
      <c r="Z60" s="31">
        <v>68.1600396960297</v>
      </c>
      <c r="AA60" s="31">
        <v>3.88767853506767</v>
      </c>
      <c r="AB60" s="31">
        <v>5.70375039745484</v>
      </c>
      <c r="AC60" s="31">
        <v>1.43732689711763</v>
      </c>
      <c r="AD60" s="31">
        <v>-120.326961338665</v>
      </c>
      <c r="AE60" s="31">
        <v>184.400654776077</v>
      </c>
      <c r="AF60" s="31">
        <v>15.5052418304442</v>
      </c>
      <c r="AG60" s="31">
        <v>110.987596114402</v>
      </c>
      <c r="AH60" s="31">
        <v>0.0</v>
      </c>
      <c r="AI60" s="31">
        <v>0.0</v>
      </c>
      <c r="AJ60" s="31">
        <v>1.0</v>
      </c>
      <c r="AK60" s="31">
        <v>0.0</v>
      </c>
      <c r="AL60" s="31">
        <v>46943.0</v>
      </c>
      <c r="AM60" s="31" t="s">
        <v>410</v>
      </c>
      <c r="AN60" s="31">
        <v>8173.37</v>
      </c>
      <c r="AO60" s="31">
        <v>559.295999999999</v>
      </c>
      <c r="AP60" s="31">
        <v>2893.93</v>
      </c>
      <c r="AQ60" s="31">
        <v>0.806734786259515</v>
      </c>
      <c r="AR60" s="31">
        <v>-2.38169762951563</v>
      </c>
      <c r="AS60" s="31" t="s">
        <v>581</v>
      </c>
      <c r="AT60" s="31">
        <v>8192.92</v>
      </c>
      <c r="AU60" s="31">
        <v>475.7126</v>
      </c>
      <c r="AV60" s="31">
        <v>1326.27</v>
      </c>
      <c r="AW60" s="31">
        <v>0.641315418429128</v>
      </c>
      <c r="AX60" s="31">
        <v>0.5</v>
      </c>
      <c r="AY60" s="31">
        <v>160.091571008573</v>
      </c>
      <c r="AZ60" s="31">
        <v>2.13037774858143</v>
      </c>
      <c r="BA60" s="31">
        <v>51.3345964241698</v>
      </c>
      <c r="BB60" s="31">
        <v>0.028184340684966</v>
      </c>
      <c r="BC60" s="31">
        <v>1.18200668038936</v>
      </c>
      <c r="BD60" s="31">
        <v>455.289348873223</v>
      </c>
      <c r="BE60" s="31" t="s">
        <v>582</v>
      </c>
      <c r="BF60" s="31">
        <v>384.4</v>
      </c>
      <c r="BG60" s="31">
        <v>384.4</v>
      </c>
      <c r="BH60" s="31">
        <v>0.710164596952355</v>
      </c>
      <c r="BI60" s="31">
        <v>0.903051801203987</v>
      </c>
      <c r="BJ60" s="31">
        <v>0.624682709511342</v>
      </c>
      <c r="BK60" s="31">
        <v>1.10897814006732</v>
      </c>
      <c r="BL60" s="31">
        <v>0.671479983586292</v>
      </c>
      <c r="BM60" s="31">
        <v>0.729711831014803</v>
      </c>
      <c r="BN60" s="31">
        <v>0.270288168985196</v>
      </c>
      <c r="BO60" s="31" t="s">
        <v>413</v>
      </c>
      <c r="BP60" s="31" t="s">
        <v>413</v>
      </c>
      <c r="BQ60" s="31" t="s">
        <v>413</v>
      </c>
      <c r="BR60" s="31" t="s">
        <v>413</v>
      </c>
      <c r="BS60" s="31" t="s">
        <v>413</v>
      </c>
      <c r="BT60" s="31" t="s">
        <v>413</v>
      </c>
      <c r="BU60" s="31" t="s">
        <v>413</v>
      </c>
      <c r="BV60" s="31" t="s">
        <v>413</v>
      </c>
      <c r="BW60" s="31" t="s">
        <v>413</v>
      </c>
      <c r="BX60" s="31" t="s">
        <v>413</v>
      </c>
      <c r="BY60" s="31" t="s">
        <v>413</v>
      </c>
      <c r="BZ60" s="31" t="s">
        <v>413</v>
      </c>
      <c r="CA60" s="31" t="s">
        <v>413</v>
      </c>
      <c r="CB60" s="31" t="s">
        <v>413</v>
      </c>
      <c r="CC60" s="31" t="s">
        <v>413</v>
      </c>
      <c r="CD60" s="31" t="s">
        <v>413</v>
      </c>
      <c r="CE60" s="31" t="s">
        <v>413</v>
      </c>
      <c r="CF60" s="31" t="s">
        <v>413</v>
      </c>
      <c r="CG60" s="31" t="s">
        <v>413</v>
      </c>
      <c r="CH60" s="31" t="s">
        <v>413</v>
      </c>
      <c r="CI60" s="31" t="s">
        <v>413</v>
      </c>
      <c r="CJ60" s="31" t="s">
        <v>413</v>
      </c>
      <c r="CK60" s="31" t="s">
        <v>413</v>
      </c>
      <c r="CL60" s="31" t="s">
        <v>413</v>
      </c>
      <c r="CM60" s="31" t="s">
        <v>413</v>
      </c>
      <c r="CN60" s="31" t="s">
        <v>413</v>
      </c>
      <c r="CO60" s="31" t="s">
        <v>413</v>
      </c>
      <c r="CP60" s="31" t="s">
        <v>413</v>
      </c>
      <c r="CQ60" s="31" t="s">
        <v>413</v>
      </c>
      <c r="CR60" s="31" t="s">
        <v>413</v>
      </c>
      <c r="CS60" s="31" t="s">
        <v>413</v>
      </c>
      <c r="CT60" s="31" t="s">
        <v>413</v>
      </c>
      <c r="CU60" s="31" t="s">
        <v>413</v>
      </c>
      <c r="CV60" s="31" t="s">
        <v>413</v>
      </c>
      <c r="CW60" s="31">
        <v>189.907</v>
      </c>
      <c r="CX60" s="31">
        <v>160.091571008573</v>
      </c>
      <c r="CY60" s="31">
        <v>0.842999842073084</v>
      </c>
      <c r="CZ60" s="31">
        <v>0.165389695201054</v>
      </c>
      <c r="DA60" s="31">
        <v>6.0</v>
      </c>
      <c r="DB60" s="31">
        <v>0.5</v>
      </c>
      <c r="DC60" s="31" t="s">
        <v>414</v>
      </c>
      <c r="DD60" s="31">
        <v>2.0</v>
      </c>
      <c r="DE60" s="31">
        <v>1.7548788361E9</v>
      </c>
      <c r="DF60" s="31">
        <v>455.932</v>
      </c>
      <c r="DG60" s="31">
        <v>459.981</v>
      </c>
      <c r="DH60" s="31">
        <v>38.4812</v>
      </c>
      <c r="DI60" s="31">
        <v>35.3332</v>
      </c>
      <c r="DJ60" s="31">
        <v>453.453</v>
      </c>
      <c r="DK60" s="31">
        <v>37.9293</v>
      </c>
      <c r="DL60" s="31">
        <v>500.033</v>
      </c>
      <c r="DM60" s="31">
        <v>100.928</v>
      </c>
      <c r="DN60" s="31">
        <v>0.0999964</v>
      </c>
      <c r="DO60" s="31">
        <v>35.1763</v>
      </c>
      <c r="DP60" s="31">
        <v>33.9395</v>
      </c>
      <c r="DQ60" s="31">
        <v>999.9</v>
      </c>
      <c r="DR60" s="31">
        <v>0.0</v>
      </c>
      <c r="DS60" s="31">
        <v>0.0</v>
      </c>
      <c r="DT60" s="31">
        <v>9009.38</v>
      </c>
      <c r="DU60" s="31">
        <v>0.0</v>
      </c>
      <c r="DV60" s="31">
        <v>739.064</v>
      </c>
      <c r="DW60" s="31">
        <v>189.907</v>
      </c>
      <c r="DX60" s="31">
        <v>0.899967</v>
      </c>
      <c r="DY60" s="31">
        <v>0.100033</v>
      </c>
      <c r="DZ60" s="31">
        <v>0.0</v>
      </c>
      <c r="EA60" s="31">
        <v>474.84</v>
      </c>
      <c r="EB60" s="31">
        <v>0.0999973</v>
      </c>
      <c r="EC60" s="31">
        <v>2347.32</v>
      </c>
      <c r="ED60" s="31">
        <v>1683.22</v>
      </c>
      <c r="EE60" s="31">
        <v>40.625</v>
      </c>
      <c r="EF60" s="31">
        <v>44.5</v>
      </c>
      <c r="EG60" s="31">
        <v>42.25</v>
      </c>
      <c r="EH60" s="31">
        <v>43.937</v>
      </c>
      <c r="EI60" s="31">
        <v>43.25</v>
      </c>
      <c r="EJ60" s="31">
        <v>170.82</v>
      </c>
      <c r="EK60" s="31">
        <v>18.99</v>
      </c>
      <c r="EL60" s="31">
        <v>0.0</v>
      </c>
      <c r="EM60" s="31">
        <v>164.600000143051</v>
      </c>
      <c r="EN60" s="31">
        <v>0.0</v>
      </c>
      <c r="EO60" s="31">
        <v>475.7126</v>
      </c>
      <c r="EP60" s="31">
        <v>-25.9369230336099</v>
      </c>
      <c r="EQ60" s="31">
        <v>-364.424615412494</v>
      </c>
      <c r="ER60" s="31">
        <v>2372.59519999999</v>
      </c>
      <c r="ES60" s="31">
        <v>15.0</v>
      </c>
      <c r="ET60" s="31">
        <v>1.7548783205E9</v>
      </c>
      <c r="EU60" s="42">
        <v>0.425</v>
      </c>
      <c r="EV60" s="31">
        <v>1.7548783205E9</v>
      </c>
      <c r="EW60" s="31">
        <v>1.7548765351E9</v>
      </c>
      <c r="EX60" s="31">
        <v>4.0</v>
      </c>
      <c r="EY60" s="31">
        <v>0.181</v>
      </c>
      <c r="EZ60" s="31">
        <v>-0.002</v>
      </c>
      <c r="FA60" s="31">
        <v>2.479</v>
      </c>
      <c r="FB60" s="31">
        <v>0.297</v>
      </c>
      <c r="FC60" s="31">
        <v>460.0</v>
      </c>
      <c r="FD60" s="31">
        <v>20.0</v>
      </c>
      <c r="FE60" s="31">
        <v>0.37</v>
      </c>
      <c r="FF60" s="31">
        <v>0.06</v>
      </c>
      <c r="FG60" s="31">
        <v>100.0</v>
      </c>
      <c r="FH60" s="31">
        <v>100.0</v>
      </c>
      <c r="FI60" s="31">
        <v>2.479</v>
      </c>
      <c r="FJ60" s="31">
        <v>0.5519</v>
      </c>
      <c r="FK60" s="31">
        <v>2.58103624090163</v>
      </c>
      <c r="FL60" s="31">
        <v>-2.2595428698806E-4</v>
      </c>
      <c r="FM60" s="43">
        <v>5.20417301097471E-9</v>
      </c>
      <c r="FN60" s="43">
        <v>1.17243702350096E-12</v>
      </c>
      <c r="FO60" s="31">
        <v>0.551873338452037</v>
      </c>
      <c r="FP60" s="31">
        <v>0.0</v>
      </c>
      <c r="FQ60" s="31">
        <v>0.0</v>
      </c>
      <c r="FR60" s="31">
        <v>0.0</v>
      </c>
      <c r="FS60" s="31">
        <v>1.0</v>
      </c>
      <c r="FT60" s="31">
        <v>2266.0</v>
      </c>
      <c r="FU60" s="31">
        <v>1.0</v>
      </c>
      <c r="FV60" s="31">
        <v>26.0</v>
      </c>
      <c r="FW60" s="31">
        <v>8.6</v>
      </c>
      <c r="FX60" s="31">
        <v>38.4</v>
      </c>
      <c r="FY60" s="31">
        <v>1.10718</v>
      </c>
      <c r="FZ60" s="31">
        <v>2.51587</v>
      </c>
      <c r="GA60" s="31">
        <v>1.59668</v>
      </c>
      <c r="GB60" s="31">
        <v>2.32422</v>
      </c>
      <c r="GC60" s="31">
        <v>1.5979</v>
      </c>
      <c r="GD60" s="31">
        <v>2.37793</v>
      </c>
      <c r="GE60" s="31">
        <v>41.4822</v>
      </c>
      <c r="GF60" s="31">
        <v>15.9883</v>
      </c>
      <c r="GG60" s="31">
        <v>18.0</v>
      </c>
      <c r="GH60" s="31">
        <v>506.317</v>
      </c>
      <c r="GI60" s="31">
        <v>490.548</v>
      </c>
      <c r="GJ60" s="31">
        <v>35.1198</v>
      </c>
      <c r="GK60" s="31">
        <v>35.5336</v>
      </c>
      <c r="GL60" s="31">
        <v>30.0013</v>
      </c>
      <c r="GM60" s="31">
        <v>35.4366</v>
      </c>
      <c r="GN60" s="31">
        <v>35.3645</v>
      </c>
      <c r="GO60" s="31">
        <v>22.2119</v>
      </c>
      <c r="GP60" s="31">
        <v>100.0</v>
      </c>
      <c r="GQ60" s="31">
        <v>0.0</v>
      </c>
      <c r="GR60" s="31">
        <v>-999.9</v>
      </c>
      <c r="GS60" s="31">
        <v>460.0</v>
      </c>
      <c r="GT60" s="31">
        <v>0.0</v>
      </c>
      <c r="GU60" s="31">
        <v>102.653</v>
      </c>
      <c r="GV60" s="31">
        <v>99.5627</v>
      </c>
    </row>
    <row r="61" ht="14.25" customHeight="1">
      <c r="A61" s="41" t="s">
        <v>113</v>
      </c>
      <c r="B61" s="41" t="s">
        <v>62</v>
      </c>
      <c r="C61" s="41" t="s">
        <v>87</v>
      </c>
      <c r="D61" s="31">
        <v>10.0</v>
      </c>
      <c r="E61" s="31">
        <v>1.7548789856E9</v>
      </c>
      <c r="F61" s="31">
        <v>1467.59999990463</v>
      </c>
      <c r="G61" s="31" t="s">
        <v>583</v>
      </c>
      <c r="H61" s="42">
        <v>0.43269675925925927</v>
      </c>
      <c r="I61" s="31" t="s">
        <v>409</v>
      </c>
      <c r="J61" s="31">
        <v>1.7548789856E9</v>
      </c>
      <c r="K61" s="31">
        <v>0.00149944889838545</v>
      </c>
      <c r="L61" s="31">
        <v>1.49944889838545</v>
      </c>
      <c r="M61" s="31">
        <v>1.62612275410237</v>
      </c>
      <c r="N61" s="31">
        <v>457.224997679619</v>
      </c>
      <c r="O61" s="31">
        <v>408.128085883242</v>
      </c>
      <c r="P61" s="31">
        <v>41.2337184296012</v>
      </c>
      <c r="Q61" s="31">
        <v>46.1940441381189</v>
      </c>
      <c r="R61" s="31">
        <v>0.0750939846919622</v>
      </c>
      <c r="S61" s="31">
        <v>2.76098822427287</v>
      </c>
      <c r="T61" s="31">
        <v>0.0739775102600434</v>
      </c>
      <c r="U61" s="31">
        <v>0.0463348718849902</v>
      </c>
      <c r="V61" s="31">
        <v>31.4030212277149</v>
      </c>
      <c r="W61" s="31">
        <v>35.1041726220865</v>
      </c>
      <c r="X61" s="31">
        <v>35.2615</v>
      </c>
      <c r="Y61" s="31">
        <v>5.73068196503382</v>
      </c>
      <c r="Z61" s="31">
        <v>65.7378523767946</v>
      </c>
      <c r="AA61" s="31">
        <v>3.77925830616239</v>
      </c>
      <c r="AB61" s="31">
        <v>5.74898353006809</v>
      </c>
      <c r="AC61" s="31">
        <v>1.95142365887142</v>
      </c>
      <c r="AD61" s="31">
        <v>-66.1256964187987</v>
      </c>
      <c r="AE61" s="31">
        <v>8.58866791538246</v>
      </c>
      <c r="AF61" s="31">
        <v>0.728538086158933</v>
      </c>
      <c r="AG61" s="31">
        <v>-25.4054691895423</v>
      </c>
      <c r="AH61" s="31">
        <v>0.0</v>
      </c>
      <c r="AI61" s="31">
        <v>0.0</v>
      </c>
      <c r="AJ61" s="31">
        <v>1.0</v>
      </c>
      <c r="AK61" s="31">
        <v>0.0</v>
      </c>
      <c r="AL61" s="31">
        <v>46798.0</v>
      </c>
      <c r="AM61" s="31" t="s">
        <v>410</v>
      </c>
      <c r="AN61" s="31">
        <v>8173.37</v>
      </c>
      <c r="AO61" s="31">
        <v>559.295999999999</v>
      </c>
      <c r="AP61" s="31">
        <v>2893.93</v>
      </c>
      <c r="AQ61" s="31">
        <v>0.806734786259515</v>
      </c>
      <c r="AR61" s="31">
        <v>-2.38169762951563</v>
      </c>
      <c r="AS61" s="31" t="s">
        <v>584</v>
      </c>
      <c r="AT61" s="31">
        <v>8119.46</v>
      </c>
      <c r="AU61" s="31">
        <v>449.876</v>
      </c>
      <c r="AV61" s="31">
        <v>1105.36</v>
      </c>
      <c r="AW61" s="31">
        <v>0.593004993848158</v>
      </c>
      <c r="AX61" s="31">
        <v>0.5</v>
      </c>
      <c r="AY61" s="31">
        <v>160.059114003997</v>
      </c>
      <c r="AZ61" s="31">
        <v>1.62612275410237</v>
      </c>
      <c r="BA61" s="31">
        <v>47.457926957641</v>
      </c>
      <c r="BB61" s="31">
        <v>0.0250396261940942</v>
      </c>
      <c r="BC61" s="31">
        <v>1.61808822465079</v>
      </c>
      <c r="BD61" s="31">
        <v>426.058816064105</v>
      </c>
      <c r="BE61" s="31" t="s">
        <v>585</v>
      </c>
      <c r="BF61" s="31">
        <v>351.33</v>
      </c>
      <c r="BG61" s="31">
        <v>351.33</v>
      </c>
      <c r="BH61" s="31">
        <v>0.682157849026561</v>
      </c>
      <c r="BI61" s="31">
        <v>0.869307587231277</v>
      </c>
      <c r="BJ61" s="31">
        <v>0.703441359238574</v>
      </c>
      <c r="BK61" s="31">
        <v>1.20037944270268</v>
      </c>
      <c r="BL61" s="31">
        <v>0.766102952325717</v>
      </c>
      <c r="BM61" s="31">
        <v>0.678884480661259</v>
      </c>
      <c r="BN61" s="31">
        <v>0.32111551933874</v>
      </c>
      <c r="BO61" s="31" t="s">
        <v>413</v>
      </c>
      <c r="BP61" s="31" t="s">
        <v>413</v>
      </c>
      <c r="BQ61" s="31" t="s">
        <v>413</v>
      </c>
      <c r="BR61" s="31" t="s">
        <v>413</v>
      </c>
      <c r="BS61" s="31" t="s">
        <v>413</v>
      </c>
      <c r="BT61" s="31" t="s">
        <v>413</v>
      </c>
      <c r="BU61" s="31" t="s">
        <v>413</v>
      </c>
      <c r="BV61" s="31" t="s">
        <v>413</v>
      </c>
      <c r="BW61" s="31" t="s">
        <v>413</v>
      </c>
      <c r="BX61" s="31" t="s">
        <v>413</v>
      </c>
      <c r="BY61" s="31" t="s">
        <v>413</v>
      </c>
      <c r="BZ61" s="31" t="s">
        <v>413</v>
      </c>
      <c r="CA61" s="31" t="s">
        <v>413</v>
      </c>
      <c r="CB61" s="31" t="s">
        <v>413</v>
      </c>
      <c r="CC61" s="31" t="s">
        <v>413</v>
      </c>
      <c r="CD61" s="31" t="s">
        <v>413</v>
      </c>
      <c r="CE61" s="31" t="s">
        <v>413</v>
      </c>
      <c r="CF61" s="31" t="s">
        <v>413</v>
      </c>
      <c r="CG61" s="31" t="s">
        <v>413</v>
      </c>
      <c r="CH61" s="31" t="s">
        <v>413</v>
      </c>
      <c r="CI61" s="31" t="s">
        <v>413</v>
      </c>
      <c r="CJ61" s="31" t="s">
        <v>413</v>
      </c>
      <c r="CK61" s="31" t="s">
        <v>413</v>
      </c>
      <c r="CL61" s="31" t="s">
        <v>413</v>
      </c>
      <c r="CM61" s="31" t="s">
        <v>413</v>
      </c>
      <c r="CN61" s="31" t="s">
        <v>413</v>
      </c>
      <c r="CO61" s="31" t="s">
        <v>413</v>
      </c>
      <c r="CP61" s="31" t="s">
        <v>413</v>
      </c>
      <c r="CQ61" s="31" t="s">
        <v>413</v>
      </c>
      <c r="CR61" s="31" t="s">
        <v>413</v>
      </c>
      <c r="CS61" s="31" t="s">
        <v>413</v>
      </c>
      <c r="CT61" s="31" t="s">
        <v>413</v>
      </c>
      <c r="CU61" s="31" t="s">
        <v>413</v>
      </c>
      <c r="CV61" s="31" t="s">
        <v>413</v>
      </c>
      <c r="CW61" s="31">
        <v>189.868</v>
      </c>
      <c r="CX61" s="31">
        <v>160.059114003997</v>
      </c>
      <c r="CY61" s="31">
        <v>0.843002054079662</v>
      </c>
      <c r="CZ61" s="31">
        <v>0.165393964373748</v>
      </c>
      <c r="DA61" s="31">
        <v>6.0</v>
      </c>
      <c r="DB61" s="31">
        <v>0.5</v>
      </c>
      <c r="DC61" s="31" t="s">
        <v>414</v>
      </c>
      <c r="DD61" s="31">
        <v>2.0</v>
      </c>
      <c r="DE61" s="31">
        <v>1.7548789856E9</v>
      </c>
      <c r="DF61" s="31">
        <v>457.225</v>
      </c>
      <c r="DG61" s="31">
        <v>459.999</v>
      </c>
      <c r="DH61" s="31">
        <v>37.4068</v>
      </c>
      <c r="DI61" s="31">
        <v>35.6748</v>
      </c>
      <c r="DJ61" s="31">
        <v>454.603</v>
      </c>
      <c r="DK61" s="31">
        <v>36.8549</v>
      </c>
      <c r="DL61" s="31">
        <v>500.009</v>
      </c>
      <c r="DM61" s="31">
        <v>100.931</v>
      </c>
      <c r="DN61" s="31">
        <v>0.100318</v>
      </c>
      <c r="DO61" s="31">
        <v>35.3192</v>
      </c>
      <c r="DP61" s="31">
        <v>35.2615</v>
      </c>
      <c r="DQ61" s="31">
        <v>999.9</v>
      </c>
      <c r="DR61" s="31">
        <v>0.0</v>
      </c>
      <c r="DS61" s="31">
        <v>0.0</v>
      </c>
      <c r="DT61" s="31">
        <v>8985.0</v>
      </c>
      <c r="DU61" s="31">
        <v>0.0</v>
      </c>
      <c r="DV61" s="31">
        <v>821.838</v>
      </c>
      <c r="DW61" s="31">
        <v>189.868</v>
      </c>
      <c r="DX61" s="31">
        <v>0.899881</v>
      </c>
      <c r="DY61" s="31">
        <v>0.100119</v>
      </c>
      <c r="DZ61" s="31">
        <v>0.0</v>
      </c>
      <c r="EA61" s="31">
        <v>453.055</v>
      </c>
      <c r="EB61" s="31">
        <v>0.0999973</v>
      </c>
      <c r="EC61" s="31">
        <v>2458.69</v>
      </c>
      <c r="ED61" s="31">
        <v>1682.82</v>
      </c>
      <c r="EE61" s="31">
        <v>40.5</v>
      </c>
      <c r="EF61" s="31">
        <v>44.062</v>
      </c>
      <c r="EG61" s="31">
        <v>42.062</v>
      </c>
      <c r="EH61" s="31">
        <v>43.625</v>
      </c>
      <c r="EI61" s="31">
        <v>43.125</v>
      </c>
      <c r="EJ61" s="31">
        <v>170.77</v>
      </c>
      <c r="EK61" s="31">
        <v>19.0</v>
      </c>
      <c r="EL61" s="31">
        <v>0.0</v>
      </c>
      <c r="EM61" s="31">
        <v>147.599999904632</v>
      </c>
      <c r="EN61" s="31">
        <v>0.0</v>
      </c>
      <c r="EO61" s="31">
        <v>449.876</v>
      </c>
      <c r="EP61" s="31">
        <v>-1.07730782070949</v>
      </c>
      <c r="EQ61" s="31">
        <v>-64.3953850063221</v>
      </c>
      <c r="ER61" s="31">
        <v>2475.6744</v>
      </c>
      <c r="ES61" s="31">
        <v>15.0</v>
      </c>
      <c r="ET61" s="31">
        <v>1.7548790026E9</v>
      </c>
      <c r="EU61" s="42">
        <v>0.43289351851851854</v>
      </c>
      <c r="EV61" s="31">
        <v>1.7548790026E9</v>
      </c>
      <c r="EW61" s="31">
        <v>1.7548765351E9</v>
      </c>
      <c r="EX61" s="31">
        <v>5.0</v>
      </c>
      <c r="EY61" s="31">
        <v>0.143</v>
      </c>
      <c r="EZ61" s="31">
        <v>-0.002</v>
      </c>
      <c r="FA61" s="31">
        <v>2.622</v>
      </c>
      <c r="FB61" s="31">
        <v>0.297</v>
      </c>
      <c r="FC61" s="31">
        <v>460.0</v>
      </c>
      <c r="FD61" s="31">
        <v>20.0</v>
      </c>
      <c r="FE61" s="31">
        <v>0.62</v>
      </c>
      <c r="FF61" s="31">
        <v>0.06</v>
      </c>
      <c r="FG61" s="31">
        <v>100.0</v>
      </c>
      <c r="FH61" s="31">
        <v>100.0</v>
      </c>
      <c r="FI61" s="31">
        <v>2.622</v>
      </c>
      <c r="FJ61" s="31">
        <v>0.5519</v>
      </c>
      <c r="FK61" s="31">
        <v>2.58103624090163</v>
      </c>
      <c r="FL61" s="31">
        <v>-2.2595428698806E-4</v>
      </c>
      <c r="FM61" s="43">
        <v>5.20417301097471E-9</v>
      </c>
      <c r="FN61" s="43">
        <v>1.17243702350096E-12</v>
      </c>
      <c r="FO61" s="31">
        <v>0.551873338452037</v>
      </c>
      <c r="FP61" s="31">
        <v>0.0</v>
      </c>
      <c r="FQ61" s="31">
        <v>0.0</v>
      </c>
      <c r="FR61" s="31">
        <v>0.0</v>
      </c>
      <c r="FS61" s="31">
        <v>1.0</v>
      </c>
      <c r="FT61" s="31">
        <v>2266.0</v>
      </c>
      <c r="FU61" s="31">
        <v>1.0</v>
      </c>
      <c r="FV61" s="31">
        <v>26.0</v>
      </c>
      <c r="FW61" s="31">
        <v>11.1</v>
      </c>
      <c r="FX61" s="31">
        <v>40.8</v>
      </c>
      <c r="FY61" s="31">
        <v>1.1084</v>
      </c>
      <c r="FZ61" s="31">
        <v>2.52075</v>
      </c>
      <c r="GA61" s="31">
        <v>1.59546</v>
      </c>
      <c r="GB61" s="31">
        <v>2.323</v>
      </c>
      <c r="GC61" s="31">
        <v>1.5979</v>
      </c>
      <c r="GD61" s="31">
        <v>2.31201</v>
      </c>
      <c r="GE61" s="31">
        <v>41.8486</v>
      </c>
      <c r="GF61" s="31">
        <v>15.9795</v>
      </c>
      <c r="GG61" s="31">
        <v>18.0</v>
      </c>
      <c r="GH61" s="31">
        <v>506.085</v>
      </c>
      <c r="GI61" s="31">
        <v>488.437</v>
      </c>
      <c r="GJ61" s="31">
        <v>35.1918</v>
      </c>
      <c r="GK61" s="31">
        <v>35.6483</v>
      </c>
      <c r="GL61" s="31">
        <v>29.9998</v>
      </c>
      <c r="GM61" s="31">
        <v>35.5817</v>
      </c>
      <c r="GN61" s="31">
        <v>35.495</v>
      </c>
      <c r="GO61" s="31">
        <v>22.2411</v>
      </c>
      <c r="GP61" s="31">
        <v>100.0</v>
      </c>
      <c r="GQ61" s="31">
        <v>0.0</v>
      </c>
      <c r="GR61" s="31">
        <v>-999.9</v>
      </c>
      <c r="GS61" s="31">
        <v>460.0</v>
      </c>
      <c r="GT61" s="31">
        <v>0.0</v>
      </c>
      <c r="GU61" s="31">
        <v>102.643</v>
      </c>
      <c r="GV61" s="31">
        <v>99.5726</v>
      </c>
    </row>
    <row r="62" ht="14.25" customHeight="1">
      <c r="A62" s="41" t="s">
        <v>113</v>
      </c>
      <c r="B62" s="41" t="s">
        <v>64</v>
      </c>
      <c r="C62" s="41" t="s">
        <v>86</v>
      </c>
      <c r="D62" s="31">
        <v>7.0</v>
      </c>
      <c r="E62" s="31">
        <v>1.754878488E9</v>
      </c>
      <c r="F62" s="31">
        <v>970.0</v>
      </c>
      <c r="G62" s="31" t="s">
        <v>586</v>
      </c>
      <c r="H62" s="42">
        <v>0.42694444444444446</v>
      </c>
      <c r="I62" s="31" t="s">
        <v>409</v>
      </c>
      <c r="J62" s="31">
        <v>1.754878488E9</v>
      </c>
      <c r="K62" s="31">
        <v>0.00278755154446185</v>
      </c>
      <c r="L62" s="31">
        <v>2.78755154446185</v>
      </c>
      <c r="M62" s="31">
        <v>1.15586150746282</v>
      </c>
      <c r="N62" s="31">
        <v>457.097998352006</v>
      </c>
      <c r="O62" s="31">
        <v>436.014112262625</v>
      </c>
      <c r="P62" s="31">
        <v>44.0489356750748</v>
      </c>
      <c r="Q62" s="31">
        <v>46.1789647636111</v>
      </c>
      <c r="R62" s="31">
        <v>0.188070549646202</v>
      </c>
      <c r="S62" s="31">
        <v>2.75974417103829</v>
      </c>
      <c r="T62" s="31">
        <v>0.181229393513557</v>
      </c>
      <c r="U62" s="31">
        <v>0.113862288903784</v>
      </c>
      <c r="V62" s="31">
        <v>31.4168062392855</v>
      </c>
      <c r="W62" s="31">
        <v>34.0623465697457</v>
      </c>
      <c r="X62" s="31">
        <v>33.485</v>
      </c>
      <c r="Y62" s="31">
        <v>5.1914262740865</v>
      </c>
      <c r="Z62" s="31">
        <v>66.9721316992261</v>
      </c>
      <c r="AA62" s="31">
        <v>3.7059311892372</v>
      </c>
      <c r="AB62" s="31">
        <v>5.53354222899854</v>
      </c>
      <c r="AC62" s="31">
        <v>1.4854950848493</v>
      </c>
      <c r="AD62" s="31">
        <v>-122.931023110767</v>
      </c>
      <c r="AE62" s="31">
        <v>170.297396941525</v>
      </c>
      <c r="AF62" s="31">
        <v>14.2794073116548</v>
      </c>
      <c r="AG62" s="31">
        <v>93.0625873816977</v>
      </c>
      <c r="AH62" s="31">
        <v>0.0</v>
      </c>
      <c r="AI62" s="31">
        <v>0.0</v>
      </c>
      <c r="AJ62" s="31">
        <v>1.0</v>
      </c>
      <c r="AK62" s="31">
        <v>0.0</v>
      </c>
      <c r="AL62" s="31">
        <v>46869.0</v>
      </c>
      <c r="AM62" s="31" t="s">
        <v>410</v>
      </c>
      <c r="AN62" s="31">
        <v>8173.37</v>
      </c>
      <c r="AO62" s="31">
        <v>559.295999999999</v>
      </c>
      <c r="AP62" s="31">
        <v>2893.93</v>
      </c>
      <c r="AQ62" s="31">
        <v>0.806734786259515</v>
      </c>
      <c r="AR62" s="31">
        <v>-2.38169762951563</v>
      </c>
      <c r="AS62" s="31" t="s">
        <v>587</v>
      </c>
      <c r="AT62" s="31">
        <v>8168.78</v>
      </c>
      <c r="AU62" s="31">
        <v>266.354999999999</v>
      </c>
      <c r="AV62" s="31">
        <v>686.85</v>
      </c>
      <c r="AW62" s="31">
        <v>0.612207905656256</v>
      </c>
      <c r="AX62" s="31">
        <v>0.5</v>
      </c>
      <c r="AY62" s="31">
        <v>160.134414009992</v>
      </c>
      <c r="AZ62" s="31">
        <v>1.15586150746282</v>
      </c>
      <c r="BA62" s="31">
        <v>49.0177771122747</v>
      </c>
      <c r="BB62" s="31">
        <v>0.0220911860754535</v>
      </c>
      <c r="BC62" s="31">
        <v>3.21333624517725</v>
      </c>
      <c r="BD62" s="31">
        <v>345.025903281458</v>
      </c>
      <c r="BE62" s="31" t="s">
        <v>588</v>
      </c>
      <c r="BF62" s="31">
        <v>198.93</v>
      </c>
      <c r="BG62" s="31">
        <v>198.93</v>
      </c>
      <c r="BH62" s="31">
        <v>0.710373443983402</v>
      </c>
      <c r="BI62" s="31">
        <v>0.861811362518445</v>
      </c>
      <c r="BJ62" s="31">
        <v>0.81895361781076</v>
      </c>
      <c r="BK62" s="31">
        <v>3.29660379133543</v>
      </c>
      <c r="BL62" s="31">
        <v>0.945364455413568</v>
      </c>
      <c r="BM62" s="31">
        <v>0.643652772975143</v>
      </c>
      <c r="BN62" s="31">
        <v>0.356347227024856</v>
      </c>
      <c r="BO62" s="31" t="s">
        <v>413</v>
      </c>
      <c r="BP62" s="31" t="s">
        <v>413</v>
      </c>
      <c r="BQ62" s="31" t="s">
        <v>413</v>
      </c>
      <c r="BR62" s="31" t="s">
        <v>413</v>
      </c>
      <c r="BS62" s="31" t="s">
        <v>413</v>
      </c>
      <c r="BT62" s="31" t="s">
        <v>413</v>
      </c>
      <c r="BU62" s="31" t="s">
        <v>413</v>
      </c>
      <c r="BV62" s="31" t="s">
        <v>413</v>
      </c>
      <c r="BW62" s="31" t="s">
        <v>413</v>
      </c>
      <c r="BX62" s="31" t="s">
        <v>413</v>
      </c>
      <c r="BY62" s="31" t="s">
        <v>413</v>
      </c>
      <c r="BZ62" s="31" t="s">
        <v>413</v>
      </c>
      <c r="CA62" s="31" t="s">
        <v>413</v>
      </c>
      <c r="CB62" s="31" t="s">
        <v>413</v>
      </c>
      <c r="CC62" s="31" t="s">
        <v>413</v>
      </c>
      <c r="CD62" s="31" t="s">
        <v>413</v>
      </c>
      <c r="CE62" s="31" t="s">
        <v>413</v>
      </c>
      <c r="CF62" s="31" t="s">
        <v>413</v>
      </c>
      <c r="CG62" s="31" t="s">
        <v>413</v>
      </c>
      <c r="CH62" s="31" t="s">
        <v>413</v>
      </c>
      <c r="CI62" s="31" t="s">
        <v>413</v>
      </c>
      <c r="CJ62" s="31" t="s">
        <v>413</v>
      </c>
      <c r="CK62" s="31" t="s">
        <v>413</v>
      </c>
      <c r="CL62" s="31" t="s">
        <v>413</v>
      </c>
      <c r="CM62" s="31" t="s">
        <v>413</v>
      </c>
      <c r="CN62" s="31" t="s">
        <v>413</v>
      </c>
      <c r="CO62" s="31" t="s">
        <v>413</v>
      </c>
      <c r="CP62" s="31" t="s">
        <v>413</v>
      </c>
      <c r="CQ62" s="31" t="s">
        <v>413</v>
      </c>
      <c r="CR62" s="31" t="s">
        <v>413</v>
      </c>
      <c r="CS62" s="31" t="s">
        <v>413</v>
      </c>
      <c r="CT62" s="31" t="s">
        <v>413</v>
      </c>
      <c r="CU62" s="31" t="s">
        <v>413</v>
      </c>
      <c r="CV62" s="31" t="s">
        <v>413</v>
      </c>
      <c r="CW62" s="31">
        <v>189.958</v>
      </c>
      <c r="CX62" s="31">
        <v>160.134414009992</v>
      </c>
      <c r="CY62" s="31">
        <v>0.842999052474718</v>
      </c>
      <c r="CZ62" s="31">
        <v>0.165388171276205</v>
      </c>
      <c r="DA62" s="31">
        <v>6.0</v>
      </c>
      <c r="DB62" s="31">
        <v>0.5</v>
      </c>
      <c r="DC62" s="31" t="s">
        <v>414</v>
      </c>
      <c r="DD62" s="31">
        <v>2.0</v>
      </c>
      <c r="DE62" s="31">
        <v>1.754878488E9</v>
      </c>
      <c r="DF62" s="31">
        <v>457.098</v>
      </c>
      <c r="DG62" s="31">
        <v>460.015</v>
      </c>
      <c r="DH62" s="31">
        <v>36.6828</v>
      </c>
      <c r="DI62" s="31">
        <v>33.4594</v>
      </c>
      <c r="DJ62" s="31">
        <v>454.619</v>
      </c>
      <c r="DK62" s="31">
        <v>36.1309</v>
      </c>
      <c r="DL62" s="31">
        <v>499.838</v>
      </c>
      <c r="DM62" s="31">
        <v>100.927</v>
      </c>
      <c r="DN62" s="31">
        <v>0.099399</v>
      </c>
      <c r="DO62" s="31">
        <v>34.6296</v>
      </c>
      <c r="DP62" s="31">
        <v>33.485</v>
      </c>
      <c r="DQ62" s="31">
        <v>999.9</v>
      </c>
      <c r="DR62" s="31">
        <v>0.0</v>
      </c>
      <c r="DS62" s="31">
        <v>0.0</v>
      </c>
      <c r="DT62" s="31">
        <v>8978.75</v>
      </c>
      <c r="DU62" s="31">
        <v>0.0</v>
      </c>
      <c r="DV62" s="31">
        <v>1348.06</v>
      </c>
      <c r="DW62" s="31">
        <v>189.958</v>
      </c>
      <c r="DX62" s="31">
        <v>0.899969</v>
      </c>
      <c r="DY62" s="31">
        <v>0.100031</v>
      </c>
      <c r="DZ62" s="31">
        <v>0.0</v>
      </c>
      <c r="EA62" s="31">
        <v>265.86</v>
      </c>
      <c r="EB62" s="31">
        <v>0.0999973</v>
      </c>
      <c r="EC62" s="31">
        <v>2404.81</v>
      </c>
      <c r="ED62" s="31">
        <v>1683.67</v>
      </c>
      <c r="EE62" s="31">
        <v>40.187</v>
      </c>
      <c r="EF62" s="31">
        <v>44.062</v>
      </c>
      <c r="EG62" s="31">
        <v>41.875</v>
      </c>
      <c r="EH62" s="31">
        <v>43.5</v>
      </c>
      <c r="EI62" s="31">
        <v>42.75</v>
      </c>
      <c r="EJ62" s="31">
        <v>170.87</v>
      </c>
      <c r="EK62" s="31">
        <v>18.99</v>
      </c>
      <c r="EL62" s="31">
        <v>0.0</v>
      </c>
      <c r="EM62" s="31">
        <v>186.599999904632</v>
      </c>
      <c r="EN62" s="31">
        <v>0.0</v>
      </c>
      <c r="EO62" s="31">
        <v>266.354999999999</v>
      </c>
      <c r="EP62" s="31">
        <v>2.46529915158945</v>
      </c>
      <c r="EQ62" s="31">
        <v>165.609913592298</v>
      </c>
      <c r="ER62" s="31">
        <v>2148.65653846153</v>
      </c>
      <c r="ES62" s="31">
        <v>15.0</v>
      </c>
      <c r="ET62" s="31">
        <v>1.7548783205E9</v>
      </c>
      <c r="EU62" s="42">
        <v>0.425</v>
      </c>
      <c r="EV62" s="31">
        <v>1.7548783205E9</v>
      </c>
      <c r="EW62" s="31">
        <v>1.7548765351E9</v>
      </c>
      <c r="EX62" s="31">
        <v>4.0</v>
      </c>
      <c r="EY62" s="31">
        <v>0.181</v>
      </c>
      <c r="EZ62" s="31">
        <v>-0.002</v>
      </c>
      <c r="FA62" s="31">
        <v>2.479</v>
      </c>
      <c r="FB62" s="31">
        <v>0.297</v>
      </c>
      <c r="FC62" s="31">
        <v>460.0</v>
      </c>
      <c r="FD62" s="31">
        <v>20.0</v>
      </c>
      <c r="FE62" s="31">
        <v>0.37</v>
      </c>
      <c r="FF62" s="31">
        <v>0.06</v>
      </c>
      <c r="FG62" s="31">
        <v>100.0</v>
      </c>
      <c r="FH62" s="31">
        <v>100.0</v>
      </c>
      <c r="FI62" s="31">
        <v>2.479</v>
      </c>
      <c r="FJ62" s="31">
        <v>0.5519</v>
      </c>
      <c r="FK62" s="31">
        <v>2.58103624090163</v>
      </c>
      <c r="FL62" s="31">
        <v>-2.2595428698806E-4</v>
      </c>
      <c r="FM62" s="43">
        <v>5.20417301097471E-9</v>
      </c>
      <c r="FN62" s="43">
        <v>1.17243702350096E-12</v>
      </c>
      <c r="FO62" s="31">
        <v>0.551873338452037</v>
      </c>
      <c r="FP62" s="31">
        <v>0.0</v>
      </c>
      <c r="FQ62" s="31">
        <v>0.0</v>
      </c>
      <c r="FR62" s="31">
        <v>0.0</v>
      </c>
      <c r="FS62" s="31">
        <v>1.0</v>
      </c>
      <c r="FT62" s="31">
        <v>2266.0</v>
      </c>
      <c r="FU62" s="31">
        <v>1.0</v>
      </c>
      <c r="FV62" s="31">
        <v>26.0</v>
      </c>
      <c r="FW62" s="31">
        <v>2.8</v>
      </c>
      <c r="FX62" s="31">
        <v>32.5</v>
      </c>
      <c r="FY62" s="31">
        <v>1.10596</v>
      </c>
      <c r="FZ62" s="31">
        <v>2.51465</v>
      </c>
      <c r="GA62" s="31">
        <v>1.59668</v>
      </c>
      <c r="GB62" s="31">
        <v>2.33032</v>
      </c>
      <c r="GC62" s="31">
        <v>1.5979</v>
      </c>
      <c r="GD62" s="31">
        <v>2.33765</v>
      </c>
      <c r="GE62" s="31">
        <v>39.9437</v>
      </c>
      <c r="GF62" s="31">
        <v>16.0321</v>
      </c>
      <c r="GG62" s="31">
        <v>18.0</v>
      </c>
      <c r="GH62" s="31">
        <v>505.469</v>
      </c>
      <c r="GI62" s="31">
        <v>499.67</v>
      </c>
      <c r="GJ62" s="31">
        <v>34.3319</v>
      </c>
      <c r="GK62" s="31">
        <v>34.6693</v>
      </c>
      <c r="GL62" s="31">
        <v>30.0013</v>
      </c>
      <c r="GM62" s="31">
        <v>34.5418</v>
      </c>
      <c r="GN62" s="31">
        <v>34.4634</v>
      </c>
      <c r="GO62" s="31">
        <v>22.1816</v>
      </c>
      <c r="GP62" s="31">
        <v>100.0</v>
      </c>
      <c r="GQ62" s="31">
        <v>0.0</v>
      </c>
      <c r="GR62" s="31">
        <v>-999.9</v>
      </c>
      <c r="GS62" s="31">
        <v>460.0</v>
      </c>
      <c r="GT62" s="31">
        <v>0.0</v>
      </c>
      <c r="GU62" s="31">
        <v>102.788</v>
      </c>
      <c r="GV62" s="31">
        <v>99.7001</v>
      </c>
    </row>
    <row r="63" ht="14.25" customHeight="1">
      <c r="A63" s="41" t="s">
        <v>113</v>
      </c>
      <c r="B63" s="41" t="s">
        <v>64</v>
      </c>
      <c r="C63" s="41" t="s">
        <v>87</v>
      </c>
      <c r="D63" s="31">
        <v>8.0</v>
      </c>
      <c r="E63" s="31">
        <v>1.7548786691E9</v>
      </c>
      <c r="F63" s="31">
        <v>1151.09999990463</v>
      </c>
      <c r="G63" s="31" t="s">
        <v>589</v>
      </c>
      <c r="H63" s="42">
        <v>0.4290393518518518</v>
      </c>
      <c r="I63" s="31" t="s">
        <v>409</v>
      </c>
      <c r="J63" s="31">
        <v>1.7548786691E9</v>
      </c>
      <c r="K63" s="31">
        <v>0.00343990720698195</v>
      </c>
      <c r="L63" s="31">
        <v>3.43990720698195</v>
      </c>
      <c r="M63" s="31">
        <v>1.59524408049377</v>
      </c>
      <c r="N63" s="31">
        <v>456.12799771889</v>
      </c>
      <c r="O63" s="31">
        <v>434.348455518941</v>
      </c>
      <c r="P63" s="31">
        <v>43.8848509661891</v>
      </c>
      <c r="Q63" s="31">
        <v>46.0853698155417</v>
      </c>
      <c r="R63" s="31">
        <v>0.239149767571758</v>
      </c>
      <c r="S63" s="31">
        <v>2.7586006171381</v>
      </c>
      <c r="T63" s="31">
        <v>0.228199876855165</v>
      </c>
      <c r="U63" s="31">
        <v>0.143566941690414</v>
      </c>
      <c r="V63" s="31">
        <v>31.400598015628</v>
      </c>
      <c r="W63" s="31">
        <v>34.3434966884632</v>
      </c>
      <c r="X63" s="31">
        <v>34.01</v>
      </c>
      <c r="Y63" s="31">
        <v>5.34599112651936</v>
      </c>
      <c r="Z63" s="31">
        <v>68.575896715924</v>
      </c>
      <c r="AA63" s="31">
        <v>3.8925955755596</v>
      </c>
      <c r="AB63" s="31">
        <v>5.67633200872997</v>
      </c>
      <c r="AC63" s="31">
        <v>1.45339555095976</v>
      </c>
      <c r="AD63" s="31">
        <v>-151.699907827904</v>
      </c>
      <c r="AE63" s="31">
        <v>160.500433247664</v>
      </c>
      <c r="AF63" s="31">
        <v>13.5283684923773</v>
      </c>
      <c r="AG63" s="31">
        <v>53.7294919277657</v>
      </c>
      <c r="AH63" s="31">
        <v>0.0</v>
      </c>
      <c r="AI63" s="31">
        <v>0.0</v>
      </c>
      <c r="AJ63" s="31">
        <v>1.0</v>
      </c>
      <c r="AK63" s="31">
        <v>0.0</v>
      </c>
      <c r="AL63" s="31">
        <v>46768.0</v>
      </c>
      <c r="AM63" s="31" t="s">
        <v>410</v>
      </c>
      <c r="AN63" s="31">
        <v>8173.37</v>
      </c>
      <c r="AO63" s="31">
        <v>559.295999999999</v>
      </c>
      <c r="AP63" s="31">
        <v>2893.93</v>
      </c>
      <c r="AQ63" s="31">
        <v>0.806734786259515</v>
      </c>
      <c r="AR63" s="31">
        <v>-2.38169762951563</v>
      </c>
      <c r="AS63" s="31" t="s">
        <v>590</v>
      </c>
      <c r="AT63" s="31">
        <v>8175.13</v>
      </c>
      <c r="AU63" s="31">
        <v>438.2562</v>
      </c>
      <c r="AV63" s="31">
        <v>1333.73</v>
      </c>
      <c r="AW63" s="31">
        <v>0.671405606831967</v>
      </c>
      <c r="AX63" s="31">
        <v>0.5</v>
      </c>
      <c r="AY63" s="31">
        <v>160.051800008097</v>
      </c>
      <c r="AZ63" s="31">
        <v>1.59524408049377</v>
      </c>
      <c r="BA63" s="31">
        <v>53.7298379544926</v>
      </c>
      <c r="BB63" s="31">
        <v>0.0248478411977135</v>
      </c>
      <c r="BC63" s="31">
        <v>1.16980198390978</v>
      </c>
      <c r="BD63" s="31">
        <v>456.165236997016</v>
      </c>
      <c r="BE63" s="31" t="s">
        <v>591</v>
      </c>
      <c r="BF63" s="31">
        <v>356.87</v>
      </c>
      <c r="BG63" s="31">
        <v>356.87</v>
      </c>
      <c r="BH63" s="31">
        <v>0.732427102936876</v>
      </c>
      <c r="BI63" s="31">
        <v>0.916685912003767</v>
      </c>
      <c r="BJ63" s="31">
        <v>0.614963776970193</v>
      </c>
      <c r="BK63" s="31">
        <v>1.1562945325231</v>
      </c>
      <c r="BL63" s="31">
        <v>0.668284621915041</v>
      </c>
      <c r="BM63" s="31">
        <v>0.746453105322376</v>
      </c>
      <c r="BN63" s="31">
        <v>0.253546894677623</v>
      </c>
      <c r="BO63" s="31" t="s">
        <v>413</v>
      </c>
      <c r="BP63" s="31" t="s">
        <v>413</v>
      </c>
      <c r="BQ63" s="31" t="s">
        <v>413</v>
      </c>
      <c r="BR63" s="31" t="s">
        <v>413</v>
      </c>
      <c r="BS63" s="31" t="s">
        <v>413</v>
      </c>
      <c r="BT63" s="31" t="s">
        <v>413</v>
      </c>
      <c r="BU63" s="31" t="s">
        <v>413</v>
      </c>
      <c r="BV63" s="31" t="s">
        <v>413</v>
      </c>
      <c r="BW63" s="31" t="s">
        <v>413</v>
      </c>
      <c r="BX63" s="31" t="s">
        <v>413</v>
      </c>
      <c r="BY63" s="31" t="s">
        <v>413</v>
      </c>
      <c r="BZ63" s="31" t="s">
        <v>413</v>
      </c>
      <c r="CA63" s="31" t="s">
        <v>413</v>
      </c>
      <c r="CB63" s="31" t="s">
        <v>413</v>
      </c>
      <c r="CC63" s="31" t="s">
        <v>413</v>
      </c>
      <c r="CD63" s="31" t="s">
        <v>413</v>
      </c>
      <c r="CE63" s="31" t="s">
        <v>413</v>
      </c>
      <c r="CF63" s="31" t="s">
        <v>413</v>
      </c>
      <c r="CG63" s="31" t="s">
        <v>413</v>
      </c>
      <c r="CH63" s="31" t="s">
        <v>413</v>
      </c>
      <c r="CI63" s="31" t="s">
        <v>413</v>
      </c>
      <c r="CJ63" s="31" t="s">
        <v>413</v>
      </c>
      <c r="CK63" s="31" t="s">
        <v>413</v>
      </c>
      <c r="CL63" s="31" t="s">
        <v>413</v>
      </c>
      <c r="CM63" s="31" t="s">
        <v>413</v>
      </c>
      <c r="CN63" s="31" t="s">
        <v>413</v>
      </c>
      <c r="CO63" s="31" t="s">
        <v>413</v>
      </c>
      <c r="CP63" s="31" t="s">
        <v>413</v>
      </c>
      <c r="CQ63" s="31" t="s">
        <v>413</v>
      </c>
      <c r="CR63" s="31" t="s">
        <v>413</v>
      </c>
      <c r="CS63" s="31" t="s">
        <v>413</v>
      </c>
      <c r="CT63" s="31" t="s">
        <v>413</v>
      </c>
      <c r="CU63" s="31" t="s">
        <v>413</v>
      </c>
      <c r="CV63" s="31" t="s">
        <v>413</v>
      </c>
      <c r="CW63" s="31">
        <v>189.86</v>
      </c>
      <c r="CX63" s="31">
        <v>160.051800008097</v>
      </c>
      <c r="CY63" s="31">
        <v>0.842999051975652</v>
      </c>
      <c r="CZ63" s="31">
        <v>0.165388170313009</v>
      </c>
      <c r="DA63" s="31">
        <v>6.0</v>
      </c>
      <c r="DB63" s="31">
        <v>0.5</v>
      </c>
      <c r="DC63" s="31" t="s">
        <v>414</v>
      </c>
      <c r="DD63" s="31">
        <v>2.0</v>
      </c>
      <c r="DE63" s="31">
        <v>1.7548786691E9</v>
      </c>
      <c r="DF63" s="31">
        <v>456.128</v>
      </c>
      <c r="DG63" s="31">
        <v>459.927</v>
      </c>
      <c r="DH63" s="31">
        <v>38.5268</v>
      </c>
      <c r="DI63" s="31">
        <v>34.556</v>
      </c>
      <c r="DJ63" s="31">
        <v>453.649</v>
      </c>
      <c r="DK63" s="31">
        <v>37.9749</v>
      </c>
      <c r="DL63" s="31">
        <v>499.755</v>
      </c>
      <c r="DM63" s="31">
        <v>100.936</v>
      </c>
      <c r="DN63" s="31">
        <v>0.100047</v>
      </c>
      <c r="DO63" s="31">
        <v>35.0892</v>
      </c>
      <c r="DP63" s="31">
        <v>34.01</v>
      </c>
      <c r="DQ63" s="31">
        <v>999.9</v>
      </c>
      <c r="DR63" s="31">
        <v>0.0</v>
      </c>
      <c r="DS63" s="31">
        <v>0.0</v>
      </c>
      <c r="DT63" s="31">
        <v>8971.88</v>
      </c>
      <c r="DU63" s="31">
        <v>0.0</v>
      </c>
      <c r="DV63" s="31">
        <v>1443.45</v>
      </c>
      <c r="DW63" s="31">
        <v>189.86</v>
      </c>
      <c r="DX63" s="31">
        <v>0.899967</v>
      </c>
      <c r="DY63" s="31">
        <v>0.100033</v>
      </c>
      <c r="DZ63" s="31">
        <v>0.0</v>
      </c>
      <c r="EA63" s="31">
        <v>435.17</v>
      </c>
      <c r="EB63" s="31">
        <v>0.0999973</v>
      </c>
      <c r="EC63" s="31">
        <v>3061.1</v>
      </c>
      <c r="ED63" s="31">
        <v>1682.8</v>
      </c>
      <c r="EE63" s="31">
        <v>40.562</v>
      </c>
      <c r="EF63" s="31">
        <v>44.437</v>
      </c>
      <c r="EG63" s="31">
        <v>42.25</v>
      </c>
      <c r="EH63" s="31">
        <v>43.875</v>
      </c>
      <c r="EI63" s="31">
        <v>43.125</v>
      </c>
      <c r="EJ63" s="31">
        <v>170.78</v>
      </c>
      <c r="EK63" s="31">
        <v>18.98</v>
      </c>
      <c r="EL63" s="31">
        <v>0.0</v>
      </c>
      <c r="EM63" s="31">
        <v>179.0</v>
      </c>
      <c r="EN63" s="31">
        <v>0.0</v>
      </c>
      <c r="EO63" s="31">
        <v>438.2562</v>
      </c>
      <c r="EP63" s="31">
        <v>-16.8134614548534</v>
      </c>
      <c r="EQ63" s="31">
        <v>-1012.95461335007</v>
      </c>
      <c r="ER63" s="31">
        <v>3277.5956</v>
      </c>
      <c r="ES63" s="31">
        <v>15.0</v>
      </c>
      <c r="ET63" s="31">
        <v>1.7548783205E9</v>
      </c>
      <c r="EU63" s="42">
        <v>0.425</v>
      </c>
      <c r="EV63" s="31">
        <v>1.7548783205E9</v>
      </c>
      <c r="EW63" s="31">
        <v>1.7548765351E9</v>
      </c>
      <c r="EX63" s="31">
        <v>4.0</v>
      </c>
      <c r="EY63" s="31">
        <v>0.181</v>
      </c>
      <c r="EZ63" s="31">
        <v>-0.002</v>
      </c>
      <c r="FA63" s="31">
        <v>2.479</v>
      </c>
      <c r="FB63" s="31">
        <v>0.297</v>
      </c>
      <c r="FC63" s="31">
        <v>460.0</v>
      </c>
      <c r="FD63" s="31">
        <v>20.0</v>
      </c>
      <c r="FE63" s="31">
        <v>0.37</v>
      </c>
      <c r="FF63" s="31">
        <v>0.06</v>
      </c>
      <c r="FG63" s="31">
        <v>100.0</v>
      </c>
      <c r="FH63" s="31">
        <v>100.0</v>
      </c>
      <c r="FI63" s="31">
        <v>2.479</v>
      </c>
      <c r="FJ63" s="31">
        <v>0.5519</v>
      </c>
      <c r="FK63" s="31">
        <v>2.58103624090163</v>
      </c>
      <c r="FL63" s="31">
        <v>-2.2595428698806E-4</v>
      </c>
      <c r="FM63" s="43">
        <v>5.20417301097471E-9</v>
      </c>
      <c r="FN63" s="43">
        <v>1.17243702350096E-12</v>
      </c>
      <c r="FO63" s="31">
        <v>0.551873338452037</v>
      </c>
      <c r="FP63" s="31">
        <v>0.0</v>
      </c>
      <c r="FQ63" s="31">
        <v>0.0</v>
      </c>
      <c r="FR63" s="31">
        <v>0.0</v>
      </c>
      <c r="FS63" s="31">
        <v>1.0</v>
      </c>
      <c r="FT63" s="31">
        <v>2266.0</v>
      </c>
      <c r="FU63" s="31">
        <v>1.0</v>
      </c>
      <c r="FV63" s="31">
        <v>26.0</v>
      </c>
      <c r="FW63" s="31">
        <v>5.8</v>
      </c>
      <c r="FX63" s="31">
        <v>35.6</v>
      </c>
      <c r="FY63" s="31">
        <v>1.10596</v>
      </c>
      <c r="FZ63" s="31">
        <v>2.51587</v>
      </c>
      <c r="GA63" s="31">
        <v>1.59668</v>
      </c>
      <c r="GB63" s="31">
        <v>2.32666</v>
      </c>
      <c r="GC63" s="31">
        <v>1.5979</v>
      </c>
      <c r="GD63" s="31">
        <v>2.37549</v>
      </c>
      <c r="GE63" s="31">
        <v>40.7837</v>
      </c>
      <c r="GF63" s="31">
        <v>16.0146</v>
      </c>
      <c r="GG63" s="31">
        <v>18.0</v>
      </c>
      <c r="GH63" s="31">
        <v>506.935</v>
      </c>
      <c r="GI63" s="31">
        <v>494.988</v>
      </c>
      <c r="GJ63" s="31">
        <v>34.8255</v>
      </c>
      <c r="GK63" s="31">
        <v>35.1419</v>
      </c>
      <c r="GL63" s="31">
        <v>30.0007</v>
      </c>
      <c r="GM63" s="31">
        <v>35.0205</v>
      </c>
      <c r="GN63" s="31">
        <v>34.9405</v>
      </c>
      <c r="GO63" s="31">
        <v>22.2026</v>
      </c>
      <c r="GP63" s="31">
        <v>100.0</v>
      </c>
      <c r="GQ63" s="31">
        <v>0.0</v>
      </c>
      <c r="GR63" s="31">
        <v>-999.9</v>
      </c>
      <c r="GS63" s="31">
        <v>460.0</v>
      </c>
      <c r="GT63" s="31">
        <v>0.0</v>
      </c>
      <c r="GU63" s="31">
        <v>102.72</v>
      </c>
      <c r="GV63" s="31">
        <v>99.6361</v>
      </c>
    </row>
    <row r="64" ht="14.25" customHeight="1">
      <c r="A64" s="41" t="s">
        <v>113</v>
      </c>
      <c r="B64" s="41" t="s">
        <v>66</v>
      </c>
      <c r="C64" s="41" t="s">
        <v>86</v>
      </c>
      <c r="D64" s="31">
        <v>52.0</v>
      </c>
      <c r="E64" s="31">
        <v>1.7548850685E9</v>
      </c>
      <c r="F64" s="31">
        <v>7550.5</v>
      </c>
      <c r="G64" s="31" t="s">
        <v>592</v>
      </c>
      <c r="H64" s="42">
        <v>0.5031018518518519</v>
      </c>
      <c r="I64" s="31" t="s">
        <v>409</v>
      </c>
      <c r="J64" s="31">
        <v>1.7548850685E9</v>
      </c>
      <c r="K64" s="31">
        <v>0.00379572671361756</v>
      </c>
      <c r="L64" s="31">
        <v>3.79572671361756</v>
      </c>
      <c r="M64" s="31">
        <v>5.82254433404696</v>
      </c>
      <c r="N64" s="31">
        <v>450.962991708625</v>
      </c>
      <c r="O64" s="31">
        <v>409.357525186582</v>
      </c>
      <c r="P64" s="31">
        <v>41.3366387992185</v>
      </c>
      <c r="Q64" s="31">
        <v>45.5379299344207</v>
      </c>
      <c r="R64" s="31">
        <v>0.301545195638585</v>
      </c>
      <c r="S64" s="31">
        <v>2.7602332076962</v>
      </c>
      <c r="T64" s="31">
        <v>0.284366250710202</v>
      </c>
      <c r="U64" s="31">
        <v>0.179190758844709</v>
      </c>
      <c r="V64" s="31">
        <v>31.3747309503642</v>
      </c>
      <c r="W64" s="31">
        <v>33.7251944817303</v>
      </c>
      <c r="X64" s="31">
        <v>33.5063</v>
      </c>
      <c r="Y64" s="31">
        <v>5.197620683766</v>
      </c>
      <c r="Z64" s="31">
        <v>70.9110431595005</v>
      </c>
      <c r="AA64" s="31">
        <v>3.9105347020866</v>
      </c>
      <c r="AB64" s="31">
        <v>5.51470480174803</v>
      </c>
      <c r="AC64" s="31">
        <v>1.2870859816794</v>
      </c>
      <c r="AD64" s="31">
        <v>-167.391548070534</v>
      </c>
      <c r="AE64" s="31">
        <v>158.021012671033</v>
      </c>
      <c r="AF64" s="31">
        <v>13.2450857264815</v>
      </c>
      <c r="AG64" s="31">
        <v>35.2492812773444</v>
      </c>
      <c r="AH64" s="31">
        <v>0.0</v>
      </c>
      <c r="AI64" s="31">
        <v>0.0</v>
      </c>
      <c r="AJ64" s="31">
        <v>1.0</v>
      </c>
      <c r="AK64" s="31">
        <v>0.0</v>
      </c>
      <c r="AL64" s="31">
        <v>46891.0</v>
      </c>
      <c r="AM64" s="31" t="s">
        <v>410</v>
      </c>
      <c r="AN64" s="31">
        <v>8173.37</v>
      </c>
      <c r="AO64" s="31">
        <v>559.295999999999</v>
      </c>
      <c r="AP64" s="31">
        <v>2893.93</v>
      </c>
      <c r="AQ64" s="31">
        <v>0.806734786259515</v>
      </c>
      <c r="AR64" s="31">
        <v>-2.38169762951563</v>
      </c>
      <c r="AS64" s="31" t="s">
        <v>593</v>
      </c>
      <c r="AT64" s="31">
        <v>8189.18</v>
      </c>
      <c r="AU64" s="31">
        <v>675.2524</v>
      </c>
      <c r="AV64" s="31">
        <v>2330.27</v>
      </c>
      <c r="AW64" s="31">
        <v>0.710225682002514</v>
      </c>
      <c r="AX64" s="31">
        <v>0.5</v>
      </c>
      <c r="AY64" s="31">
        <v>159.921015000188</v>
      </c>
      <c r="AZ64" s="31">
        <v>5.82254433404696</v>
      </c>
      <c r="BA64" s="31">
        <v>56.7900059725217</v>
      </c>
      <c r="BB64" s="31">
        <v>0.051301837745045</v>
      </c>
      <c r="BC64" s="31">
        <v>0.241886133366519</v>
      </c>
      <c r="BD64" s="31">
        <v>534.317625973318</v>
      </c>
      <c r="BE64" s="31" t="s">
        <v>594</v>
      </c>
      <c r="BF64" s="31">
        <v>-316.67</v>
      </c>
      <c r="BG64" s="31">
        <v>-316.67</v>
      </c>
      <c r="BH64" s="31">
        <v>1.13589412385689</v>
      </c>
      <c r="BI64" s="31">
        <v>0.625256938200336</v>
      </c>
      <c r="BJ64" s="31">
        <v>0.175562200211798</v>
      </c>
      <c r="BK64" s="31">
        <v>0.934523939933618</v>
      </c>
      <c r="BL64" s="31">
        <v>0.241433989224863</v>
      </c>
      <c r="BM64" s="31">
        <v>-0.293223859137562</v>
      </c>
      <c r="BN64" s="31">
        <v>1.29322385913756</v>
      </c>
      <c r="BO64" s="31" t="s">
        <v>413</v>
      </c>
      <c r="BP64" s="31" t="s">
        <v>413</v>
      </c>
      <c r="BQ64" s="31" t="s">
        <v>413</v>
      </c>
      <c r="BR64" s="31" t="s">
        <v>413</v>
      </c>
      <c r="BS64" s="31" t="s">
        <v>413</v>
      </c>
      <c r="BT64" s="31" t="s">
        <v>413</v>
      </c>
      <c r="BU64" s="31" t="s">
        <v>413</v>
      </c>
      <c r="BV64" s="31" t="s">
        <v>413</v>
      </c>
      <c r="BW64" s="31" t="s">
        <v>413</v>
      </c>
      <c r="BX64" s="31" t="s">
        <v>413</v>
      </c>
      <c r="BY64" s="31" t="s">
        <v>413</v>
      </c>
      <c r="BZ64" s="31" t="s">
        <v>413</v>
      </c>
      <c r="CA64" s="31" t="s">
        <v>413</v>
      </c>
      <c r="CB64" s="31" t="s">
        <v>413</v>
      </c>
      <c r="CC64" s="31" t="s">
        <v>413</v>
      </c>
      <c r="CD64" s="31" t="s">
        <v>413</v>
      </c>
      <c r="CE64" s="31" t="s">
        <v>413</v>
      </c>
      <c r="CF64" s="31" t="s">
        <v>413</v>
      </c>
      <c r="CG64" s="31" t="s">
        <v>413</v>
      </c>
      <c r="CH64" s="31" t="s">
        <v>413</v>
      </c>
      <c r="CI64" s="31" t="s">
        <v>413</v>
      </c>
      <c r="CJ64" s="31" t="s">
        <v>413</v>
      </c>
      <c r="CK64" s="31" t="s">
        <v>413</v>
      </c>
      <c r="CL64" s="31" t="s">
        <v>413</v>
      </c>
      <c r="CM64" s="31" t="s">
        <v>413</v>
      </c>
      <c r="CN64" s="31" t="s">
        <v>413</v>
      </c>
      <c r="CO64" s="31" t="s">
        <v>413</v>
      </c>
      <c r="CP64" s="31" t="s">
        <v>413</v>
      </c>
      <c r="CQ64" s="31" t="s">
        <v>413</v>
      </c>
      <c r="CR64" s="31" t="s">
        <v>413</v>
      </c>
      <c r="CS64" s="31" t="s">
        <v>413</v>
      </c>
      <c r="CT64" s="31" t="s">
        <v>413</v>
      </c>
      <c r="CU64" s="31" t="s">
        <v>413</v>
      </c>
      <c r="CV64" s="31" t="s">
        <v>413</v>
      </c>
      <c r="CW64" s="31">
        <v>189.705</v>
      </c>
      <c r="CX64" s="31">
        <v>159.921015000188</v>
      </c>
      <c r="CY64" s="31">
        <v>0.84299841859829</v>
      </c>
      <c r="CZ64" s="31">
        <v>0.1653869478947</v>
      </c>
      <c r="DA64" s="31">
        <v>6.0</v>
      </c>
      <c r="DB64" s="31">
        <v>0.5</v>
      </c>
      <c r="DC64" s="31" t="s">
        <v>414</v>
      </c>
      <c r="DD64" s="31">
        <v>2.0</v>
      </c>
      <c r="DE64" s="31">
        <v>1.7548850685E9</v>
      </c>
      <c r="DF64" s="31">
        <v>450.962999999999</v>
      </c>
      <c r="DG64" s="31">
        <v>460.005</v>
      </c>
      <c r="DH64" s="31">
        <v>38.7261</v>
      </c>
      <c r="DI64" s="31">
        <v>34.3472</v>
      </c>
      <c r="DJ64" s="31">
        <v>448.013</v>
      </c>
      <c r="DK64" s="31">
        <v>38.1742</v>
      </c>
      <c r="DL64" s="31">
        <v>499.952</v>
      </c>
      <c r="DM64" s="31">
        <v>100.879</v>
      </c>
      <c r="DN64" s="31">
        <v>0.100306</v>
      </c>
      <c r="DO64" s="31">
        <v>34.5682</v>
      </c>
      <c r="DP64" s="31">
        <v>33.5063</v>
      </c>
      <c r="DQ64" s="31">
        <v>999.9</v>
      </c>
      <c r="DR64" s="31">
        <v>0.0</v>
      </c>
      <c r="DS64" s="31">
        <v>0.0</v>
      </c>
      <c r="DT64" s="31">
        <v>8985.62</v>
      </c>
      <c r="DU64" s="31">
        <v>0.0</v>
      </c>
      <c r="DV64" s="31">
        <v>399.229</v>
      </c>
      <c r="DW64" s="31">
        <v>189.705</v>
      </c>
      <c r="DX64" s="31">
        <v>0.899991</v>
      </c>
      <c r="DY64" s="31">
        <v>0.100009</v>
      </c>
      <c r="DZ64" s="31">
        <v>0.0</v>
      </c>
      <c r="EA64" s="31">
        <v>674.485</v>
      </c>
      <c r="EB64" s="31">
        <v>0.0999973</v>
      </c>
      <c r="EC64" s="31">
        <v>2403.82</v>
      </c>
      <c r="ED64" s="31">
        <v>1681.44</v>
      </c>
      <c r="EE64" s="31">
        <v>39.625</v>
      </c>
      <c r="EF64" s="31">
        <v>42.687</v>
      </c>
      <c r="EG64" s="31">
        <v>41.125</v>
      </c>
      <c r="EH64" s="31">
        <v>42.437</v>
      </c>
      <c r="EI64" s="31">
        <v>42.25</v>
      </c>
      <c r="EJ64" s="31">
        <v>170.64</v>
      </c>
      <c r="EK64" s="31">
        <v>18.96</v>
      </c>
      <c r="EL64" s="31">
        <v>0.0</v>
      </c>
      <c r="EM64" s="31">
        <v>174.600000143051</v>
      </c>
      <c r="EN64" s="31">
        <v>0.0</v>
      </c>
      <c r="EO64" s="31">
        <v>675.2524</v>
      </c>
      <c r="EP64" s="31">
        <v>-10.1030768541192</v>
      </c>
      <c r="EQ64" s="31">
        <v>209.417692302125</v>
      </c>
      <c r="ER64" s="31">
        <v>2360.40879999999</v>
      </c>
      <c r="ES64" s="31">
        <v>15.0</v>
      </c>
      <c r="ET64" s="31">
        <v>1.7548850855E9</v>
      </c>
      <c r="EU64" s="42">
        <v>0.5032986111111111</v>
      </c>
      <c r="EV64" s="31">
        <v>1.7548850855E9</v>
      </c>
      <c r="EW64" s="31">
        <v>1.7548765351E9</v>
      </c>
      <c r="EX64" s="31">
        <v>15.0</v>
      </c>
      <c r="EY64" s="31">
        <v>0.058</v>
      </c>
      <c r="EZ64" s="31">
        <v>-0.002</v>
      </c>
      <c r="FA64" s="31">
        <v>2.95</v>
      </c>
      <c r="FB64" s="31">
        <v>0.297</v>
      </c>
      <c r="FC64" s="31">
        <v>460.0</v>
      </c>
      <c r="FD64" s="31">
        <v>20.0</v>
      </c>
      <c r="FE64" s="31">
        <v>0.24</v>
      </c>
      <c r="FF64" s="31">
        <v>0.06</v>
      </c>
      <c r="FG64" s="31">
        <v>100.0</v>
      </c>
      <c r="FH64" s="31">
        <v>100.0</v>
      </c>
      <c r="FI64" s="31">
        <v>2.95</v>
      </c>
      <c r="FJ64" s="31">
        <v>0.5519</v>
      </c>
      <c r="FK64" s="31">
        <v>2.99327949387386</v>
      </c>
      <c r="FL64" s="31">
        <v>-2.2595428698806E-4</v>
      </c>
      <c r="FM64" s="43">
        <v>5.20417301097471E-9</v>
      </c>
      <c r="FN64" s="43">
        <v>1.17243702350096E-12</v>
      </c>
      <c r="FO64" s="31">
        <v>0.551873338452037</v>
      </c>
      <c r="FP64" s="31">
        <v>0.0</v>
      </c>
      <c r="FQ64" s="31">
        <v>0.0</v>
      </c>
      <c r="FR64" s="31">
        <v>0.0</v>
      </c>
      <c r="FS64" s="31">
        <v>1.0</v>
      </c>
      <c r="FT64" s="31">
        <v>2266.0</v>
      </c>
      <c r="FU64" s="31">
        <v>1.0</v>
      </c>
      <c r="FV64" s="31">
        <v>26.0</v>
      </c>
      <c r="FW64" s="31">
        <v>11.7</v>
      </c>
      <c r="FX64" s="31">
        <v>142.2</v>
      </c>
      <c r="FY64" s="31">
        <v>1.12305</v>
      </c>
      <c r="FZ64" s="31">
        <v>2.5647</v>
      </c>
      <c r="GA64" s="31">
        <v>1.59668</v>
      </c>
      <c r="GB64" s="31">
        <v>2.31689</v>
      </c>
      <c r="GC64" s="31">
        <v>1.5979</v>
      </c>
      <c r="GD64" s="31">
        <v>2.2998</v>
      </c>
      <c r="GE64" s="31">
        <v>43.6447</v>
      </c>
      <c r="GF64" s="31">
        <v>15.1039</v>
      </c>
      <c r="GG64" s="31">
        <v>18.0</v>
      </c>
      <c r="GH64" s="31">
        <v>507.658</v>
      </c>
      <c r="GI64" s="31">
        <v>467.148</v>
      </c>
      <c r="GJ64" s="31">
        <v>34.6331</v>
      </c>
      <c r="GK64" s="31">
        <v>34.7157</v>
      </c>
      <c r="GL64" s="31">
        <v>29.9997</v>
      </c>
      <c r="GM64" s="31">
        <v>34.7775</v>
      </c>
      <c r="GN64" s="31">
        <v>34.7285</v>
      </c>
      <c r="GO64" s="31">
        <v>22.5436</v>
      </c>
      <c r="GP64" s="31">
        <v>100.0</v>
      </c>
      <c r="GQ64" s="31">
        <v>0.0</v>
      </c>
      <c r="GR64" s="31">
        <v>-999.9</v>
      </c>
      <c r="GS64" s="31">
        <v>460.0</v>
      </c>
      <c r="GT64" s="31">
        <v>15.5881</v>
      </c>
      <c r="GU64" s="31">
        <v>102.61</v>
      </c>
      <c r="GV64" s="31">
        <v>99.8326</v>
      </c>
    </row>
    <row r="65" ht="14.25" customHeight="1">
      <c r="A65" s="41" t="s">
        <v>113</v>
      </c>
      <c r="B65" s="41" t="s">
        <v>66</v>
      </c>
      <c r="C65" s="41" t="s">
        <v>87</v>
      </c>
      <c r="D65" s="31">
        <v>53.0</v>
      </c>
      <c r="E65" s="31">
        <v>1.754885205E9</v>
      </c>
      <c r="F65" s="31">
        <v>7687.0</v>
      </c>
      <c r="G65" s="31" t="s">
        <v>595</v>
      </c>
      <c r="H65" s="42">
        <v>0.5046875</v>
      </c>
      <c r="I65" s="31" t="s">
        <v>409</v>
      </c>
      <c r="J65" s="31">
        <v>1.754885205E9</v>
      </c>
      <c r="K65" s="31">
        <v>0.00368261056251552</v>
      </c>
      <c r="L65" s="31">
        <v>3.68261056251552</v>
      </c>
      <c r="M65" s="31">
        <v>4.92265561496726</v>
      </c>
      <c r="N65" s="31">
        <v>452.104993029256</v>
      </c>
      <c r="O65" s="31">
        <v>417.08373958558</v>
      </c>
      <c r="P65" s="31">
        <v>42.1157810634266</v>
      </c>
      <c r="Q65" s="31">
        <v>45.6521151436431</v>
      </c>
      <c r="R65" s="31">
        <v>0.314057156315823</v>
      </c>
      <c r="S65" s="31">
        <v>2.76431537510625</v>
      </c>
      <c r="T65" s="31">
        <v>0.295495894212663</v>
      </c>
      <c r="U65" s="31">
        <v>0.186261106537255</v>
      </c>
      <c r="V65" s="31">
        <v>31.3996635695296</v>
      </c>
      <c r="W65" s="31">
        <v>33.5134227033009</v>
      </c>
      <c r="X65" s="31">
        <v>33.1949</v>
      </c>
      <c r="Y65" s="31">
        <v>5.10769723865556</v>
      </c>
      <c r="Z65" s="31">
        <v>71.7851410032646</v>
      </c>
      <c r="AA65" s="31">
        <v>3.90543927580638</v>
      </c>
      <c r="AB65" s="31">
        <v>5.4404563691374</v>
      </c>
      <c r="AC65" s="31">
        <v>1.20225796284918</v>
      </c>
      <c r="AD65" s="31">
        <v>-162.403125806934</v>
      </c>
      <c r="AE65" s="31">
        <v>168.329125782831</v>
      </c>
      <c r="AF65" s="31">
        <v>14.0500884785169</v>
      </c>
      <c r="AG65" s="31">
        <v>51.3757520239439</v>
      </c>
      <c r="AH65" s="31">
        <v>0.0</v>
      </c>
      <c r="AI65" s="31">
        <v>0.0</v>
      </c>
      <c r="AJ65" s="31">
        <v>1.0</v>
      </c>
      <c r="AK65" s="31">
        <v>0.0</v>
      </c>
      <c r="AL65" s="31">
        <v>47040.0</v>
      </c>
      <c r="AM65" s="31" t="s">
        <v>410</v>
      </c>
      <c r="AN65" s="31">
        <v>8173.37</v>
      </c>
      <c r="AO65" s="31">
        <v>559.295999999999</v>
      </c>
      <c r="AP65" s="31">
        <v>2893.93</v>
      </c>
      <c r="AQ65" s="31">
        <v>0.806734786259515</v>
      </c>
      <c r="AR65" s="31">
        <v>-2.38169762951563</v>
      </c>
      <c r="AS65" s="31" t="s">
        <v>596</v>
      </c>
      <c r="AT65" s="31">
        <v>8164.18</v>
      </c>
      <c r="AU65" s="31">
        <v>622.0586</v>
      </c>
      <c r="AV65" s="31">
        <v>2027.02</v>
      </c>
      <c r="AW65" s="31">
        <v>0.693116693471204</v>
      </c>
      <c r="AX65" s="31">
        <v>0.5</v>
      </c>
      <c r="AY65" s="31">
        <v>160.046772004937</v>
      </c>
      <c r="AZ65" s="31">
        <v>4.92265561496726</v>
      </c>
      <c r="BA65" s="31">
        <v>55.465544706401</v>
      </c>
      <c r="BB65" s="31">
        <v>0.0456388663949907</v>
      </c>
      <c r="BC65" s="31">
        <v>0.427677082613886</v>
      </c>
      <c r="BD65" s="31">
        <v>516.596650735924</v>
      </c>
      <c r="BE65" s="31" t="s">
        <v>597</v>
      </c>
      <c r="BF65" s="31">
        <v>-620.47</v>
      </c>
      <c r="BG65" s="31">
        <v>-620.47</v>
      </c>
      <c r="BH65" s="31">
        <v>1.30609959447859</v>
      </c>
      <c r="BI65" s="31">
        <v>0.530676754208703</v>
      </c>
      <c r="BJ65" s="31">
        <v>0.246673685408604</v>
      </c>
      <c r="BK65" s="31">
        <v>0.957238145591405</v>
      </c>
      <c r="BL65" s="31">
        <v>0.37132586949389</v>
      </c>
      <c r="BM65" s="31">
        <v>-0.529321523219636</v>
      </c>
      <c r="BN65" s="31">
        <v>1.52932152321963</v>
      </c>
      <c r="BO65" s="31" t="s">
        <v>413</v>
      </c>
      <c r="BP65" s="31" t="s">
        <v>413</v>
      </c>
      <c r="BQ65" s="31" t="s">
        <v>413</v>
      </c>
      <c r="BR65" s="31" t="s">
        <v>413</v>
      </c>
      <c r="BS65" s="31" t="s">
        <v>413</v>
      </c>
      <c r="BT65" s="31" t="s">
        <v>413</v>
      </c>
      <c r="BU65" s="31" t="s">
        <v>413</v>
      </c>
      <c r="BV65" s="31" t="s">
        <v>413</v>
      </c>
      <c r="BW65" s="31" t="s">
        <v>413</v>
      </c>
      <c r="BX65" s="31" t="s">
        <v>413</v>
      </c>
      <c r="BY65" s="31" t="s">
        <v>413</v>
      </c>
      <c r="BZ65" s="31" t="s">
        <v>413</v>
      </c>
      <c r="CA65" s="31" t="s">
        <v>413</v>
      </c>
      <c r="CB65" s="31" t="s">
        <v>413</v>
      </c>
      <c r="CC65" s="31" t="s">
        <v>413</v>
      </c>
      <c r="CD65" s="31" t="s">
        <v>413</v>
      </c>
      <c r="CE65" s="31" t="s">
        <v>413</v>
      </c>
      <c r="CF65" s="31" t="s">
        <v>413</v>
      </c>
      <c r="CG65" s="31" t="s">
        <v>413</v>
      </c>
      <c r="CH65" s="31" t="s">
        <v>413</v>
      </c>
      <c r="CI65" s="31" t="s">
        <v>413</v>
      </c>
      <c r="CJ65" s="31" t="s">
        <v>413</v>
      </c>
      <c r="CK65" s="31" t="s">
        <v>413</v>
      </c>
      <c r="CL65" s="31" t="s">
        <v>413</v>
      </c>
      <c r="CM65" s="31" t="s">
        <v>413</v>
      </c>
      <c r="CN65" s="31" t="s">
        <v>413</v>
      </c>
      <c r="CO65" s="31" t="s">
        <v>413</v>
      </c>
      <c r="CP65" s="31" t="s">
        <v>413</v>
      </c>
      <c r="CQ65" s="31" t="s">
        <v>413</v>
      </c>
      <c r="CR65" s="31" t="s">
        <v>413</v>
      </c>
      <c r="CS65" s="31" t="s">
        <v>413</v>
      </c>
      <c r="CT65" s="31" t="s">
        <v>413</v>
      </c>
      <c r="CU65" s="31" t="s">
        <v>413</v>
      </c>
      <c r="CV65" s="31" t="s">
        <v>413</v>
      </c>
      <c r="CW65" s="31">
        <v>189.854</v>
      </c>
      <c r="CX65" s="31">
        <v>160.046772004937</v>
      </c>
      <c r="CY65" s="31">
        <v>0.842999209945208</v>
      </c>
      <c r="CZ65" s="31">
        <v>0.165388475194252</v>
      </c>
      <c r="DA65" s="31">
        <v>6.0</v>
      </c>
      <c r="DB65" s="31">
        <v>0.5</v>
      </c>
      <c r="DC65" s="31" t="s">
        <v>414</v>
      </c>
      <c r="DD65" s="31">
        <v>2.0</v>
      </c>
      <c r="DE65" s="31">
        <v>1.754885205E9</v>
      </c>
      <c r="DF65" s="31">
        <v>452.105</v>
      </c>
      <c r="DG65" s="31">
        <v>460.011</v>
      </c>
      <c r="DH65" s="31">
        <v>38.6766</v>
      </c>
      <c r="DI65" s="31">
        <v>34.4279</v>
      </c>
      <c r="DJ65" s="31">
        <v>449.153</v>
      </c>
      <c r="DK65" s="31">
        <v>38.1247</v>
      </c>
      <c r="DL65" s="31">
        <v>499.943</v>
      </c>
      <c r="DM65" s="31">
        <v>100.877</v>
      </c>
      <c r="DN65" s="31">
        <v>0.0997993</v>
      </c>
      <c r="DO65" s="31">
        <v>34.3244</v>
      </c>
      <c r="DP65" s="31">
        <v>33.1949</v>
      </c>
      <c r="DQ65" s="31">
        <v>999.9</v>
      </c>
      <c r="DR65" s="31">
        <v>0.0</v>
      </c>
      <c r="DS65" s="31">
        <v>0.0</v>
      </c>
      <c r="DT65" s="31">
        <v>9007.5</v>
      </c>
      <c r="DU65" s="31">
        <v>0.0</v>
      </c>
      <c r="DV65" s="31">
        <v>654.013</v>
      </c>
      <c r="DW65" s="31">
        <v>189.854</v>
      </c>
      <c r="DX65" s="31">
        <v>0.89995</v>
      </c>
      <c r="DY65" s="31">
        <v>0.10005</v>
      </c>
      <c r="DZ65" s="31">
        <v>0.0</v>
      </c>
      <c r="EA65" s="31">
        <v>617.865</v>
      </c>
      <c r="EB65" s="31">
        <v>0.0999973</v>
      </c>
      <c r="EC65" s="31">
        <v>2583.09</v>
      </c>
      <c r="ED65" s="31">
        <v>1682.74</v>
      </c>
      <c r="EE65" s="31">
        <v>39.375</v>
      </c>
      <c r="EF65" s="31">
        <v>42.5</v>
      </c>
      <c r="EG65" s="31">
        <v>40.875</v>
      </c>
      <c r="EH65" s="31">
        <v>42.25</v>
      </c>
      <c r="EI65" s="31">
        <v>42.0</v>
      </c>
      <c r="EJ65" s="31">
        <v>170.77</v>
      </c>
      <c r="EK65" s="31">
        <v>18.98</v>
      </c>
      <c r="EL65" s="31">
        <v>0.0</v>
      </c>
      <c r="EM65" s="31">
        <v>134.0</v>
      </c>
      <c r="EN65" s="31">
        <v>0.0</v>
      </c>
      <c r="EO65" s="31">
        <v>622.0586</v>
      </c>
      <c r="EP65" s="31">
        <v>-22.5496153446343</v>
      </c>
      <c r="EQ65" s="31">
        <v>285.622307363842</v>
      </c>
      <c r="ER65" s="31">
        <v>2563.682</v>
      </c>
      <c r="ES65" s="31">
        <v>15.0</v>
      </c>
      <c r="ET65" s="31">
        <v>1.7548850855E9</v>
      </c>
      <c r="EU65" s="42">
        <v>0.5032986111111111</v>
      </c>
      <c r="EV65" s="31">
        <v>1.7548850855E9</v>
      </c>
      <c r="EW65" s="31">
        <v>1.7548765351E9</v>
      </c>
      <c r="EX65" s="31">
        <v>15.0</v>
      </c>
      <c r="EY65" s="31">
        <v>0.058</v>
      </c>
      <c r="EZ65" s="31">
        <v>-0.002</v>
      </c>
      <c r="FA65" s="31">
        <v>2.95</v>
      </c>
      <c r="FB65" s="31">
        <v>0.297</v>
      </c>
      <c r="FC65" s="31">
        <v>460.0</v>
      </c>
      <c r="FD65" s="31">
        <v>20.0</v>
      </c>
      <c r="FE65" s="31">
        <v>0.24</v>
      </c>
      <c r="FF65" s="31">
        <v>0.06</v>
      </c>
      <c r="FG65" s="31">
        <v>100.0</v>
      </c>
      <c r="FH65" s="31">
        <v>100.0</v>
      </c>
      <c r="FI65" s="31">
        <v>2.952</v>
      </c>
      <c r="FJ65" s="31">
        <v>0.5519</v>
      </c>
      <c r="FK65" s="31">
        <v>3.05167991366422</v>
      </c>
      <c r="FL65" s="31">
        <v>-2.2595428698806E-4</v>
      </c>
      <c r="FM65" s="43">
        <v>5.20417301097471E-9</v>
      </c>
      <c r="FN65" s="43">
        <v>1.17243702350096E-12</v>
      </c>
      <c r="FO65" s="31">
        <v>0.551873338452037</v>
      </c>
      <c r="FP65" s="31">
        <v>0.0</v>
      </c>
      <c r="FQ65" s="31">
        <v>0.0</v>
      </c>
      <c r="FR65" s="31">
        <v>0.0</v>
      </c>
      <c r="FS65" s="31">
        <v>1.0</v>
      </c>
      <c r="FT65" s="31">
        <v>2266.0</v>
      </c>
      <c r="FU65" s="31">
        <v>1.0</v>
      </c>
      <c r="FV65" s="31">
        <v>26.0</v>
      </c>
      <c r="FW65" s="31">
        <v>2.0</v>
      </c>
      <c r="FX65" s="31">
        <v>144.5</v>
      </c>
      <c r="FY65" s="31">
        <v>1.12427</v>
      </c>
      <c r="FZ65" s="31">
        <v>2.56958</v>
      </c>
      <c r="GA65" s="31">
        <v>1.59668</v>
      </c>
      <c r="GB65" s="31">
        <v>2.31689</v>
      </c>
      <c r="GC65" s="31">
        <v>1.5979</v>
      </c>
      <c r="GD65" s="31">
        <v>2.30347</v>
      </c>
      <c r="GE65" s="31">
        <v>43.5627</v>
      </c>
      <c r="GF65" s="31">
        <v>15.0952</v>
      </c>
      <c r="GG65" s="31">
        <v>18.0</v>
      </c>
      <c r="GH65" s="31">
        <v>508.407</v>
      </c>
      <c r="GI65" s="31">
        <v>467.501</v>
      </c>
      <c r="GJ65" s="31">
        <v>34.4175</v>
      </c>
      <c r="GK65" s="31">
        <v>34.5861</v>
      </c>
      <c r="GL65" s="31">
        <v>29.9997</v>
      </c>
      <c r="GM65" s="31">
        <v>34.651</v>
      </c>
      <c r="GN65" s="31">
        <v>34.6045</v>
      </c>
      <c r="GO65" s="31">
        <v>22.5462</v>
      </c>
      <c r="GP65" s="31">
        <v>100.0</v>
      </c>
      <c r="GQ65" s="31">
        <v>0.0</v>
      </c>
      <c r="GR65" s="31">
        <v>-999.9</v>
      </c>
      <c r="GS65" s="31">
        <v>460.0</v>
      </c>
      <c r="GT65" s="31">
        <v>15.5881</v>
      </c>
      <c r="GU65" s="31">
        <v>102.623</v>
      </c>
      <c r="GV65" s="31">
        <v>99.8519</v>
      </c>
    </row>
    <row r="66" ht="14.25" customHeight="1">
      <c r="A66" s="41" t="s">
        <v>113</v>
      </c>
      <c r="B66" s="41" t="s">
        <v>67</v>
      </c>
      <c r="C66" s="41" t="s">
        <v>86</v>
      </c>
      <c r="D66" s="31">
        <v>50.0</v>
      </c>
      <c r="E66" s="31">
        <v>1.754884752E9</v>
      </c>
      <c r="F66" s="31">
        <v>7234.0</v>
      </c>
      <c r="G66" s="31" t="s">
        <v>598</v>
      </c>
      <c r="H66" s="42">
        <v>0.49944444444444447</v>
      </c>
      <c r="I66" s="31" t="s">
        <v>409</v>
      </c>
      <c r="J66" s="31">
        <v>1.754884752E9</v>
      </c>
      <c r="K66" s="31">
        <v>0.00446606214089716</v>
      </c>
      <c r="L66" s="31">
        <v>4.46606214089716</v>
      </c>
      <c r="M66" s="31">
        <v>4.60494495765387</v>
      </c>
      <c r="N66" s="31">
        <v>452.074993421069</v>
      </c>
      <c r="O66" s="31">
        <v>416.891328345534</v>
      </c>
      <c r="P66" s="31">
        <v>42.101455867723</v>
      </c>
      <c r="Q66" s="31">
        <v>45.65462049775</v>
      </c>
      <c r="R66" s="31">
        <v>0.313686223568546</v>
      </c>
      <c r="S66" s="31">
        <v>2.75910733723326</v>
      </c>
      <c r="T66" s="31">
        <v>0.295134656476452</v>
      </c>
      <c r="U66" s="31">
        <v>0.186034449204768</v>
      </c>
      <c r="V66" s="31">
        <v>31.429573913811</v>
      </c>
      <c r="W66" s="31">
        <v>34.1121741482149</v>
      </c>
      <c r="X66" s="31">
        <v>34.2445</v>
      </c>
      <c r="Y66" s="31">
        <v>5.41631295707</v>
      </c>
      <c r="Z66" s="31">
        <v>69.5586085833601</v>
      </c>
      <c r="AA66" s="31">
        <v>3.9590532157176</v>
      </c>
      <c r="AB66" s="31">
        <v>5.69167971635459</v>
      </c>
      <c r="AC66" s="31">
        <v>1.4572597413524</v>
      </c>
      <c r="AD66" s="31">
        <v>-196.953340413565</v>
      </c>
      <c r="AE66" s="31">
        <v>132.907226822455</v>
      </c>
      <c r="AF66" s="31">
        <v>11.2159886712084</v>
      </c>
      <c r="AG66" s="31">
        <v>-21.4005510060903</v>
      </c>
      <c r="AH66" s="31">
        <v>0.0</v>
      </c>
      <c r="AI66" s="31">
        <v>0.0</v>
      </c>
      <c r="AJ66" s="31">
        <v>1.0</v>
      </c>
      <c r="AK66" s="31">
        <v>0.0</v>
      </c>
      <c r="AL66" s="31">
        <v>46774.0</v>
      </c>
      <c r="AM66" s="31" t="s">
        <v>410</v>
      </c>
      <c r="AN66" s="31">
        <v>8173.37</v>
      </c>
      <c r="AO66" s="31">
        <v>559.295999999999</v>
      </c>
      <c r="AP66" s="31">
        <v>2893.93</v>
      </c>
      <c r="AQ66" s="31">
        <v>0.806734786259515</v>
      </c>
      <c r="AR66" s="31">
        <v>-2.38169762951563</v>
      </c>
      <c r="AS66" s="31" t="s">
        <v>599</v>
      </c>
      <c r="AT66" s="31">
        <v>8149.12</v>
      </c>
      <c r="AU66" s="31">
        <v>653.4018</v>
      </c>
      <c r="AV66" s="31">
        <v>1973.23</v>
      </c>
      <c r="AW66" s="31">
        <v>0.668866883232061</v>
      </c>
      <c r="AX66" s="31">
        <v>0.5</v>
      </c>
      <c r="AY66" s="31">
        <v>160.206914981249</v>
      </c>
      <c r="AZ66" s="31">
        <v>4.60494495765387</v>
      </c>
      <c r="BA66" s="31">
        <v>53.578549947866</v>
      </c>
      <c r="BB66" s="31">
        <v>0.0436101187516608</v>
      </c>
      <c r="BC66" s="31">
        <v>0.466595379149921</v>
      </c>
      <c r="BD66" s="31">
        <v>513.032449452194</v>
      </c>
      <c r="BE66" s="31" t="s">
        <v>600</v>
      </c>
      <c r="BF66" s="31">
        <v>-191.07</v>
      </c>
      <c r="BG66" s="31">
        <v>-191.07</v>
      </c>
      <c r="BH66" s="31">
        <v>1.09683108406014</v>
      </c>
      <c r="BI66" s="31">
        <v>0.609817585362472</v>
      </c>
      <c r="BJ66" s="31">
        <v>0.298444084278768</v>
      </c>
      <c r="BK66" s="31">
        <v>0.933443993849783</v>
      </c>
      <c r="BL66" s="31">
        <v>0.394365883474668</v>
      </c>
      <c r="BM66" s="31">
        <v>-0.178324954163284</v>
      </c>
      <c r="BN66" s="31">
        <v>1.17832495416328</v>
      </c>
      <c r="BO66" s="31" t="s">
        <v>413</v>
      </c>
      <c r="BP66" s="31" t="s">
        <v>413</v>
      </c>
      <c r="BQ66" s="31" t="s">
        <v>413</v>
      </c>
      <c r="BR66" s="31" t="s">
        <v>413</v>
      </c>
      <c r="BS66" s="31" t="s">
        <v>413</v>
      </c>
      <c r="BT66" s="31" t="s">
        <v>413</v>
      </c>
      <c r="BU66" s="31" t="s">
        <v>413</v>
      </c>
      <c r="BV66" s="31" t="s">
        <v>413</v>
      </c>
      <c r="BW66" s="31" t="s">
        <v>413</v>
      </c>
      <c r="BX66" s="31" t="s">
        <v>413</v>
      </c>
      <c r="BY66" s="31" t="s">
        <v>413</v>
      </c>
      <c r="BZ66" s="31" t="s">
        <v>413</v>
      </c>
      <c r="CA66" s="31" t="s">
        <v>413</v>
      </c>
      <c r="CB66" s="31" t="s">
        <v>413</v>
      </c>
      <c r="CC66" s="31" t="s">
        <v>413</v>
      </c>
      <c r="CD66" s="31" t="s">
        <v>413</v>
      </c>
      <c r="CE66" s="31" t="s">
        <v>413</v>
      </c>
      <c r="CF66" s="31" t="s">
        <v>413</v>
      </c>
      <c r="CG66" s="31" t="s">
        <v>413</v>
      </c>
      <c r="CH66" s="31" t="s">
        <v>413</v>
      </c>
      <c r="CI66" s="31" t="s">
        <v>413</v>
      </c>
      <c r="CJ66" s="31" t="s">
        <v>413</v>
      </c>
      <c r="CK66" s="31" t="s">
        <v>413</v>
      </c>
      <c r="CL66" s="31" t="s">
        <v>413</v>
      </c>
      <c r="CM66" s="31" t="s">
        <v>413</v>
      </c>
      <c r="CN66" s="31" t="s">
        <v>413</v>
      </c>
      <c r="CO66" s="31" t="s">
        <v>413</v>
      </c>
      <c r="CP66" s="31" t="s">
        <v>413</v>
      </c>
      <c r="CQ66" s="31" t="s">
        <v>413</v>
      </c>
      <c r="CR66" s="31" t="s">
        <v>413</v>
      </c>
      <c r="CS66" s="31" t="s">
        <v>413</v>
      </c>
      <c r="CT66" s="31" t="s">
        <v>413</v>
      </c>
      <c r="CU66" s="31" t="s">
        <v>413</v>
      </c>
      <c r="CV66" s="31" t="s">
        <v>413</v>
      </c>
      <c r="CW66" s="31">
        <v>190.045</v>
      </c>
      <c r="CX66" s="31">
        <v>160.206914981249</v>
      </c>
      <c r="CY66" s="31">
        <v>0.842994632751449</v>
      </c>
      <c r="CZ66" s="31">
        <v>0.165379641210297</v>
      </c>
      <c r="DA66" s="31">
        <v>6.0</v>
      </c>
      <c r="DB66" s="31">
        <v>0.5</v>
      </c>
      <c r="DC66" s="31" t="s">
        <v>414</v>
      </c>
      <c r="DD66" s="31">
        <v>2.0</v>
      </c>
      <c r="DE66" s="31">
        <v>1.754884752E9</v>
      </c>
      <c r="DF66" s="31">
        <v>452.075</v>
      </c>
      <c r="DG66" s="31">
        <v>460.025</v>
      </c>
      <c r="DH66" s="31">
        <v>39.2028</v>
      </c>
      <c r="DI66" s="31">
        <v>34.0528</v>
      </c>
      <c r="DJ66" s="31">
        <v>449.182</v>
      </c>
      <c r="DK66" s="31">
        <v>38.6509</v>
      </c>
      <c r="DL66" s="31">
        <v>499.92</v>
      </c>
      <c r="DM66" s="31">
        <v>100.889</v>
      </c>
      <c r="DN66" s="31">
        <v>0.100042</v>
      </c>
      <c r="DO66" s="31">
        <v>35.138</v>
      </c>
      <c r="DP66" s="31">
        <v>34.2445</v>
      </c>
      <c r="DQ66" s="31">
        <v>999.9</v>
      </c>
      <c r="DR66" s="31">
        <v>0.0</v>
      </c>
      <c r="DS66" s="31">
        <v>0.0</v>
      </c>
      <c r="DT66" s="31">
        <v>8978.75</v>
      </c>
      <c r="DU66" s="31">
        <v>0.0</v>
      </c>
      <c r="DV66" s="31">
        <v>504.329</v>
      </c>
      <c r="DW66" s="31">
        <v>190.045</v>
      </c>
      <c r="DX66" s="31">
        <v>0.90011</v>
      </c>
      <c r="DY66" s="31">
        <v>0.0998905</v>
      </c>
      <c r="DZ66" s="31">
        <v>0.0</v>
      </c>
      <c r="EA66" s="31">
        <v>650.445</v>
      </c>
      <c r="EB66" s="31">
        <v>0.0999973</v>
      </c>
      <c r="EC66" s="31">
        <v>2516.61</v>
      </c>
      <c r="ED66" s="31">
        <v>1684.53</v>
      </c>
      <c r="EE66" s="31">
        <v>40.312</v>
      </c>
      <c r="EF66" s="31">
        <v>43.5</v>
      </c>
      <c r="EG66" s="31">
        <v>41.812</v>
      </c>
      <c r="EH66" s="31">
        <v>43.187</v>
      </c>
      <c r="EI66" s="31">
        <v>42.875</v>
      </c>
      <c r="EJ66" s="31">
        <v>170.97</v>
      </c>
      <c r="EK66" s="31">
        <v>18.97</v>
      </c>
      <c r="EL66" s="31">
        <v>0.0</v>
      </c>
      <c r="EM66" s="31">
        <v>126.0</v>
      </c>
      <c r="EN66" s="31">
        <v>0.0</v>
      </c>
      <c r="EO66" s="31">
        <v>653.4018</v>
      </c>
      <c r="EP66" s="31">
        <v>-26.0992307915111</v>
      </c>
      <c r="EQ66" s="31">
        <v>191.393076371846</v>
      </c>
      <c r="ER66" s="31">
        <v>2505.78919999999</v>
      </c>
      <c r="ES66" s="31">
        <v>15.0</v>
      </c>
      <c r="ET66" s="31">
        <v>1.754884367E9</v>
      </c>
      <c r="EU66" s="42">
        <v>0.4949884259259259</v>
      </c>
      <c r="EV66" s="31">
        <v>1.754884367E9</v>
      </c>
      <c r="EW66" s="31">
        <v>1.7548765351E9</v>
      </c>
      <c r="EX66" s="31">
        <v>14.0</v>
      </c>
      <c r="EY66" s="31">
        <v>-0.085</v>
      </c>
      <c r="EZ66" s="31">
        <v>-0.002</v>
      </c>
      <c r="FA66" s="31">
        <v>2.891</v>
      </c>
      <c r="FB66" s="31">
        <v>0.297</v>
      </c>
      <c r="FC66" s="31">
        <v>460.0</v>
      </c>
      <c r="FD66" s="31">
        <v>20.0</v>
      </c>
      <c r="FE66" s="31">
        <v>0.64</v>
      </c>
      <c r="FF66" s="31">
        <v>0.06</v>
      </c>
      <c r="FG66" s="31">
        <v>100.0</v>
      </c>
      <c r="FH66" s="31">
        <v>100.0</v>
      </c>
      <c r="FI66" s="31">
        <v>2.893</v>
      </c>
      <c r="FJ66" s="31">
        <v>0.5519</v>
      </c>
      <c r="FK66" s="31">
        <v>2.99327949387386</v>
      </c>
      <c r="FL66" s="31">
        <v>-2.2595428698806E-4</v>
      </c>
      <c r="FM66" s="43">
        <v>5.20417301097471E-9</v>
      </c>
      <c r="FN66" s="43">
        <v>1.17243702350096E-12</v>
      </c>
      <c r="FO66" s="31">
        <v>0.551873338452037</v>
      </c>
      <c r="FP66" s="31">
        <v>0.0</v>
      </c>
      <c r="FQ66" s="31">
        <v>0.0</v>
      </c>
      <c r="FR66" s="31">
        <v>0.0</v>
      </c>
      <c r="FS66" s="31">
        <v>1.0</v>
      </c>
      <c r="FT66" s="31">
        <v>2266.0</v>
      </c>
      <c r="FU66" s="31">
        <v>1.0</v>
      </c>
      <c r="FV66" s="31">
        <v>26.0</v>
      </c>
      <c r="FW66" s="31">
        <v>6.4</v>
      </c>
      <c r="FX66" s="31">
        <v>136.9</v>
      </c>
      <c r="FY66" s="31">
        <v>1.12305</v>
      </c>
      <c r="FZ66" s="31">
        <v>2.55859</v>
      </c>
      <c r="GA66" s="31">
        <v>1.59668</v>
      </c>
      <c r="GB66" s="31">
        <v>2.31689</v>
      </c>
      <c r="GC66" s="31">
        <v>1.5979</v>
      </c>
      <c r="GD66" s="31">
        <v>2.36938</v>
      </c>
      <c r="GE66" s="31">
        <v>43.8092</v>
      </c>
      <c r="GF66" s="31">
        <v>15.1565</v>
      </c>
      <c r="GG66" s="31">
        <v>18.0</v>
      </c>
      <c r="GH66" s="31">
        <v>508.667</v>
      </c>
      <c r="GI66" s="31">
        <v>466.076</v>
      </c>
      <c r="GJ66" s="31">
        <v>35.2184</v>
      </c>
      <c r="GK66" s="31">
        <v>35.1097</v>
      </c>
      <c r="GL66" s="31">
        <v>29.9997</v>
      </c>
      <c r="GM66" s="31">
        <v>35.1295</v>
      </c>
      <c r="GN66" s="31">
        <v>35.0668</v>
      </c>
      <c r="GO66" s="31">
        <v>22.5449</v>
      </c>
      <c r="GP66" s="31">
        <v>100.0</v>
      </c>
      <c r="GQ66" s="31">
        <v>0.0</v>
      </c>
      <c r="GR66" s="31">
        <v>-999.9</v>
      </c>
      <c r="GS66" s="31">
        <v>460.0</v>
      </c>
      <c r="GT66" s="31">
        <v>15.5881</v>
      </c>
      <c r="GU66" s="31">
        <v>102.57</v>
      </c>
      <c r="GV66" s="31">
        <v>99.775</v>
      </c>
    </row>
    <row r="67" ht="14.25" customHeight="1">
      <c r="A67" s="41" t="s">
        <v>113</v>
      </c>
      <c r="B67" s="41" t="s">
        <v>67</v>
      </c>
      <c r="C67" s="41" t="s">
        <v>87</v>
      </c>
      <c r="D67" s="31">
        <v>51.0</v>
      </c>
      <c r="E67" s="31">
        <v>1.7548848915E9</v>
      </c>
      <c r="F67" s="31">
        <v>7373.5</v>
      </c>
      <c r="G67" s="31" t="s">
        <v>601</v>
      </c>
      <c r="H67" s="42">
        <v>0.5010532407407408</v>
      </c>
      <c r="I67" s="31" t="s">
        <v>409</v>
      </c>
      <c r="J67" s="31">
        <v>1.7548848915E9</v>
      </c>
      <c r="K67" s="31">
        <v>0.00396482899291756</v>
      </c>
      <c r="L67" s="31">
        <v>3.96482899291756</v>
      </c>
      <c r="M67" s="31">
        <v>3.85501735092535</v>
      </c>
      <c r="N67" s="31">
        <v>453.241994544011</v>
      </c>
      <c r="O67" s="31">
        <v>419.521245881024</v>
      </c>
      <c r="P67" s="31">
        <v>42.3661094960058</v>
      </c>
      <c r="Q67" s="31">
        <v>45.7714601049915</v>
      </c>
      <c r="R67" s="31">
        <v>0.277613693707576</v>
      </c>
      <c r="S67" s="31">
        <v>2.76636238605074</v>
      </c>
      <c r="T67" s="31">
        <v>0.263012848694476</v>
      </c>
      <c r="U67" s="31">
        <v>0.165630837753339</v>
      </c>
      <c r="V67" s="31">
        <v>31.4204362532846</v>
      </c>
      <c r="W67" s="31">
        <v>33.9841784071896</v>
      </c>
      <c r="X67" s="31">
        <v>34.0879</v>
      </c>
      <c r="Y67" s="31">
        <v>5.36926317904105</v>
      </c>
      <c r="Z67" s="31">
        <v>69.8429092027112</v>
      </c>
      <c r="AA67" s="31">
        <v>3.91691454363647</v>
      </c>
      <c r="AB67" s="31">
        <v>5.6081778212704</v>
      </c>
      <c r="AC67" s="31">
        <v>1.45234863540457</v>
      </c>
      <c r="AD67" s="31">
        <v>-174.848958587664</v>
      </c>
      <c r="AE67" s="31">
        <v>116.80654899894</v>
      </c>
      <c r="AF67" s="31">
        <v>9.81111876495485</v>
      </c>
      <c r="AG67" s="31">
        <v>-16.8108545704846</v>
      </c>
      <c r="AH67" s="31">
        <v>0.0</v>
      </c>
      <c r="AI67" s="31">
        <v>0.0</v>
      </c>
      <c r="AJ67" s="31">
        <v>1.0</v>
      </c>
      <c r="AK67" s="31">
        <v>0.0</v>
      </c>
      <c r="AL67" s="31">
        <v>47013.0</v>
      </c>
      <c r="AM67" s="31" t="s">
        <v>410</v>
      </c>
      <c r="AN67" s="31">
        <v>8173.37</v>
      </c>
      <c r="AO67" s="31">
        <v>559.295999999999</v>
      </c>
      <c r="AP67" s="31">
        <v>2893.93</v>
      </c>
      <c r="AQ67" s="31">
        <v>0.806734786259515</v>
      </c>
      <c r="AR67" s="31">
        <v>-2.38169762951563</v>
      </c>
      <c r="AS67" s="31" t="s">
        <v>602</v>
      </c>
      <c r="AT67" s="31">
        <v>8175.13</v>
      </c>
      <c r="AU67" s="31">
        <v>610.753846153846</v>
      </c>
      <c r="AV67" s="31">
        <v>1792.67</v>
      </c>
      <c r="AW67" s="31">
        <v>0.659304921623139</v>
      </c>
      <c r="AX67" s="31">
        <v>0.5</v>
      </c>
      <c r="AY67" s="31">
        <v>160.159014017245</v>
      </c>
      <c r="AZ67" s="31">
        <v>3.85501735092535</v>
      </c>
      <c r="BA67" s="31">
        <v>52.7968130919398</v>
      </c>
      <c r="BB67" s="31">
        <v>0.0389407678282124</v>
      </c>
      <c r="BC67" s="31">
        <v>0.614312729057774</v>
      </c>
      <c r="BD67" s="31">
        <v>499.940431807911</v>
      </c>
      <c r="BE67" s="31" t="s">
        <v>603</v>
      </c>
      <c r="BF67" s="31">
        <v>-247.53</v>
      </c>
      <c r="BG67" s="31">
        <v>-247.53</v>
      </c>
      <c r="BH67" s="31">
        <v>1.13807895485504</v>
      </c>
      <c r="BI67" s="31">
        <v>0.579313868172803</v>
      </c>
      <c r="BJ67" s="31">
        <v>0.35055674749957</v>
      </c>
      <c r="BK67" s="31">
        <v>0.958278797709497</v>
      </c>
      <c r="BL67" s="31">
        <v>0.471705629233532</v>
      </c>
      <c r="BM67" s="31">
        <v>-0.234787816223907</v>
      </c>
      <c r="BN67" s="31">
        <v>1.2347878162239</v>
      </c>
      <c r="BO67" s="31" t="s">
        <v>413</v>
      </c>
      <c r="BP67" s="31" t="s">
        <v>413</v>
      </c>
      <c r="BQ67" s="31" t="s">
        <v>413</v>
      </c>
      <c r="BR67" s="31" t="s">
        <v>413</v>
      </c>
      <c r="BS67" s="31" t="s">
        <v>413</v>
      </c>
      <c r="BT67" s="31" t="s">
        <v>413</v>
      </c>
      <c r="BU67" s="31" t="s">
        <v>413</v>
      </c>
      <c r="BV67" s="31" t="s">
        <v>413</v>
      </c>
      <c r="BW67" s="31" t="s">
        <v>413</v>
      </c>
      <c r="BX67" s="31" t="s">
        <v>413</v>
      </c>
      <c r="BY67" s="31" t="s">
        <v>413</v>
      </c>
      <c r="BZ67" s="31" t="s">
        <v>413</v>
      </c>
      <c r="CA67" s="31" t="s">
        <v>413</v>
      </c>
      <c r="CB67" s="31" t="s">
        <v>413</v>
      </c>
      <c r="CC67" s="31" t="s">
        <v>413</v>
      </c>
      <c r="CD67" s="31" t="s">
        <v>413</v>
      </c>
      <c r="CE67" s="31" t="s">
        <v>413</v>
      </c>
      <c r="CF67" s="31" t="s">
        <v>413</v>
      </c>
      <c r="CG67" s="31" t="s">
        <v>413</v>
      </c>
      <c r="CH67" s="31" t="s">
        <v>413</v>
      </c>
      <c r="CI67" s="31" t="s">
        <v>413</v>
      </c>
      <c r="CJ67" s="31" t="s">
        <v>413</v>
      </c>
      <c r="CK67" s="31" t="s">
        <v>413</v>
      </c>
      <c r="CL67" s="31" t="s">
        <v>413</v>
      </c>
      <c r="CM67" s="31" t="s">
        <v>413</v>
      </c>
      <c r="CN67" s="31" t="s">
        <v>413</v>
      </c>
      <c r="CO67" s="31" t="s">
        <v>413</v>
      </c>
      <c r="CP67" s="31" t="s">
        <v>413</v>
      </c>
      <c r="CQ67" s="31" t="s">
        <v>413</v>
      </c>
      <c r="CR67" s="31" t="s">
        <v>413</v>
      </c>
      <c r="CS67" s="31" t="s">
        <v>413</v>
      </c>
      <c r="CT67" s="31" t="s">
        <v>413</v>
      </c>
      <c r="CU67" s="31" t="s">
        <v>413</v>
      </c>
      <c r="CV67" s="31" t="s">
        <v>413</v>
      </c>
      <c r="CW67" s="31">
        <v>189.988</v>
      </c>
      <c r="CX67" s="31">
        <v>160.159014017245</v>
      </c>
      <c r="CY67" s="31">
        <v>0.84299542085419</v>
      </c>
      <c r="CZ67" s="31">
        <v>0.165381162248587</v>
      </c>
      <c r="DA67" s="31">
        <v>6.0</v>
      </c>
      <c r="DB67" s="31">
        <v>0.5</v>
      </c>
      <c r="DC67" s="31" t="s">
        <v>414</v>
      </c>
      <c r="DD67" s="31">
        <v>2.0</v>
      </c>
      <c r="DE67" s="31">
        <v>1.7548848915E9</v>
      </c>
      <c r="DF67" s="31">
        <v>453.242</v>
      </c>
      <c r="DG67" s="31">
        <v>460.026</v>
      </c>
      <c r="DH67" s="31">
        <v>38.7864</v>
      </c>
      <c r="DI67" s="31">
        <v>34.2121</v>
      </c>
      <c r="DJ67" s="31">
        <v>450.349</v>
      </c>
      <c r="DK67" s="31">
        <v>38.2346</v>
      </c>
      <c r="DL67" s="31">
        <v>499.886</v>
      </c>
      <c r="DM67" s="31">
        <v>100.887</v>
      </c>
      <c r="DN67" s="31">
        <v>0.0998032</v>
      </c>
      <c r="DO67" s="31">
        <v>34.8711</v>
      </c>
      <c r="DP67" s="31">
        <v>34.0879</v>
      </c>
      <c r="DQ67" s="31">
        <v>999.9</v>
      </c>
      <c r="DR67" s="31">
        <v>0.0</v>
      </c>
      <c r="DS67" s="31">
        <v>0.0</v>
      </c>
      <c r="DT67" s="31">
        <v>9017.5</v>
      </c>
      <c r="DU67" s="31">
        <v>0.0</v>
      </c>
      <c r="DV67" s="31">
        <v>431.381</v>
      </c>
      <c r="DW67" s="31">
        <v>189.988</v>
      </c>
      <c r="DX67" s="31">
        <v>0.90011</v>
      </c>
      <c r="DY67" s="31">
        <v>0.0998905</v>
      </c>
      <c r="DZ67" s="31">
        <v>0.0</v>
      </c>
      <c r="EA67" s="31">
        <v>608.0</v>
      </c>
      <c r="EB67" s="31">
        <v>0.0999973</v>
      </c>
      <c r="EC67" s="31">
        <v>2270.68</v>
      </c>
      <c r="ED67" s="31">
        <v>1684.02</v>
      </c>
      <c r="EE67" s="31">
        <v>40.062</v>
      </c>
      <c r="EF67" s="31">
        <v>43.125</v>
      </c>
      <c r="EG67" s="31">
        <v>41.562</v>
      </c>
      <c r="EH67" s="31">
        <v>42.812</v>
      </c>
      <c r="EI67" s="31">
        <v>42.625</v>
      </c>
      <c r="EJ67" s="31">
        <v>170.92</v>
      </c>
      <c r="EK67" s="31">
        <v>18.97</v>
      </c>
      <c r="EL67" s="31">
        <v>0.0</v>
      </c>
      <c r="EM67" s="31">
        <v>137.0</v>
      </c>
      <c r="EN67" s="31">
        <v>0.0</v>
      </c>
      <c r="EO67" s="31">
        <v>610.753846153846</v>
      </c>
      <c r="EP67" s="31">
        <v>-17.6919658744816</v>
      </c>
      <c r="EQ67" s="31">
        <v>-48.5388033905584</v>
      </c>
      <c r="ER67" s="31">
        <v>2276.79307692307</v>
      </c>
      <c r="ES67" s="31">
        <v>15.0</v>
      </c>
      <c r="ET67" s="31">
        <v>1.754884367E9</v>
      </c>
      <c r="EU67" s="42">
        <v>0.4949884259259259</v>
      </c>
      <c r="EV67" s="31">
        <v>1.754884367E9</v>
      </c>
      <c r="EW67" s="31">
        <v>1.7548765351E9</v>
      </c>
      <c r="EX67" s="31">
        <v>14.0</v>
      </c>
      <c r="EY67" s="31">
        <v>-0.085</v>
      </c>
      <c r="EZ67" s="31">
        <v>-0.002</v>
      </c>
      <c r="FA67" s="31">
        <v>2.891</v>
      </c>
      <c r="FB67" s="31">
        <v>0.297</v>
      </c>
      <c r="FC67" s="31">
        <v>460.0</v>
      </c>
      <c r="FD67" s="31">
        <v>20.0</v>
      </c>
      <c r="FE67" s="31">
        <v>0.64</v>
      </c>
      <c r="FF67" s="31">
        <v>0.06</v>
      </c>
      <c r="FG67" s="31">
        <v>100.0</v>
      </c>
      <c r="FH67" s="31">
        <v>100.0</v>
      </c>
      <c r="FI67" s="31">
        <v>2.893</v>
      </c>
      <c r="FJ67" s="31">
        <v>0.5518</v>
      </c>
      <c r="FK67" s="31">
        <v>2.99327949387386</v>
      </c>
      <c r="FL67" s="31">
        <v>-2.2595428698806E-4</v>
      </c>
      <c r="FM67" s="43">
        <v>5.20417301097471E-9</v>
      </c>
      <c r="FN67" s="43">
        <v>1.17243702350096E-12</v>
      </c>
      <c r="FO67" s="31">
        <v>0.551873338452037</v>
      </c>
      <c r="FP67" s="31">
        <v>0.0</v>
      </c>
      <c r="FQ67" s="31">
        <v>0.0</v>
      </c>
      <c r="FR67" s="31">
        <v>0.0</v>
      </c>
      <c r="FS67" s="31">
        <v>1.0</v>
      </c>
      <c r="FT67" s="31">
        <v>2266.0</v>
      </c>
      <c r="FU67" s="31">
        <v>1.0</v>
      </c>
      <c r="FV67" s="31">
        <v>26.0</v>
      </c>
      <c r="FW67" s="31">
        <v>8.7</v>
      </c>
      <c r="FX67" s="31">
        <v>139.3</v>
      </c>
      <c r="FY67" s="31">
        <v>1.12427</v>
      </c>
      <c r="FZ67" s="31">
        <v>2.55981</v>
      </c>
      <c r="GA67" s="31">
        <v>1.59668</v>
      </c>
      <c r="GB67" s="31">
        <v>2.31689</v>
      </c>
      <c r="GC67" s="31">
        <v>1.5979</v>
      </c>
      <c r="GD67" s="31">
        <v>2.34009</v>
      </c>
      <c r="GE67" s="31">
        <v>43.7269</v>
      </c>
      <c r="GF67" s="31">
        <v>15.1302</v>
      </c>
      <c r="GG67" s="31">
        <v>18.0</v>
      </c>
      <c r="GH67" s="31">
        <v>507.769</v>
      </c>
      <c r="GI67" s="31">
        <v>465.95</v>
      </c>
      <c r="GJ67" s="31">
        <v>34.9598</v>
      </c>
      <c r="GK67" s="31">
        <v>34.9481</v>
      </c>
      <c r="GL67" s="31">
        <v>29.9995</v>
      </c>
      <c r="GM67" s="31">
        <v>34.9869</v>
      </c>
      <c r="GN67" s="31">
        <v>34.9292</v>
      </c>
      <c r="GO67" s="31">
        <v>22.5432</v>
      </c>
      <c r="GP67" s="31">
        <v>100.0</v>
      </c>
      <c r="GQ67" s="31">
        <v>0.0</v>
      </c>
      <c r="GR67" s="31">
        <v>-999.9</v>
      </c>
      <c r="GS67" s="31">
        <v>460.0</v>
      </c>
      <c r="GT67" s="31">
        <v>15.5881</v>
      </c>
      <c r="GU67" s="31">
        <v>102.582</v>
      </c>
      <c r="GV67" s="31">
        <v>99.7962</v>
      </c>
    </row>
    <row r="68" ht="14.25" customHeight="1">
      <c r="A68" s="41"/>
      <c r="B68" s="41"/>
      <c r="C68" s="41"/>
      <c r="D68" s="31"/>
      <c r="E68" s="31"/>
      <c r="F68" s="31"/>
      <c r="G68" s="31"/>
      <c r="H68" s="4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42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43"/>
      <c r="FN68" s="43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</row>
    <row r="69" ht="14.25" customHeight="1">
      <c r="A69" s="41"/>
      <c r="B69" s="41"/>
      <c r="C69" s="41"/>
      <c r="D69" s="31"/>
      <c r="E69" s="31"/>
      <c r="F69" s="31"/>
      <c r="G69" s="31"/>
      <c r="H69" s="42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42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43"/>
      <c r="FN69" s="43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</row>
    <row r="70" ht="14.25" customHeight="1">
      <c r="A70" s="39"/>
      <c r="B70" s="39"/>
      <c r="C70" s="39"/>
      <c r="D70" s="39"/>
      <c r="E70" s="39"/>
      <c r="F70" s="39"/>
      <c r="G70" s="39"/>
      <c r="H70" s="39"/>
      <c r="I70" s="31" t="s">
        <v>84</v>
      </c>
      <c r="J70" s="31" t="s">
        <v>85</v>
      </c>
      <c r="K70" s="39"/>
      <c r="L70" s="44"/>
      <c r="M70" s="44"/>
      <c r="N70" s="39"/>
      <c r="O70" s="44"/>
      <c r="P70" s="39"/>
      <c r="Q70" s="39"/>
      <c r="R70" s="44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</row>
    <row r="71" ht="14.25" customHeight="1">
      <c r="A71" s="39"/>
      <c r="B71" s="39"/>
      <c r="C71" s="39"/>
      <c r="D71" s="39"/>
      <c r="E71" s="39"/>
      <c r="F71" s="39"/>
      <c r="G71" s="39"/>
      <c r="H71" s="39"/>
      <c r="I71" s="45" t="s">
        <v>94</v>
      </c>
      <c r="J71" s="31" t="s">
        <v>53</v>
      </c>
      <c r="K71" s="31">
        <f t="shared" ref="K71:GV71" si="1">AVERAGE(K4:K5)</f>
        <v>0.001193329117</v>
      </c>
      <c r="L71" s="44">
        <f t="shared" si="1"/>
        <v>1.193329117</v>
      </c>
      <c r="M71" s="44">
        <f t="shared" si="1"/>
        <v>0.2714545628</v>
      </c>
      <c r="N71" s="31">
        <f t="shared" si="1"/>
        <v>458.9804996</v>
      </c>
      <c r="O71" s="44">
        <f t="shared" si="1"/>
        <v>434.1649939</v>
      </c>
      <c r="P71" s="31">
        <f t="shared" si="1"/>
        <v>43.8497952</v>
      </c>
      <c r="Q71" s="31">
        <f t="shared" si="1"/>
        <v>46.35610116</v>
      </c>
      <c r="R71" s="44">
        <f t="shared" si="1"/>
        <v>0.05262253157</v>
      </c>
      <c r="S71" s="31">
        <f t="shared" si="1"/>
        <v>2.764490838</v>
      </c>
      <c r="T71" s="31">
        <f t="shared" si="1"/>
        <v>0.05207196853</v>
      </c>
      <c r="U71" s="31">
        <f t="shared" si="1"/>
        <v>0.03259396581</v>
      </c>
      <c r="V71" s="31">
        <f t="shared" si="1"/>
        <v>31.4270974</v>
      </c>
      <c r="W71" s="31">
        <f t="shared" si="1"/>
        <v>35.4871525</v>
      </c>
      <c r="X71" s="31">
        <f t="shared" si="1"/>
        <v>35.7109</v>
      </c>
      <c r="Y71" s="31">
        <f t="shared" si="1"/>
        <v>5.875052472</v>
      </c>
      <c r="Z71" s="31">
        <f t="shared" si="1"/>
        <v>62.81605133</v>
      </c>
      <c r="AA71" s="31">
        <f t="shared" si="1"/>
        <v>3.671307152</v>
      </c>
      <c r="AB71" s="31">
        <f t="shared" si="1"/>
        <v>5.845207361</v>
      </c>
      <c r="AC71" s="31">
        <f t="shared" si="1"/>
        <v>2.20374532</v>
      </c>
      <c r="AD71" s="31">
        <f t="shared" si="1"/>
        <v>-52.62581405</v>
      </c>
      <c r="AE71" s="31">
        <f t="shared" si="1"/>
        <v>-13.80971679</v>
      </c>
      <c r="AF71" s="31">
        <f t="shared" si="1"/>
        <v>-1.173489231</v>
      </c>
      <c r="AG71" s="31">
        <f t="shared" si="1"/>
        <v>-36.18192266</v>
      </c>
      <c r="AH71" s="31">
        <f t="shared" si="1"/>
        <v>0</v>
      </c>
      <c r="AI71" s="31">
        <f t="shared" si="1"/>
        <v>0</v>
      </c>
      <c r="AJ71" s="31">
        <f t="shared" si="1"/>
        <v>1</v>
      </c>
      <c r="AK71" s="31">
        <f t="shared" si="1"/>
        <v>0</v>
      </c>
      <c r="AL71" s="31">
        <f t="shared" si="1"/>
        <v>46848</v>
      </c>
      <c r="AM71" s="31" t="str">
        <f t="shared" si="1"/>
        <v>#DIV/0!</v>
      </c>
      <c r="AN71" s="31">
        <f t="shared" si="1"/>
        <v>8173.37</v>
      </c>
      <c r="AO71" s="31">
        <f t="shared" si="1"/>
        <v>559.296</v>
      </c>
      <c r="AP71" s="31">
        <f t="shared" si="1"/>
        <v>2893.93</v>
      </c>
      <c r="AQ71" s="31">
        <f t="shared" si="1"/>
        <v>0.8067347863</v>
      </c>
      <c r="AR71" s="31">
        <f t="shared" si="1"/>
        <v>-2.38169763</v>
      </c>
      <c r="AS71" s="31" t="str">
        <f t="shared" si="1"/>
        <v>#DIV/0!</v>
      </c>
      <c r="AT71" s="31">
        <f t="shared" si="1"/>
        <v>8174.425</v>
      </c>
      <c r="AU71" s="31">
        <f t="shared" si="1"/>
        <v>186.2609</v>
      </c>
      <c r="AV71" s="31">
        <f t="shared" si="1"/>
        <v>387.995</v>
      </c>
      <c r="AW71" s="31">
        <f t="shared" si="1"/>
        <v>0.5199711638</v>
      </c>
      <c r="AX71" s="31">
        <f t="shared" si="1"/>
        <v>0.5</v>
      </c>
      <c r="AY71" s="31">
        <f t="shared" si="1"/>
        <v>160.191243</v>
      </c>
      <c r="AZ71" s="31">
        <f t="shared" si="1"/>
        <v>0.2714545628</v>
      </c>
      <c r="BA71" s="31">
        <f t="shared" si="1"/>
        <v>41.64752949</v>
      </c>
      <c r="BB71" s="31">
        <f t="shared" si="1"/>
        <v>0.01656218886</v>
      </c>
      <c r="BC71" s="31">
        <f t="shared" si="1"/>
        <v>6.45880464</v>
      </c>
      <c r="BD71" s="31">
        <f t="shared" si="1"/>
        <v>248.7698592</v>
      </c>
      <c r="BE71" s="31" t="str">
        <f t="shared" si="1"/>
        <v>#DIV/0!</v>
      </c>
      <c r="BF71" s="31">
        <f t="shared" si="1"/>
        <v>-496.865</v>
      </c>
      <c r="BG71" s="31">
        <f t="shared" si="1"/>
        <v>-496.865</v>
      </c>
      <c r="BH71" s="31">
        <f t="shared" si="1"/>
        <v>2.277998179</v>
      </c>
      <c r="BI71" s="31">
        <f t="shared" si="1"/>
        <v>0.248296596</v>
      </c>
      <c r="BJ71" s="31">
        <f t="shared" si="1"/>
        <v>0.7430260264</v>
      </c>
      <c r="BK71" s="31">
        <f t="shared" si="1"/>
        <v>-1.177645658</v>
      </c>
      <c r="BL71" s="31">
        <f t="shared" si="1"/>
        <v>1.073373814</v>
      </c>
      <c r="BM71" s="31">
        <f t="shared" si="1"/>
        <v>-0.5639659754</v>
      </c>
      <c r="BN71" s="31">
        <f t="shared" si="1"/>
        <v>1.563965975</v>
      </c>
      <c r="BO71" s="31" t="str">
        <f t="shared" si="1"/>
        <v>#DIV/0!</v>
      </c>
      <c r="BP71" s="31" t="str">
        <f t="shared" si="1"/>
        <v>#DIV/0!</v>
      </c>
      <c r="BQ71" s="31" t="str">
        <f t="shared" si="1"/>
        <v>#DIV/0!</v>
      </c>
      <c r="BR71" s="31" t="str">
        <f t="shared" si="1"/>
        <v>#DIV/0!</v>
      </c>
      <c r="BS71" s="31" t="str">
        <f t="shared" si="1"/>
        <v>#DIV/0!</v>
      </c>
      <c r="BT71" s="31" t="str">
        <f t="shared" si="1"/>
        <v>#DIV/0!</v>
      </c>
      <c r="BU71" s="31" t="str">
        <f t="shared" si="1"/>
        <v>#DIV/0!</v>
      </c>
      <c r="BV71" s="31" t="str">
        <f t="shared" si="1"/>
        <v>#DIV/0!</v>
      </c>
      <c r="BW71" s="31" t="str">
        <f t="shared" si="1"/>
        <v>#DIV/0!</v>
      </c>
      <c r="BX71" s="31" t="str">
        <f t="shared" si="1"/>
        <v>#DIV/0!</v>
      </c>
      <c r="BY71" s="31" t="str">
        <f t="shared" si="1"/>
        <v>#DIV/0!</v>
      </c>
      <c r="BZ71" s="31" t="str">
        <f t="shared" si="1"/>
        <v>#DIV/0!</v>
      </c>
      <c r="CA71" s="31" t="str">
        <f t="shared" si="1"/>
        <v>#DIV/0!</v>
      </c>
      <c r="CB71" s="31" t="str">
        <f t="shared" si="1"/>
        <v>#DIV/0!</v>
      </c>
      <c r="CC71" s="31" t="str">
        <f t="shared" si="1"/>
        <v>#DIV/0!</v>
      </c>
      <c r="CD71" s="31" t="str">
        <f t="shared" si="1"/>
        <v>#DIV/0!</v>
      </c>
      <c r="CE71" s="31" t="str">
        <f t="shared" si="1"/>
        <v>#DIV/0!</v>
      </c>
      <c r="CF71" s="31" t="str">
        <f t="shared" si="1"/>
        <v>#DIV/0!</v>
      </c>
      <c r="CG71" s="31" t="str">
        <f t="shared" si="1"/>
        <v>#DIV/0!</v>
      </c>
      <c r="CH71" s="31" t="str">
        <f t="shared" si="1"/>
        <v>#DIV/0!</v>
      </c>
      <c r="CI71" s="31" t="str">
        <f t="shared" si="1"/>
        <v>#DIV/0!</v>
      </c>
      <c r="CJ71" s="31" t="str">
        <f t="shared" si="1"/>
        <v>#DIV/0!</v>
      </c>
      <c r="CK71" s="31" t="str">
        <f t="shared" si="1"/>
        <v>#DIV/0!</v>
      </c>
      <c r="CL71" s="31" t="str">
        <f t="shared" si="1"/>
        <v>#DIV/0!</v>
      </c>
      <c r="CM71" s="31" t="str">
        <f t="shared" si="1"/>
        <v>#DIV/0!</v>
      </c>
      <c r="CN71" s="31" t="str">
        <f t="shared" si="1"/>
        <v>#DIV/0!</v>
      </c>
      <c r="CO71" s="31" t="str">
        <f t="shared" si="1"/>
        <v>#DIV/0!</v>
      </c>
      <c r="CP71" s="31" t="str">
        <f t="shared" si="1"/>
        <v>#DIV/0!</v>
      </c>
      <c r="CQ71" s="31" t="str">
        <f t="shared" si="1"/>
        <v>#DIV/0!</v>
      </c>
      <c r="CR71" s="31" t="str">
        <f t="shared" si="1"/>
        <v>#DIV/0!</v>
      </c>
      <c r="CS71" s="31" t="str">
        <f t="shared" si="1"/>
        <v>#DIV/0!</v>
      </c>
      <c r="CT71" s="31" t="str">
        <f t="shared" si="1"/>
        <v>#DIV/0!</v>
      </c>
      <c r="CU71" s="31" t="str">
        <f t="shared" si="1"/>
        <v>#DIV/0!</v>
      </c>
      <c r="CV71" s="31" t="str">
        <f t="shared" si="1"/>
        <v>#DIV/0!</v>
      </c>
      <c r="CW71" s="31">
        <f t="shared" si="1"/>
        <v>190.026</v>
      </c>
      <c r="CX71" s="31">
        <f t="shared" si="1"/>
        <v>160.191243</v>
      </c>
      <c r="CY71" s="31">
        <f t="shared" si="1"/>
        <v>0.8429964477</v>
      </c>
      <c r="CZ71" s="31">
        <f t="shared" si="1"/>
        <v>0.165383144</v>
      </c>
      <c r="DA71" s="31">
        <f t="shared" si="1"/>
        <v>6</v>
      </c>
      <c r="DB71" s="31">
        <f t="shared" si="1"/>
        <v>0.5</v>
      </c>
      <c r="DC71" s="31" t="str">
        <f t="shared" si="1"/>
        <v>#DIV/0!</v>
      </c>
      <c r="DD71" s="31">
        <f t="shared" si="1"/>
        <v>2</v>
      </c>
      <c r="DE71" s="31">
        <f t="shared" si="1"/>
        <v>1754882336</v>
      </c>
      <c r="DF71" s="31">
        <f t="shared" si="1"/>
        <v>458.9805</v>
      </c>
      <c r="DG71" s="31">
        <f t="shared" si="1"/>
        <v>459.9635</v>
      </c>
      <c r="DH71" s="31">
        <f t="shared" si="1"/>
        <v>36.3503</v>
      </c>
      <c r="DI71" s="31">
        <f t="shared" si="1"/>
        <v>34.97045</v>
      </c>
      <c r="DJ71" s="31">
        <f t="shared" si="1"/>
        <v>456.212</v>
      </c>
      <c r="DK71" s="31">
        <f t="shared" si="1"/>
        <v>35.7984</v>
      </c>
      <c r="DL71" s="31">
        <f t="shared" si="1"/>
        <v>500.0225</v>
      </c>
      <c r="DM71" s="31">
        <f t="shared" si="1"/>
        <v>100.898</v>
      </c>
      <c r="DN71" s="31">
        <f t="shared" si="1"/>
        <v>0.09997465</v>
      </c>
      <c r="DO71" s="31">
        <f t="shared" si="1"/>
        <v>35.61825</v>
      </c>
      <c r="DP71" s="31">
        <f t="shared" si="1"/>
        <v>35.7109</v>
      </c>
      <c r="DQ71" s="31">
        <f t="shared" si="1"/>
        <v>999.9</v>
      </c>
      <c r="DR71" s="31">
        <f t="shared" si="1"/>
        <v>0</v>
      </c>
      <c r="DS71" s="31">
        <f t="shared" si="1"/>
        <v>0</v>
      </c>
      <c r="DT71" s="31">
        <f t="shared" si="1"/>
        <v>9006.56</v>
      </c>
      <c r="DU71" s="31">
        <f t="shared" si="1"/>
        <v>0</v>
      </c>
      <c r="DV71" s="31">
        <f t="shared" si="1"/>
        <v>585.81</v>
      </c>
      <c r="DW71" s="31">
        <f t="shared" si="1"/>
        <v>190.026</v>
      </c>
      <c r="DX71" s="31">
        <f t="shared" si="1"/>
        <v>0.9000575</v>
      </c>
      <c r="DY71" s="31">
        <f t="shared" si="1"/>
        <v>0.0999425</v>
      </c>
      <c r="DZ71" s="31">
        <f t="shared" si="1"/>
        <v>0</v>
      </c>
      <c r="EA71" s="31">
        <f t="shared" si="1"/>
        <v>185.225</v>
      </c>
      <c r="EB71" s="31">
        <f t="shared" si="1"/>
        <v>0.0999973</v>
      </c>
      <c r="EC71" s="31">
        <f t="shared" si="1"/>
        <v>1152.57</v>
      </c>
      <c r="ED71" s="31">
        <f t="shared" si="1"/>
        <v>1684.325</v>
      </c>
      <c r="EE71" s="31">
        <f t="shared" si="1"/>
        <v>40.5935</v>
      </c>
      <c r="EF71" s="31">
        <f t="shared" si="1"/>
        <v>43.7495</v>
      </c>
      <c r="EG71" s="31">
        <f t="shared" si="1"/>
        <v>42.0625</v>
      </c>
      <c r="EH71" s="31">
        <f t="shared" si="1"/>
        <v>43.5935</v>
      </c>
      <c r="EI71" s="31">
        <f t="shared" si="1"/>
        <v>43.2185</v>
      </c>
      <c r="EJ71" s="31">
        <f t="shared" si="1"/>
        <v>170.945</v>
      </c>
      <c r="EK71" s="31">
        <f t="shared" si="1"/>
        <v>18.98</v>
      </c>
      <c r="EL71" s="31">
        <f t="shared" si="1"/>
        <v>0</v>
      </c>
      <c r="EM71" s="31">
        <f t="shared" si="1"/>
        <v>153.6</v>
      </c>
      <c r="EN71" s="31">
        <f t="shared" si="1"/>
        <v>0</v>
      </c>
      <c r="EO71" s="31">
        <f t="shared" si="1"/>
        <v>186.2609</v>
      </c>
      <c r="EP71" s="31">
        <f t="shared" si="1"/>
        <v>3.889615425</v>
      </c>
      <c r="EQ71" s="31">
        <f t="shared" si="1"/>
        <v>-117.9309614</v>
      </c>
      <c r="ER71" s="31">
        <f t="shared" si="1"/>
        <v>1169.3147</v>
      </c>
      <c r="ES71" s="31">
        <f t="shared" si="1"/>
        <v>15</v>
      </c>
      <c r="ET71" s="31">
        <f t="shared" si="1"/>
        <v>1754882285</v>
      </c>
      <c r="EU71" s="42">
        <f t="shared" si="1"/>
        <v>0.4708796296</v>
      </c>
      <c r="EV71" s="31">
        <f t="shared" si="1"/>
        <v>1754882285</v>
      </c>
      <c r="EW71" s="31">
        <f t="shared" si="1"/>
        <v>1754876535</v>
      </c>
      <c r="EX71" s="31">
        <f t="shared" si="1"/>
        <v>11</v>
      </c>
      <c r="EY71" s="31">
        <f t="shared" si="1"/>
        <v>-0.02</v>
      </c>
      <c r="EZ71" s="31">
        <f t="shared" si="1"/>
        <v>-0.002</v>
      </c>
      <c r="FA71" s="31">
        <f t="shared" si="1"/>
        <v>2.768</v>
      </c>
      <c r="FB71" s="31">
        <f t="shared" si="1"/>
        <v>0.297</v>
      </c>
      <c r="FC71" s="31">
        <f t="shared" si="1"/>
        <v>460</v>
      </c>
      <c r="FD71" s="31">
        <f t="shared" si="1"/>
        <v>20</v>
      </c>
      <c r="FE71" s="31">
        <f t="shared" si="1"/>
        <v>0.23</v>
      </c>
      <c r="FF71" s="31">
        <f t="shared" si="1"/>
        <v>0.06</v>
      </c>
      <c r="FG71" s="31">
        <f t="shared" si="1"/>
        <v>100</v>
      </c>
      <c r="FH71" s="31">
        <f t="shared" si="1"/>
        <v>100</v>
      </c>
      <c r="FI71" s="31">
        <f t="shared" si="1"/>
        <v>2.7685</v>
      </c>
      <c r="FJ71" s="31">
        <f t="shared" si="1"/>
        <v>0.5519</v>
      </c>
      <c r="FK71" s="31">
        <f t="shared" si="1"/>
        <v>2.880662867</v>
      </c>
      <c r="FL71" s="31">
        <f t="shared" si="1"/>
        <v>-0.000225954287</v>
      </c>
      <c r="FM71" s="43">
        <f t="shared" si="1"/>
        <v>0.000000005204173011</v>
      </c>
      <c r="FN71" s="43">
        <f t="shared" si="1"/>
        <v>0</v>
      </c>
      <c r="FO71" s="31">
        <f t="shared" si="1"/>
        <v>0.5518733385</v>
      </c>
      <c r="FP71" s="31">
        <f t="shared" si="1"/>
        <v>0</v>
      </c>
      <c r="FQ71" s="31">
        <f t="shared" si="1"/>
        <v>0</v>
      </c>
      <c r="FR71" s="31">
        <f t="shared" si="1"/>
        <v>0</v>
      </c>
      <c r="FS71" s="31">
        <f t="shared" si="1"/>
        <v>1</v>
      </c>
      <c r="FT71" s="31">
        <f t="shared" si="1"/>
        <v>2266</v>
      </c>
      <c r="FU71" s="31">
        <f t="shared" si="1"/>
        <v>1</v>
      </c>
      <c r="FV71" s="31">
        <f t="shared" si="1"/>
        <v>26</v>
      </c>
      <c r="FW71" s="31">
        <f t="shared" si="1"/>
        <v>3.5</v>
      </c>
      <c r="FX71" s="31">
        <f t="shared" si="1"/>
        <v>96.65</v>
      </c>
      <c r="FY71" s="31">
        <f t="shared" si="1"/>
        <v>1.12427</v>
      </c>
      <c r="FZ71" s="31">
        <f t="shared" si="1"/>
        <v>2.55676</v>
      </c>
      <c r="GA71" s="31">
        <f t="shared" si="1"/>
        <v>1.59546</v>
      </c>
      <c r="GB71" s="31">
        <f t="shared" si="1"/>
        <v>2.31628</v>
      </c>
      <c r="GC71" s="31">
        <f t="shared" si="1"/>
        <v>1.5979</v>
      </c>
      <c r="GD71" s="31">
        <f t="shared" si="1"/>
        <v>2.38281</v>
      </c>
      <c r="GE71" s="31">
        <f t="shared" si="1"/>
        <v>43.9194</v>
      </c>
      <c r="GF71" s="31">
        <f t="shared" si="1"/>
        <v>15.4892</v>
      </c>
      <c r="GG71" s="31">
        <f t="shared" si="1"/>
        <v>18</v>
      </c>
      <c r="GH71" s="31">
        <f t="shared" si="1"/>
        <v>506.408</v>
      </c>
      <c r="GI71" s="31">
        <f t="shared" si="1"/>
        <v>462.8305</v>
      </c>
      <c r="GJ71" s="31">
        <f t="shared" si="1"/>
        <v>35.74985</v>
      </c>
      <c r="GK71" s="31">
        <f t="shared" si="1"/>
        <v>36.1214</v>
      </c>
      <c r="GL71" s="31">
        <f t="shared" si="1"/>
        <v>29.9997</v>
      </c>
      <c r="GM71" s="31">
        <f t="shared" si="1"/>
        <v>36.09495</v>
      </c>
      <c r="GN71" s="31">
        <f t="shared" si="1"/>
        <v>36.0217</v>
      </c>
      <c r="GO71" s="31">
        <f t="shared" si="1"/>
        <v>22.5546</v>
      </c>
      <c r="GP71" s="31">
        <f t="shared" si="1"/>
        <v>100</v>
      </c>
      <c r="GQ71" s="31">
        <f t="shared" si="1"/>
        <v>0</v>
      </c>
      <c r="GR71" s="31">
        <f t="shared" si="1"/>
        <v>-999.9</v>
      </c>
      <c r="GS71" s="31">
        <f t="shared" si="1"/>
        <v>460</v>
      </c>
      <c r="GT71" s="31">
        <f t="shared" si="1"/>
        <v>0</v>
      </c>
      <c r="GU71" s="31">
        <f t="shared" si="1"/>
        <v>102.478</v>
      </c>
      <c r="GV71" s="31">
        <f t="shared" si="1"/>
        <v>99.5801</v>
      </c>
    </row>
    <row r="72" ht="14.25" customHeight="1">
      <c r="A72" s="39"/>
      <c r="B72" s="39"/>
      <c r="C72" s="39"/>
      <c r="D72" s="39"/>
      <c r="E72" s="39"/>
      <c r="F72" s="39"/>
      <c r="G72" s="39"/>
      <c r="H72" s="39"/>
      <c r="I72" s="46" t="s">
        <v>94</v>
      </c>
      <c r="J72" s="47" t="s">
        <v>57</v>
      </c>
      <c r="K72" s="48">
        <f t="shared" ref="K72:GV72" si="2">AVERAGE(K6:K7)</f>
        <v>0.004101443626</v>
      </c>
      <c r="L72" s="44">
        <f t="shared" si="2"/>
        <v>4.101443626</v>
      </c>
      <c r="M72" s="44">
        <f t="shared" si="2"/>
        <v>1.585800567</v>
      </c>
      <c r="N72" s="48">
        <f t="shared" si="2"/>
        <v>455.8824977</v>
      </c>
      <c r="O72" s="44">
        <f t="shared" si="2"/>
        <v>432.1622455</v>
      </c>
      <c r="P72" s="48">
        <f t="shared" si="2"/>
        <v>43.63611905</v>
      </c>
      <c r="Q72" s="48">
        <f t="shared" si="2"/>
        <v>46.03118025</v>
      </c>
      <c r="R72" s="44">
        <f t="shared" si="2"/>
        <v>0.2245216803</v>
      </c>
      <c r="S72" s="48">
        <f t="shared" si="2"/>
        <v>2.761637128</v>
      </c>
      <c r="T72" s="48">
        <f t="shared" si="2"/>
        <v>0.2134357428</v>
      </c>
      <c r="U72" s="48">
        <f t="shared" si="2"/>
        <v>0.1343434571</v>
      </c>
      <c r="V72" s="48">
        <f t="shared" si="2"/>
        <v>31.42708521</v>
      </c>
      <c r="W72" s="48">
        <f t="shared" si="2"/>
        <v>34.84846416</v>
      </c>
      <c r="X72" s="48">
        <f t="shared" si="2"/>
        <v>35.52005</v>
      </c>
      <c r="Y72" s="48">
        <f t="shared" si="2"/>
        <v>5.814574582</v>
      </c>
      <c r="Z72" s="48">
        <f t="shared" si="2"/>
        <v>65.52236053</v>
      </c>
      <c r="AA72" s="48">
        <f t="shared" si="2"/>
        <v>3.860983289</v>
      </c>
      <c r="AB72" s="48">
        <f t="shared" si="2"/>
        <v>5.895038609</v>
      </c>
      <c r="AC72" s="48">
        <f t="shared" si="2"/>
        <v>1.953591293</v>
      </c>
      <c r="AD72" s="48">
        <f t="shared" si="2"/>
        <v>-180.8736639</v>
      </c>
      <c r="AE72" s="48">
        <f t="shared" si="2"/>
        <v>37.72918447</v>
      </c>
      <c r="AF72" s="48">
        <f t="shared" si="2"/>
        <v>3.19921527</v>
      </c>
      <c r="AG72" s="48">
        <f t="shared" si="2"/>
        <v>-108.518179</v>
      </c>
      <c r="AH72" s="48">
        <f t="shared" si="2"/>
        <v>0</v>
      </c>
      <c r="AI72" s="48">
        <f t="shared" si="2"/>
        <v>0</v>
      </c>
      <c r="AJ72" s="48">
        <f t="shared" si="2"/>
        <v>1</v>
      </c>
      <c r="AK72" s="48">
        <f t="shared" si="2"/>
        <v>0</v>
      </c>
      <c r="AL72" s="48">
        <f t="shared" si="2"/>
        <v>46746.5</v>
      </c>
      <c r="AM72" s="48" t="str">
        <f t="shared" si="2"/>
        <v>#DIV/0!</v>
      </c>
      <c r="AN72" s="48">
        <f t="shared" si="2"/>
        <v>8173.37</v>
      </c>
      <c r="AO72" s="48">
        <f t="shared" si="2"/>
        <v>559.296</v>
      </c>
      <c r="AP72" s="48">
        <f t="shared" si="2"/>
        <v>2893.93</v>
      </c>
      <c r="AQ72" s="48">
        <f t="shared" si="2"/>
        <v>0.8067347863</v>
      </c>
      <c r="AR72" s="48">
        <f t="shared" si="2"/>
        <v>-2.38169763</v>
      </c>
      <c r="AS72" s="48" t="str">
        <f t="shared" si="2"/>
        <v>#DIV/0!</v>
      </c>
      <c r="AT72" s="48">
        <f t="shared" si="2"/>
        <v>8148.53</v>
      </c>
      <c r="AU72" s="48">
        <f t="shared" si="2"/>
        <v>301.8264423</v>
      </c>
      <c r="AV72" s="48">
        <f t="shared" si="2"/>
        <v>775.2</v>
      </c>
      <c r="AW72" s="48">
        <f t="shared" si="2"/>
        <v>0.600390035</v>
      </c>
      <c r="AX72" s="48">
        <f t="shared" si="2"/>
        <v>0.5</v>
      </c>
      <c r="AY72" s="48">
        <f t="shared" si="2"/>
        <v>160.1870715</v>
      </c>
      <c r="AZ72" s="48">
        <f t="shared" si="2"/>
        <v>1.585800567</v>
      </c>
      <c r="BA72" s="48">
        <f t="shared" si="2"/>
        <v>48.08752169</v>
      </c>
      <c r="BB72" s="48">
        <f t="shared" si="2"/>
        <v>0.02476697204</v>
      </c>
      <c r="BC72" s="48">
        <f t="shared" si="2"/>
        <v>4.537435481</v>
      </c>
      <c r="BD72" s="48">
        <f t="shared" si="2"/>
        <v>333.2909992</v>
      </c>
      <c r="BE72" s="48" t="str">
        <f t="shared" si="2"/>
        <v>#DIV/0!</v>
      </c>
      <c r="BF72" s="48">
        <f t="shared" si="2"/>
        <v>-354.33</v>
      </c>
      <c r="BG72" s="48">
        <f t="shared" si="2"/>
        <v>-354.33</v>
      </c>
      <c r="BH72" s="48">
        <f t="shared" si="2"/>
        <v>1.833752437</v>
      </c>
      <c r="BI72" s="48">
        <f t="shared" si="2"/>
        <v>0.3801650605</v>
      </c>
      <c r="BJ72" s="48">
        <f t="shared" si="2"/>
        <v>0.6475336802</v>
      </c>
      <c r="BK72" s="48">
        <f t="shared" si="2"/>
        <v>0.1442482864</v>
      </c>
      <c r="BL72" s="48">
        <f t="shared" si="2"/>
        <v>0.9075212646</v>
      </c>
      <c r="BM72" s="48">
        <f t="shared" si="2"/>
        <v>-0.5377127302</v>
      </c>
      <c r="BN72" s="48">
        <f t="shared" si="2"/>
        <v>1.53771273</v>
      </c>
      <c r="BO72" s="48" t="str">
        <f t="shared" si="2"/>
        <v>#DIV/0!</v>
      </c>
      <c r="BP72" s="48" t="str">
        <f t="shared" si="2"/>
        <v>#DIV/0!</v>
      </c>
      <c r="BQ72" s="48" t="str">
        <f t="shared" si="2"/>
        <v>#DIV/0!</v>
      </c>
      <c r="BR72" s="48" t="str">
        <f t="shared" si="2"/>
        <v>#DIV/0!</v>
      </c>
      <c r="BS72" s="48" t="str">
        <f t="shared" si="2"/>
        <v>#DIV/0!</v>
      </c>
      <c r="BT72" s="48" t="str">
        <f t="shared" si="2"/>
        <v>#DIV/0!</v>
      </c>
      <c r="BU72" s="48" t="str">
        <f t="shared" si="2"/>
        <v>#DIV/0!</v>
      </c>
      <c r="BV72" s="48" t="str">
        <f t="shared" si="2"/>
        <v>#DIV/0!</v>
      </c>
      <c r="BW72" s="48" t="str">
        <f t="shared" si="2"/>
        <v>#DIV/0!</v>
      </c>
      <c r="BX72" s="48" t="str">
        <f t="shared" si="2"/>
        <v>#DIV/0!</v>
      </c>
      <c r="BY72" s="48" t="str">
        <f t="shared" si="2"/>
        <v>#DIV/0!</v>
      </c>
      <c r="BZ72" s="48" t="str">
        <f t="shared" si="2"/>
        <v>#DIV/0!</v>
      </c>
      <c r="CA72" s="48" t="str">
        <f t="shared" si="2"/>
        <v>#DIV/0!</v>
      </c>
      <c r="CB72" s="48" t="str">
        <f t="shared" si="2"/>
        <v>#DIV/0!</v>
      </c>
      <c r="CC72" s="48" t="str">
        <f t="shared" si="2"/>
        <v>#DIV/0!</v>
      </c>
      <c r="CD72" s="48" t="str">
        <f t="shared" si="2"/>
        <v>#DIV/0!</v>
      </c>
      <c r="CE72" s="48" t="str">
        <f t="shared" si="2"/>
        <v>#DIV/0!</v>
      </c>
      <c r="CF72" s="48" t="str">
        <f t="shared" si="2"/>
        <v>#DIV/0!</v>
      </c>
      <c r="CG72" s="48" t="str">
        <f t="shared" si="2"/>
        <v>#DIV/0!</v>
      </c>
      <c r="CH72" s="48" t="str">
        <f t="shared" si="2"/>
        <v>#DIV/0!</v>
      </c>
      <c r="CI72" s="48" t="str">
        <f t="shared" si="2"/>
        <v>#DIV/0!</v>
      </c>
      <c r="CJ72" s="48" t="str">
        <f t="shared" si="2"/>
        <v>#DIV/0!</v>
      </c>
      <c r="CK72" s="48" t="str">
        <f t="shared" si="2"/>
        <v>#DIV/0!</v>
      </c>
      <c r="CL72" s="48" t="str">
        <f t="shared" si="2"/>
        <v>#DIV/0!</v>
      </c>
      <c r="CM72" s="48" t="str">
        <f t="shared" si="2"/>
        <v>#DIV/0!</v>
      </c>
      <c r="CN72" s="48" t="str">
        <f t="shared" si="2"/>
        <v>#DIV/0!</v>
      </c>
      <c r="CO72" s="48" t="str">
        <f t="shared" si="2"/>
        <v>#DIV/0!</v>
      </c>
      <c r="CP72" s="48" t="str">
        <f t="shared" si="2"/>
        <v>#DIV/0!</v>
      </c>
      <c r="CQ72" s="48" t="str">
        <f t="shared" si="2"/>
        <v>#DIV/0!</v>
      </c>
      <c r="CR72" s="48" t="str">
        <f t="shared" si="2"/>
        <v>#DIV/0!</v>
      </c>
      <c r="CS72" s="48" t="str">
        <f t="shared" si="2"/>
        <v>#DIV/0!</v>
      </c>
      <c r="CT72" s="48" t="str">
        <f t="shared" si="2"/>
        <v>#DIV/0!</v>
      </c>
      <c r="CU72" s="48" t="str">
        <f t="shared" si="2"/>
        <v>#DIV/0!</v>
      </c>
      <c r="CV72" s="48" t="str">
        <f t="shared" si="2"/>
        <v>#DIV/0!</v>
      </c>
      <c r="CW72" s="48">
        <f t="shared" si="2"/>
        <v>190.0205</v>
      </c>
      <c r="CX72" s="48">
        <f t="shared" si="2"/>
        <v>160.1870715</v>
      </c>
      <c r="CY72" s="48">
        <f t="shared" si="2"/>
        <v>0.842998895</v>
      </c>
      <c r="CZ72" s="48">
        <f t="shared" si="2"/>
        <v>0.1653878674</v>
      </c>
      <c r="DA72" s="48">
        <f t="shared" si="2"/>
        <v>6</v>
      </c>
      <c r="DB72" s="48">
        <f t="shared" si="2"/>
        <v>0.5</v>
      </c>
      <c r="DC72" s="48" t="str">
        <f t="shared" si="2"/>
        <v>#DIV/0!</v>
      </c>
      <c r="DD72" s="48">
        <f t="shared" si="2"/>
        <v>2</v>
      </c>
      <c r="DE72" s="48">
        <f t="shared" si="2"/>
        <v>1754884277</v>
      </c>
      <c r="DF72" s="48">
        <f t="shared" si="2"/>
        <v>455.8825</v>
      </c>
      <c r="DG72" s="48">
        <f t="shared" si="2"/>
        <v>460.026</v>
      </c>
      <c r="DH72" s="48">
        <f t="shared" si="2"/>
        <v>38.23835</v>
      </c>
      <c r="DI72" s="48">
        <f t="shared" si="2"/>
        <v>33.5067</v>
      </c>
      <c r="DJ72" s="48">
        <f t="shared" si="2"/>
        <v>452.948</v>
      </c>
      <c r="DK72" s="48">
        <f t="shared" si="2"/>
        <v>37.6865</v>
      </c>
      <c r="DL72" s="48">
        <f t="shared" si="2"/>
        <v>499.991</v>
      </c>
      <c r="DM72" s="48">
        <f t="shared" si="2"/>
        <v>100.8715</v>
      </c>
      <c r="DN72" s="48">
        <f t="shared" si="2"/>
        <v>0.1000775</v>
      </c>
      <c r="DO72" s="48">
        <f t="shared" si="2"/>
        <v>35.77335</v>
      </c>
      <c r="DP72" s="48">
        <f t="shared" si="2"/>
        <v>35.52005</v>
      </c>
      <c r="DQ72" s="48">
        <f t="shared" si="2"/>
        <v>999.9</v>
      </c>
      <c r="DR72" s="48">
        <f t="shared" si="2"/>
        <v>0</v>
      </c>
      <c r="DS72" s="48">
        <f t="shared" si="2"/>
        <v>0</v>
      </c>
      <c r="DT72" s="48">
        <f t="shared" si="2"/>
        <v>8993.75</v>
      </c>
      <c r="DU72" s="48">
        <f t="shared" si="2"/>
        <v>0</v>
      </c>
      <c r="DV72" s="48">
        <f t="shared" si="2"/>
        <v>1059.28</v>
      </c>
      <c r="DW72" s="48">
        <f t="shared" si="2"/>
        <v>190.0205</v>
      </c>
      <c r="DX72" s="48">
        <f t="shared" si="2"/>
        <v>0.899974</v>
      </c>
      <c r="DY72" s="48">
        <f t="shared" si="2"/>
        <v>0.1000259</v>
      </c>
      <c r="DZ72" s="48">
        <f t="shared" si="2"/>
        <v>0</v>
      </c>
      <c r="EA72" s="48">
        <f t="shared" si="2"/>
        <v>304.255</v>
      </c>
      <c r="EB72" s="48">
        <f t="shared" si="2"/>
        <v>0.0999973</v>
      </c>
      <c r="EC72" s="48">
        <f t="shared" si="2"/>
        <v>2518.365</v>
      </c>
      <c r="ED72" s="48">
        <f t="shared" si="2"/>
        <v>1684.225</v>
      </c>
      <c r="EE72" s="48">
        <f t="shared" si="2"/>
        <v>40.7185</v>
      </c>
      <c r="EF72" s="48">
        <f t="shared" si="2"/>
        <v>44.625</v>
      </c>
      <c r="EG72" s="48">
        <f t="shared" si="2"/>
        <v>42.312</v>
      </c>
      <c r="EH72" s="48">
        <f t="shared" si="2"/>
        <v>44.0935</v>
      </c>
      <c r="EI72" s="48">
        <f t="shared" si="2"/>
        <v>43.375</v>
      </c>
      <c r="EJ72" s="48">
        <f t="shared" si="2"/>
        <v>170.925</v>
      </c>
      <c r="EK72" s="48">
        <f t="shared" si="2"/>
        <v>18.995</v>
      </c>
      <c r="EL72" s="48">
        <f t="shared" si="2"/>
        <v>0</v>
      </c>
      <c r="EM72" s="48">
        <f t="shared" si="2"/>
        <v>130.3</v>
      </c>
      <c r="EN72" s="48">
        <f t="shared" si="2"/>
        <v>0</v>
      </c>
      <c r="EO72" s="48">
        <f t="shared" si="2"/>
        <v>301.8264423</v>
      </c>
      <c r="EP72" s="48">
        <f t="shared" si="2"/>
        <v>14.23085465</v>
      </c>
      <c r="EQ72" s="48">
        <f t="shared" si="2"/>
        <v>-570.153334</v>
      </c>
      <c r="ER72" s="48">
        <f t="shared" si="2"/>
        <v>2564.642885</v>
      </c>
      <c r="ES72" s="48">
        <f t="shared" si="2"/>
        <v>15</v>
      </c>
      <c r="ET72" s="48">
        <f t="shared" si="2"/>
        <v>1754884016</v>
      </c>
      <c r="EU72" s="49">
        <f t="shared" si="2"/>
        <v>0.4909201389</v>
      </c>
      <c r="EV72" s="48">
        <f t="shared" si="2"/>
        <v>1754884016</v>
      </c>
      <c r="EW72" s="48">
        <f t="shared" si="2"/>
        <v>1754876535</v>
      </c>
      <c r="EX72" s="48">
        <f t="shared" si="2"/>
        <v>13.5</v>
      </c>
      <c r="EY72" s="48">
        <f t="shared" si="2"/>
        <v>-0.0005</v>
      </c>
      <c r="EZ72" s="48">
        <f t="shared" si="2"/>
        <v>-0.002</v>
      </c>
      <c r="FA72" s="48">
        <f t="shared" si="2"/>
        <v>2.934</v>
      </c>
      <c r="FB72" s="48">
        <f t="shared" si="2"/>
        <v>0.297</v>
      </c>
      <c r="FC72" s="48">
        <f t="shared" si="2"/>
        <v>460</v>
      </c>
      <c r="FD72" s="48">
        <f t="shared" si="2"/>
        <v>20</v>
      </c>
      <c r="FE72" s="48">
        <f t="shared" si="2"/>
        <v>0.495</v>
      </c>
      <c r="FF72" s="48">
        <f t="shared" si="2"/>
        <v>0.06</v>
      </c>
      <c r="FG72" s="48">
        <f t="shared" si="2"/>
        <v>100</v>
      </c>
      <c r="FH72" s="48">
        <f t="shared" si="2"/>
        <v>100</v>
      </c>
      <c r="FI72" s="48">
        <f t="shared" si="2"/>
        <v>2.9345</v>
      </c>
      <c r="FJ72" s="48">
        <f t="shared" si="2"/>
        <v>0.55185</v>
      </c>
      <c r="FK72" s="48">
        <f t="shared" si="2"/>
        <v>3.078633595</v>
      </c>
      <c r="FL72" s="48">
        <f t="shared" si="2"/>
        <v>-0.000225954287</v>
      </c>
      <c r="FM72" s="50">
        <f t="shared" si="2"/>
        <v>0.000000005204173011</v>
      </c>
      <c r="FN72" s="50">
        <f t="shared" si="2"/>
        <v>0</v>
      </c>
      <c r="FO72" s="48">
        <f t="shared" si="2"/>
        <v>0.5518733385</v>
      </c>
      <c r="FP72" s="48">
        <f t="shared" si="2"/>
        <v>0</v>
      </c>
      <c r="FQ72" s="48">
        <f t="shared" si="2"/>
        <v>0</v>
      </c>
      <c r="FR72" s="48">
        <f t="shared" si="2"/>
        <v>0</v>
      </c>
      <c r="FS72" s="48">
        <f t="shared" si="2"/>
        <v>1</v>
      </c>
      <c r="FT72" s="48">
        <f t="shared" si="2"/>
        <v>2266</v>
      </c>
      <c r="FU72" s="48">
        <f t="shared" si="2"/>
        <v>1</v>
      </c>
      <c r="FV72" s="48">
        <f t="shared" si="2"/>
        <v>26</v>
      </c>
      <c r="FW72" s="48">
        <f t="shared" si="2"/>
        <v>10.2</v>
      </c>
      <c r="FX72" s="48">
        <f t="shared" si="2"/>
        <v>129.05</v>
      </c>
      <c r="FY72" s="48">
        <f t="shared" si="2"/>
        <v>1.12427</v>
      </c>
      <c r="FZ72" s="48">
        <f t="shared" si="2"/>
        <v>2.55798</v>
      </c>
      <c r="GA72" s="48">
        <f t="shared" si="2"/>
        <v>1.59668</v>
      </c>
      <c r="GB72" s="48">
        <f t="shared" si="2"/>
        <v>2.31812</v>
      </c>
      <c r="GC72" s="48">
        <f t="shared" si="2"/>
        <v>1.5979</v>
      </c>
      <c r="GD72" s="48">
        <f t="shared" si="2"/>
        <v>2.380375</v>
      </c>
      <c r="GE72" s="48">
        <f t="shared" si="2"/>
        <v>43.6038</v>
      </c>
      <c r="GF72" s="48">
        <f t="shared" si="2"/>
        <v>15.22655</v>
      </c>
      <c r="GG72" s="48">
        <f t="shared" si="2"/>
        <v>18</v>
      </c>
      <c r="GH72" s="48">
        <f t="shared" si="2"/>
        <v>508.352</v>
      </c>
      <c r="GI72" s="48">
        <f t="shared" si="2"/>
        <v>464.2665</v>
      </c>
      <c r="GJ72" s="48">
        <f t="shared" si="2"/>
        <v>35.56915</v>
      </c>
      <c r="GK72" s="48">
        <f t="shared" si="2"/>
        <v>35.36755</v>
      </c>
      <c r="GL72" s="48">
        <f t="shared" si="2"/>
        <v>30.00035</v>
      </c>
      <c r="GM72" s="48">
        <f t="shared" si="2"/>
        <v>35.2973</v>
      </c>
      <c r="GN72" s="48">
        <f t="shared" si="2"/>
        <v>35.22775</v>
      </c>
      <c r="GO72" s="48">
        <f t="shared" si="2"/>
        <v>22.55135</v>
      </c>
      <c r="GP72" s="48">
        <f t="shared" si="2"/>
        <v>100</v>
      </c>
      <c r="GQ72" s="48">
        <f t="shared" si="2"/>
        <v>0</v>
      </c>
      <c r="GR72" s="48">
        <f t="shared" si="2"/>
        <v>-999.9</v>
      </c>
      <c r="GS72" s="48">
        <f t="shared" si="2"/>
        <v>460</v>
      </c>
      <c r="GT72" s="48">
        <f t="shared" si="2"/>
        <v>0</v>
      </c>
      <c r="GU72" s="48">
        <f t="shared" si="2"/>
        <v>102.5575</v>
      </c>
      <c r="GV72" s="48">
        <f t="shared" si="2"/>
        <v>99.73245</v>
      </c>
    </row>
    <row r="73" ht="14.25" customHeight="1">
      <c r="A73" s="39"/>
      <c r="B73" s="39"/>
      <c r="C73" s="39"/>
      <c r="D73" s="39"/>
      <c r="E73" s="39"/>
      <c r="F73" s="39"/>
      <c r="G73" s="39"/>
      <c r="H73" s="39"/>
      <c r="I73" s="45" t="s">
        <v>94</v>
      </c>
      <c r="J73" s="31" t="s">
        <v>59</v>
      </c>
      <c r="K73" s="31">
        <f t="shared" ref="K73:GV73" si="3">AVERAGE(K8:K9)</f>
        <v>0.003767274474</v>
      </c>
      <c r="L73" s="44">
        <f t="shared" si="3"/>
        <v>3.767274474</v>
      </c>
      <c r="M73" s="44">
        <f t="shared" si="3"/>
        <v>5.498819594</v>
      </c>
      <c r="N73" s="31">
        <f t="shared" si="3"/>
        <v>451.3229922</v>
      </c>
      <c r="O73" s="44">
        <f t="shared" si="3"/>
        <v>412.7807192</v>
      </c>
      <c r="P73" s="31">
        <f t="shared" si="3"/>
        <v>41.70547704</v>
      </c>
      <c r="Q73" s="31">
        <f t="shared" si="3"/>
        <v>45.5996123</v>
      </c>
      <c r="R73" s="44">
        <f t="shared" si="3"/>
        <v>0.3150257386</v>
      </c>
      <c r="S73" s="31">
        <f t="shared" si="3"/>
        <v>2.76811535</v>
      </c>
      <c r="T73" s="31">
        <f t="shared" si="3"/>
        <v>0.2960796918</v>
      </c>
      <c r="U73" s="31">
        <f t="shared" si="3"/>
        <v>0.1866555556</v>
      </c>
      <c r="V73" s="31">
        <f t="shared" si="3"/>
        <v>31.42744067</v>
      </c>
      <c r="W73" s="31">
        <f t="shared" si="3"/>
        <v>33.89773857</v>
      </c>
      <c r="X73" s="31">
        <f t="shared" si="3"/>
        <v>33.73855</v>
      </c>
      <c r="Y73" s="31">
        <f t="shared" si="3"/>
        <v>5.265616983</v>
      </c>
      <c r="Z73" s="31">
        <f t="shared" si="3"/>
        <v>72.47527556</v>
      </c>
      <c r="AA73" s="31">
        <f t="shared" si="3"/>
        <v>4.032990801</v>
      </c>
      <c r="AB73" s="31">
        <f t="shared" si="3"/>
        <v>5.564594996</v>
      </c>
      <c r="AC73" s="31">
        <f t="shared" si="3"/>
        <v>1.232626182</v>
      </c>
      <c r="AD73" s="31">
        <f t="shared" si="3"/>
        <v>-166.1368043</v>
      </c>
      <c r="AE73" s="31">
        <f t="shared" si="3"/>
        <v>148.0082669</v>
      </c>
      <c r="AF73" s="31">
        <f t="shared" si="3"/>
        <v>12.39495039</v>
      </c>
      <c r="AG73" s="31">
        <f t="shared" si="3"/>
        <v>25.69385366</v>
      </c>
      <c r="AH73" s="31">
        <f t="shared" si="3"/>
        <v>0</v>
      </c>
      <c r="AI73" s="31">
        <f t="shared" si="3"/>
        <v>0</v>
      </c>
      <c r="AJ73" s="31">
        <f t="shared" si="3"/>
        <v>1</v>
      </c>
      <c r="AK73" s="31">
        <f t="shared" si="3"/>
        <v>0</v>
      </c>
      <c r="AL73" s="31">
        <f t="shared" si="3"/>
        <v>47082</v>
      </c>
      <c r="AM73" s="31" t="str">
        <f t="shared" si="3"/>
        <v>#DIV/0!</v>
      </c>
      <c r="AN73" s="31">
        <f t="shared" si="3"/>
        <v>8173.37</v>
      </c>
      <c r="AO73" s="31">
        <f t="shared" si="3"/>
        <v>559.296</v>
      </c>
      <c r="AP73" s="31">
        <f t="shared" si="3"/>
        <v>2893.93</v>
      </c>
      <c r="AQ73" s="31">
        <f t="shared" si="3"/>
        <v>0.8067347863</v>
      </c>
      <c r="AR73" s="31">
        <f t="shared" si="3"/>
        <v>-2.38169763</v>
      </c>
      <c r="AS73" s="31" t="str">
        <f t="shared" si="3"/>
        <v>#DIV/0!</v>
      </c>
      <c r="AT73" s="31">
        <f t="shared" si="3"/>
        <v>8165.83</v>
      </c>
      <c r="AU73" s="31">
        <f t="shared" si="3"/>
        <v>777.3009615</v>
      </c>
      <c r="AV73" s="31">
        <f t="shared" si="3"/>
        <v>2474.495</v>
      </c>
      <c r="AW73" s="31">
        <f t="shared" si="3"/>
        <v>0.6855529094</v>
      </c>
      <c r="AX73" s="31">
        <f t="shared" si="3"/>
        <v>0.5</v>
      </c>
      <c r="AY73" s="31">
        <f t="shared" si="3"/>
        <v>160.1917995</v>
      </c>
      <c r="AZ73" s="31">
        <f t="shared" si="3"/>
        <v>5.498819594</v>
      </c>
      <c r="BA73" s="31">
        <f t="shared" si="3"/>
        <v>54.90977518</v>
      </c>
      <c r="BB73" s="31">
        <f t="shared" si="3"/>
        <v>0.04919467429</v>
      </c>
      <c r="BC73" s="31">
        <f t="shared" si="3"/>
        <v>0.1708869778</v>
      </c>
      <c r="BD73" s="31">
        <f t="shared" si="3"/>
        <v>541.4456587</v>
      </c>
      <c r="BE73" s="31" t="str">
        <f t="shared" si="3"/>
        <v>#DIV/0!</v>
      </c>
      <c r="BF73" s="31">
        <f t="shared" si="3"/>
        <v>168.57</v>
      </c>
      <c r="BG73" s="31">
        <f t="shared" si="3"/>
        <v>168.57</v>
      </c>
      <c r="BH73" s="31">
        <f t="shared" si="3"/>
        <v>0.9251577141</v>
      </c>
      <c r="BI73" s="31">
        <f t="shared" si="3"/>
        <v>0.7733942643</v>
      </c>
      <c r="BJ73" s="31">
        <f t="shared" si="3"/>
        <v>0.1644097789</v>
      </c>
      <c r="BK73" s="31">
        <f t="shared" si="3"/>
        <v>0.8860290776</v>
      </c>
      <c r="BL73" s="31">
        <f t="shared" si="3"/>
        <v>0.1796577108</v>
      </c>
      <c r="BM73" s="31">
        <f t="shared" si="3"/>
        <v>0.2641789633</v>
      </c>
      <c r="BN73" s="31">
        <f t="shared" si="3"/>
        <v>0.7358210367</v>
      </c>
      <c r="BO73" s="31" t="str">
        <f t="shared" si="3"/>
        <v>#DIV/0!</v>
      </c>
      <c r="BP73" s="31" t="str">
        <f t="shared" si="3"/>
        <v>#DIV/0!</v>
      </c>
      <c r="BQ73" s="31" t="str">
        <f t="shared" si="3"/>
        <v>#DIV/0!</v>
      </c>
      <c r="BR73" s="31" t="str">
        <f t="shared" si="3"/>
        <v>#DIV/0!</v>
      </c>
      <c r="BS73" s="31" t="str">
        <f t="shared" si="3"/>
        <v>#DIV/0!</v>
      </c>
      <c r="BT73" s="31" t="str">
        <f t="shared" si="3"/>
        <v>#DIV/0!</v>
      </c>
      <c r="BU73" s="31" t="str">
        <f t="shared" si="3"/>
        <v>#DIV/0!</v>
      </c>
      <c r="BV73" s="31" t="str">
        <f t="shared" si="3"/>
        <v>#DIV/0!</v>
      </c>
      <c r="BW73" s="31" t="str">
        <f t="shared" si="3"/>
        <v>#DIV/0!</v>
      </c>
      <c r="BX73" s="31" t="str">
        <f t="shared" si="3"/>
        <v>#DIV/0!</v>
      </c>
      <c r="BY73" s="31" t="str">
        <f t="shared" si="3"/>
        <v>#DIV/0!</v>
      </c>
      <c r="BZ73" s="31" t="str">
        <f t="shared" si="3"/>
        <v>#DIV/0!</v>
      </c>
      <c r="CA73" s="31" t="str">
        <f t="shared" si="3"/>
        <v>#DIV/0!</v>
      </c>
      <c r="CB73" s="31" t="str">
        <f t="shared" si="3"/>
        <v>#DIV/0!</v>
      </c>
      <c r="CC73" s="31" t="str">
        <f t="shared" si="3"/>
        <v>#DIV/0!</v>
      </c>
      <c r="CD73" s="31" t="str">
        <f t="shared" si="3"/>
        <v>#DIV/0!</v>
      </c>
      <c r="CE73" s="31" t="str">
        <f t="shared" si="3"/>
        <v>#DIV/0!</v>
      </c>
      <c r="CF73" s="31" t="str">
        <f t="shared" si="3"/>
        <v>#DIV/0!</v>
      </c>
      <c r="CG73" s="31" t="str">
        <f t="shared" si="3"/>
        <v>#DIV/0!</v>
      </c>
      <c r="CH73" s="31" t="str">
        <f t="shared" si="3"/>
        <v>#DIV/0!</v>
      </c>
      <c r="CI73" s="31" t="str">
        <f t="shared" si="3"/>
        <v>#DIV/0!</v>
      </c>
      <c r="CJ73" s="31" t="str">
        <f t="shared" si="3"/>
        <v>#DIV/0!</v>
      </c>
      <c r="CK73" s="31" t="str">
        <f t="shared" si="3"/>
        <v>#DIV/0!</v>
      </c>
      <c r="CL73" s="31" t="str">
        <f t="shared" si="3"/>
        <v>#DIV/0!</v>
      </c>
      <c r="CM73" s="31" t="str">
        <f t="shared" si="3"/>
        <v>#DIV/0!</v>
      </c>
      <c r="CN73" s="31" t="str">
        <f t="shared" si="3"/>
        <v>#DIV/0!</v>
      </c>
      <c r="CO73" s="31" t="str">
        <f t="shared" si="3"/>
        <v>#DIV/0!</v>
      </c>
      <c r="CP73" s="31" t="str">
        <f t="shared" si="3"/>
        <v>#DIV/0!</v>
      </c>
      <c r="CQ73" s="31" t="str">
        <f t="shared" si="3"/>
        <v>#DIV/0!</v>
      </c>
      <c r="CR73" s="31" t="str">
        <f t="shared" si="3"/>
        <v>#DIV/0!</v>
      </c>
      <c r="CS73" s="31" t="str">
        <f t="shared" si="3"/>
        <v>#DIV/0!</v>
      </c>
      <c r="CT73" s="31" t="str">
        <f t="shared" si="3"/>
        <v>#DIV/0!</v>
      </c>
      <c r="CU73" s="31" t="str">
        <f t="shared" si="3"/>
        <v>#DIV/0!</v>
      </c>
      <c r="CV73" s="31" t="str">
        <f t="shared" si="3"/>
        <v>#DIV/0!</v>
      </c>
      <c r="CW73" s="31">
        <f t="shared" si="3"/>
        <v>190.0265</v>
      </c>
      <c r="CX73" s="31">
        <f t="shared" si="3"/>
        <v>160.1917995</v>
      </c>
      <c r="CY73" s="31">
        <f t="shared" si="3"/>
        <v>0.8429971588</v>
      </c>
      <c r="CZ73" s="31">
        <f t="shared" si="3"/>
        <v>0.1653845165</v>
      </c>
      <c r="DA73" s="31">
        <f t="shared" si="3"/>
        <v>6</v>
      </c>
      <c r="DB73" s="31">
        <f t="shared" si="3"/>
        <v>0.5</v>
      </c>
      <c r="DC73" s="31" t="str">
        <f t="shared" si="3"/>
        <v>#DIV/0!</v>
      </c>
      <c r="DD73" s="31">
        <f t="shared" si="3"/>
        <v>2</v>
      </c>
      <c r="DE73" s="31">
        <f t="shared" si="3"/>
        <v>1754879836</v>
      </c>
      <c r="DF73" s="31">
        <f t="shared" si="3"/>
        <v>451.323</v>
      </c>
      <c r="DG73" s="31">
        <f t="shared" si="3"/>
        <v>459.9605</v>
      </c>
      <c r="DH73" s="31">
        <f t="shared" si="3"/>
        <v>39.9166</v>
      </c>
      <c r="DI73" s="31">
        <f t="shared" si="3"/>
        <v>35.57705</v>
      </c>
      <c r="DJ73" s="31">
        <f t="shared" si="3"/>
        <v>448.694</v>
      </c>
      <c r="DK73" s="31">
        <f t="shared" si="3"/>
        <v>39.36475</v>
      </c>
      <c r="DL73" s="31">
        <f t="shared" si="3"/>
        <v>500.0695</v>
      </c>
      <c r="DM73" s="31">
        <f t="shared" si="3"/>
        <v>100.9355</v>
      </c>
      <c r="DN73" s="31">
        <f t="shared" si="3"/>
        <v>0.0999293</v>
      </c>
      <c r="DO73" s="31">
        <f t="shared" si="3"/>
        <v>34.7304</v>
      </c>
      <c r="DP73" s="31">
        <f t="shared" si="3"/>
        <v>33.73855</v>
      </c>
      <c r="DQ73" s="31">
        <f t="shared" si="3"/>
        <v>999.9</v>
      </c>
      <c r="DR73" s="31">
        <f t="shared" si="3"/>
        <v>0</v>
      </c>
      <c r="DS73" s="31">
        <f t="shared" si="3"/>
        <v>0</v>
      </c>
      <c r="DT73" s="31">
        <f t="shared" si="3"/>
        <v>9022.5</v>
      </c>
      <c r="DU73" s="31">
        <f t="shared" si="3"/>
        <v>0</v>
      </c>
      <c r="DV73" s="31">
        <f t="shared" si="3"/>
        <v>563.033</v>
      </c>
      <c r="DW73" s="31">
        <f t="shared" si="3"/>
        <v>190.0265</v>
      </c>
      <c r="DX73" s="31">
        <f t="shared" si="3"/>
        <v>0.900041</v>
      </c>
      <c r="DY73" s="31">
        <f t="shared" si="3"/>
        <v>0.09995905</v>
      </c>
      <c r="DZ73" s="31">
        <f t="shared" si="3"/>
        <v>0</v>
      </c>
      <c r="EA73" s="31">
        <f t="shared" si="3"/>
        <v>776.1525</v>
      </c>
      <c r="EB73" s="31">
        <f t="shared" si="3"/>
        <v>0.0999973</v>
      </c>
      <c r="EC73" s="31">
        <f t="shared" si="3"/>
        <v>2701.25</v>
      </c>
      <c r="ED73" s="31">
        <f t="shared" si="3"/>
        <v>1684.315</v>
      </c>
      <c r="EE73" s="31">
        <f t="shared" si="3"/>
        <v>39.6245</v>
      </c>
      <c r="EF73" s="31">
        <f t="shared" si="3"/>
        <v>42.906</v>
      </c>
      <c r="EG73" s="31">
        <f t="shared" si="3"/>
        <v>41.1245</v>
      </c>
      <c r="EH73" s="31">
        <f t="shared" si="3"/>
        <v>42.5935</v>
      </c>
      <c r="EI73" s="31">
        <f t="shared" si="3"/>
        <v>42.2185</v>
      </c>
      <c r="EJ73" s="31">
        <f t="shared" si="3"/>
        <v>170.945</v>
      </c>
      <c r="EK73" s="31">
        <f t="shared" si="3"/>
        <v>18.985</v>
      </c>
      <c r="EL73" s="31">
        <f t="shared" si="3"/>
        <v>0</v>
      </c>
      <c r="EM73" s="31">
        <f t="shared" si="3"/>
        <v>171</v>
      </c>
      <c r="EN73" s="31">
        <f t="shared" si="3"/>
        <v>0</v>
      </c>
      <c r="EO73" s="31">
        <f t="shared" si="3"/>
        <v>777.3009615</v>
      </c>
      <c r="EP73" s="31">
        <f t="shared" si="3"/>
        <v>-26.56017083</v>
      </c>
      <c r="EQ73" s="31">
        <f t="shared" si="3"/>
        <v>-125.5294012</v>
      </c>
      <c r="ER73" s="31">
        <f t="shared" si="3"/>
        <v>2724.559808</v>
      </c>
      <c r="ES73" s="31">
        <f t="shared" si="3"/>
        <v>15</v>
      </c>
      <c r="ET73" s="31">
        <f t="shared" si="3"/>
        <v>1754879764</v>
      </c>
      <c r="EU73" s="42">
        <f t="shared" si="3"/>
        <v>0.441712963</v>
      </c>
      <c r="EV73" s="31">
        <f t="shared" si="3"/>
        <v>1754879764</v>
      </c>
      <c r="EW73" s="31">
        <f t="shared" si="3"/>
        <v>1754876535</v>
      </c>
      <c r="EX73" s="31">
        <f t="shared" si="3"/>
        <v>6</v>
      </c>
      <c r="EY73" s="31">
        <f t="shared" si="3"/>
        <v>0.006</v>
      </c>
      <c r="EZ73" s="31">
        <f t="shared" si="3"/>
        <v>-0.002</v>
      </c>
      <c r="FA73" s="31">
        <f t="shared" si="3"/>
        <v>2.628</v>
      </c>
      <c r="FB73" s="31">
        <f t="shared" si="3"/>
        <v>0.297</v>
      </c>
      <c r="FC73" s="31">
        <f t="shared" si="3"/>
        <v>460</v>
      </c>
      <c r="FD73" s="31">
        <f t="shared" si="3"/>
        <v>20</v>
      </c>
      <c r="FE73" s="31">
        <f t="shared" si="3"/>
        <v>0.18</v>
      </c>
      <c r="FF73" s="31">
        <f t="shared" si="3"/>
        <v>0.06</v>
      </c>
      <c r="FG73" s="31">
        <f t="shared" si="3"/>
        <v>100</v>
      </c>
      <c r="FH73" s="31">
        <f t="shared" si="3"/>
        <v>100</v>
      </c>
      <c r="FI73" s="31">
        <f t="shared" si="3"/>
        <v>2.629</v>
      </c>
      <c r="FJ73" s="31">
        <f t="shared" si="3"/>
        <v>0.55185</v>
      </c>
      <c r="FK73" s="31">
        <f t="shared" si="3"/>
        <v>2.727117475</v>
      </c>
      <c r="FL73" s="31">
        <f t="shared" si="3"/>
        <v>-0.000225954287</v>
      </c>
      <c r="FM73" s="43">
        <f t="shared" si="3"/>
        <v>0.000000005204173011</v>
      </c>
      <c r="FN73" s="43">
        <f t="shared" si="3"/>
        <v>0</v>
      </c>
      <c r="FO73" s="31">
        <f t="shared" si="3"/>
        <v>0.5518733385</v>
      </c>
      <c r="FP73" s="31">
        <f t="shared" si="3"/>
        <v>0</v>
      </c>
      <c r="FQ73" s="31">
        <f t="shared" si="3"/>
        <v>0</v>
      </c>
      <c r="FR73" s="31">
        <f t="shared" si="3"/>
        <v>0</v>
      </c>
      <c r="FS73" s="31">
        <f t="shared" si="3"/>
        <v>1</v>
      </c>
      <c r="FT73" s="31">
        <f t="shared" si="3"/>
        <v>2266</v>
      </c>
      <c r="FU73" s="31">
        <f t="shared" si="3"/>
        <v>1</v>
      </c>
      <c r="FV73" s="31">
        <f t="shared" si="3"/>
        <v>26</v>
      </c>
      <c r="FW73" s="31">
        <f t="shared" si="3"/>
        <v>7.55</v>
      </c>
      <c r="FX73" s="31">
        <f t="shared" si="3"/>
        <v>55</v>
      </c>
      <c r="FY73" s="31">
        <f t="shared" si="3"/>
        <v>1.11633</v>
      </c>
      <c r="FZ73" s="31">
        <f t="shared" si="3"/>
        <v>2.53601</v>
      </c>
      <c r="GA73" s="31">
        <f t="shared" si="3"/>
        <v>1.59668</v>
      </c>
      <c r="GB73" s="31">
        <f t="shared" si="3"/>
        <v>2.31995</v>
      </c>
      <c r="GC73" s="31">
        <f t="shared" si="3"/>
        <v>1.5979</v>
      </c>
      <c r="GD73" s="31">
        <f t="shared" si="3"/>
        <v>2.35901</v>
      </c>
      <c r="GE73" s="31">
        <f t="shared" si="3"/>
        <v>42.4038</v>
      </c>
      <c r="GF73" s="31">
        <f t="shared" si="3"/>
        <v>15.87445</v>
      </c>
      <c r="GG73" s="31">
        <f t="shared" si="3"/>
        <v>18</v>
      </c>
      <c r="GH73" s="31">
        <f t="shared" si="3"/>
        <v>508.297</v>
      </c>
      <c r="GI73" s="31">
        <f t="shared" si="3"/>
        <v>481.768</v>
      </c>
      <c r="GJ73" s="31">
        <f t="shared" si="3"/>
        <v>34.7381</v>
      </c>
      <c r="GK73" s="31">
        <f t="shared" si="3"/>
        <v>34.71</v>
      </c>
      <c r="GL73" s="31">
        <f t="shared" si="3"/>
        <v>29.99985</v>
      </c>
      <c r="GM73" s="31">
        <f t="shared" si="3"/>
        <v>34.7607</v>
      </c>
      <c r="GN73" s="31">
        <f t="shared" si="3"/>
        <v>34.7149</v>
      </c>
      <c r="GO73" s="31">
        <f t="shared" si="3"/>
        <v>22.39265</v>
      </c>
      <c r="GP73" s="31">
        <f t="shared" si="3"/>
        <v>100</v>
      </c>
      <c r="GQ73" s="31">
        <f t="shared" si="3"/>
        <v>0</v>
      </c>
      <c r="GR73" s="31">
        <f t="shared" si="3"/>
        <v>-999.9</v>
      </c>
      <c r="GS73" s="31">
        <f t="shared" si="3"/>
        <v>460</v>
      </c>
      <c r="GT73" s="31">
        <f t="shared" si="3"/>
        <v>0</v>
      </c>
      <c r="GU73" s="31">
        <f t="shared" si="3"/>
        <v>102.7455</v>
      </c>
      <c r="GV73" s="31">
        <f t="shared" si="3"/>
        <v>99.77</v>
      </c>
    </row>
    <row r="74" ht="14.25" customHeight="1">
      <c r="A74" s="39"/>
      <c r="B74" s="39"/>
      <c r="C74" s="39"/>
      <c r="D74" s="39"/>
      <c r="E74" s="39"/>
      <c r="F74" s="39"/>
      <c r="G74" s="39"/>
      <c r="H74" s="39"/>
      <c r="I74" s="45" t="s">
        <v>94</v>
      </c>
      <c r="J74" s="31" t="s">
        <v>61</v>
      </c>
      <c r="K74" s="31">
        <f t="shared" ref="K74:GV74" si="4">AVERAGE(K10:K11)</f>
        <v>0.00349102692</v>
      </c>
      <c r="L74" s="44">
        <f t="shared" si="4"/>
        <v>3.49102692</v>
      </c>
      <c r="M74" s="44">
        <f t="shared" si="4"/>
        <v>3.687452907</v>
      </c>
      <c r="N74" s="31">
        <f t="shared" si="4"/>
        <v>453.6624947</v>
      </c>
      <c r="O74" s="44">
        <f t="shared" si="4"/>
        <v>412.831374</v>
      </c>
      <c r="P74" s="31">
        <f t="shared" si="4"/>
        <v>41.70628707</v>
      </c>
      <c r="Q74" s="31">
        <f t="shared" si="4"/>
        <v>45.83125704</v>
      </c>
      <c r="R74" s="44">
        <f t="shared" si="4"/>
        <v>0.2138092297</v>
      </c>
      <c r="S74" s="31">
        <f t="shared" si="4"/>
        <v>2.762239635</v>
      </c>
      <c r="T74" s="31">
        <f t="shared" si="4"/>
        <v>0.2049635783</v>
      </c>
      <c r="U74" s="31">
        <f t="shared" si="4"/>
        <v>0.1288662881</v>
      </c>
      <c r="V74" s="31">
        <f t="shared" si="4"/>
        <v>31.42317791</v>
      </c>
      <c r="W74" s="31">
        <f t="shared" si="4"/>
        <v>35.20921164</v>
      </c>
      <c r="X74" s="31">
        <f t="shared" si="4"/>
        <v>35.0278</v>
      </c>
      <c r="Y74" s="31">
        <f t="shared" si="4"/>
        <v>5.657337604</v>
      </c>
      <c r="Z74" s="31">
        <f t="shared" si="4"/>
        <v>67.37460304</v>
      </c>
      <c r="AA74" s="31">
        <f t="shared" si="4"/>
        <v>4.014056961</v>
      </c>
      <c r="AB74" s="31">
        <f t="shared" si="4"/>
        <v>5.958247751</v>
      </c>
      <c r="AC74" s="31">
        <f t="shared" si="4"/>
        <v>1.643280643</v>
      </c>
      <c r="AD74" s="31">
        <f t="shared" si="4"/>
        <v>-153.9542872</v>
      </c>
      <c r="AE74" s="31">
        <f t="shared" si="4"/>
        <v>139.9115472</v>
      </c>
      <c r="AF74" s="31">
        <f t="shared" si="4"/>
        <v>11.88565299</v>
      </c>
      <c r="AG74" s="31">
        <f t="shared" si="4"/>
        <v>29.26609093</v>
      </c>
      <c r="AH74" s="31">
        <f t="shared" si="4"/>
        <v>0</v>
      </c>
      <c r="AI74" s="31">
        <f t="shared" si="4"/>
        <v>0</v>
      </c>
      <c r="AJ74" s="31">
        <f t="shared" si="4"/>
        <v>1</v>
      </c>
      <c r="AK74" s="31">
        <f t="shared" si="4"/>
        <v>0</v>
      </c>
      <c r="AL74" s="31">
        <f t="shared" si="4"/>
        <v>46734</v>
      </c>
      <c r="AM74" s="31" t="str">
        <f t="shared" si="4"/>
        <v>#DIV/0!</v>
      </c>
      <c r="AN74" s="31">
        <f t="shared" si="4"/>
        <v>8173.37</v>
      </c>
      <c r="AO74" s="31">
        <f t="shared" si="4"/>
        <v>559.296</v>
      </c>
      <c r="AP74" s="31">
        <f t="shared" si="4"/>
        <v>2893.93</v>
      </c>
      <c r="AQ74" s="31">
        <f t="shared" si="4"/>
        <v>0.8067347863</v>
      </c>
      <c r="AR74" s="31">
        <f t="shared" si="4"/>
        <v>-2.38169763</v>
      </c>
      <c r="AS74" s="31" t="str">
        <f t="shared" si="4"/>
        <v>#DIV/0!</v>
      </c>
      <c r="AT74" s="31">
        <f t="shared" si="4"/>
        <v>8164.58</v>
      </c>
      <c r="AU74" s="31">
        <f t="shared" si="4"/>
        <v>631.3330615</v>
      </c>
      <c r="AV74" s="31">
        <f t="shared" si="4"/>
        <v>1948.405</v>
      </c>
      <c r="AW74" s="31">
        <f t="shared" si="4"/>
        <v>0.6770075874</v>
      </c>
      <c r="AX74" s="31">
        <f t="shared" si="4"/>
        <v>0.5</v>
      </c>
      <c r="AY74" s="31">
        <f t="shared" si="4"/>
        <v>160.166493</v>
      </c>
      <c r="AZ74" s="31">
        <f t="shared" si="4"/>
        <v>3.687452907</v>
      </c>
      <c r="BA74" s="31">
        <f t="shared" si="4"/>
        <v>54.216659</v>
      </c>
      <c r="BB74" s="31">
        <f t="shared" si="4"/>
        <v>0.03789199755</v>
      </c>
      <c r="BC74" s="31">
        <f t="shared" si="4"/>
        <v>0.496502416</v>
      </c>
      <c r="BD74" s="31">
        <f t="shared" si="4"/>
        <v>510.5933805</v>
      </c>
      <c r="BE74" s="31" t="str">
        <f t="shared" si="4"/>
        <v>#DIV/0!</v>
      </c>
      <c r="BF74" s="31">
        <f t="shared" si="4"/>
        <v>-140.965</v>
      </c>
      <c r="BG74" s="31">
        <f t="shared" si="4"/>
        <v>-140.965</v>
      </c>
      <c r="BH74" s="31">
        <f t="shared" si="4"/>
        <v>1.049496125</v>
      </c>
      <c r="BI74" s="31">
        <f t="shared" si="4"/>
        <v>0.6916768457</v>
      </c>
      <c r="BJ74" s="31">
        <f t="shared" si="4"/>
        <v>0.3309347342</v>
      </c>
      <c r="BK74" s="31">
        <f t="shared" si="4"/>
        <v>0.9542640929</v>
      </c>
      <c r="BL74" s="31">
        <f t="shared" si="4"/>
        <v>0.4049992419</v>
      </c>
      <c r="BM74" s="31">
        <f t="shared" si="4"/>
        <v>0.06533447475</v>
      </c>
      <c r="BN74" s="31">
        <f t="shared" si="4"/>
        <v>0.9346655253</v>
      </c>
      <c r="BO74" s="31" t="str">
        <f t="shared" si="4"/>
        <v>#DIV/0!</v>
      </c>
      <c r="BP74" s="31" t="str">
        <f t="shared" si="4"/>
        <v>#DIV/0!</v>
      </c>
      <c r="BQ74" s="31" t="str">
        <f t="shared" si="4"/>
        <v>#DIV/0!</v>
      </c>
      <c r="BR74" s="31" t="str">
        <f t="shared" si="4"/>
        <v>#DIV/0!</v>
      </c>
      <c r="BS74" s="31" t="str">
        <f t="shared" si="4"/>
        <v>#DIV/0!</v>
      </c>
      <c r="BT74" s="31" t="str">
        <f t="shared" si="4"/>
        <v>#DIV/0!</v>
      </c>
      <c r="BU74" s="31" t="str">
        <f t="shared" si="4"/>
        <v>#DIV/0!</v>
      </c>
      <c r="BV74" s="31" t="str">
        <f t="shared" si="4"/>
        <v>#DIV/0!</v>
      </c>
      <c r="BW74" s="31" t="str">
        <f t="shared" si="4"/>
        <v>#DIV/0!</v>
      </c>
      <c r="BX74" s="31" t="str">
        <f t="shared" si="4"/>
        <v>#DIV/0!</v>
      </c>
      <c r="BY74" s="31" t="str">
        <f t="shared" si="4"/>
        <v>#DIV/0!</v>
      </c>
      <c r="BZ74" s="31" t="str">
        <f t="shared" si="4"/>
        <v>#DIV/0!</v>
      </c>
      <c r="CA74" s="31" t="str">
        <f t="shared" si="4"/>
        <v>#DIV/0!</v>
      </c>
      <c r="CB74" s="31" t="str">
        <f t="shared" si="4"/>
        <v>#DIV/0!</v>
      </c>
      <c r="CC74" s="31" t="str">
        <f t="shared" si="4"/>
        <v>#DIV/0!</v>
      </c>
      <c r="CD74" s="31" t="str">
        <f t="shared" si="4"/>
        <v>#DIV/0!</v>
      </c>
      <c r="CE74" s="31" t="str">
        <f t="shared" si="4"/>
        <v>#DIV/0!</v>
      </c>
      <c r="CF74" s="31" t="str">
        <f t="shared" si="4"/>
        <v>#DIV/0!</v>
      </c>
      <c r="CG74" s="31" t="str">
        <f t="shared" si="4"/>
        <v>#DIV/0!</v>
      </c>
      <c r="CH74" s="31" t="str">
        <f t="shared" si="4"/>
        <v>#DIV/0!</v>
      </c>
      <c r="CI74" s="31" t="str">
        <f t="shared" si="4"/>
        <v>#DIV/0!</v>
      </c>
      <c r="CJ74" s="31" t="str">
        <f t="shared" si="4"/>
        <v>#DIV/0!</v>
      </c>
      <c r="CK74" s="31" t="str">
        <f t="shared" si="4"/>
        <v>#DIV/0!</v>
      </c>
      <c r="CL74" s="31" t="str">
        <f t="shared" si="4"/>
        <v>#DIV/0!</v>
      </c>
      <c r="CM74" s="31" t="str">
        <f t="shared" si="4"/>
        <v>#DIV/0!</v>
      </c>
      <c r="CN74" s="31" t="str">
        <f t="shared" si="4"/>
        <v>#DIV/0!</v>
      </c>
      <c r="CO74" s="31" t="str">
        <f t="shared" si="4"/>
        <v>#DIV/0!</v>
      </c>
      <c r="CP74" s="31" t="str">
        <f t="shared" si="4"/>
        <v>#DIV/0!</v>
      </c>
      <c r="CQ74" s="31" t="str">
        <f t="shared" si="4"/>
        <v>#DIV/0!</v>
      </c>
      <c r="CR74" s="31" t="str">
        <f t="shared" si="4"/>
        <v>#DIV/0!</v>
      </c>
      <c r="CS74" s="31" t="str">
        <f t="shared" si="4"/>
        <v>#DIV/0!</v>
      </c>
      <c r="CT74" s="31" t="str">
        <f t="shared" si="4"/>
        <v>#DIV/0!</v>
      </c>
      <c r="CU74" s="31" t="str">
        <f t="shared" si="4"/>
        <v>#DIV/0!</v>
      </c>
      <c r="CV74" s="31" t="str">
        <f t="shared" si="4"/>
        <v>#DIV/0!</v>
      </c>
      <c r="CW74" s="31">
        <f t="shared" si="4"/>
        <v>189.996</v>
      </c>
      <c r="CX74" s="31">
        <f t="shared" si="4"/>
        <v>160.166493</v>
      </c>
      <c r="CY74" s="31">
        <f t="shared" si="4"/>
        <v>0.8429992896</v>
      </c>
      <c r="CZ74" s="31">
        <f t="shared" si="4"/>
        <v>0.1653886289</v>
      </c>
      <c r="DA74" s="31">
        <f t="shared" si="4"/>
        <v>6</v>
      </c>
      <c r="DB74" s="31">
        <f t="shared" si="4"/>
        <v>0.5</v>
      </c>
      <c r="DC74" s="31" t="str">
        <f t="shared" si="4"/>
        <v>#DIV/0!</v>
      </c>
      <c r="DD74" s="31">
        <f t="shared" si="4"/>
        <v>2</v>
      </c>
      <c r="DE74" s="31">
        <f t="shared" si="4"/>
        <v>1754881152</v>
      </c>
      <c r="DF74" s="31">
        <f t="shared" si="4"/>
        <v>453.6625</v>
      </c>
      <c r="DG74" s="31">
        <f t="shared" si="4"/>
        <v>459.9885</v>
      </c>
      <c r="DH74" s="31">
        <f t="shared" si="4"/>
        <v>39.7333</v>
      </c>
      <c r="DI74" s="31">
        <f t="shared" si="4"/>
        <v>35.71025</v>
      </c>
      <c r="DJ74" s="31">
        <f t="shared" si="4"/>
        <v>450.883</v>
      </c>
      <c r="DK74" s="31">
        <f t="shared" si="4"/>
        <v>39.18145</v>
      </c>
      <c r="DL74" s="31">
        <f t="shared" si="4"/>
        <v>499.964</v>
      </c>
      <c r="DM74" s="31">
        <f t="shared" si="4"/>
        <v>100.925</v>
      </c>
      <c r="DN74" s="31">
        <f t="shared" si="4"/>
        <v>0.1000085</v>
      </c>
      <c r="DO74" s="31">
        <f t="shared" si="4"/>
        <v>35.9673</v>
      </c>
      <c r="DP74" s="31">
        <f t="shared" si="4"/>
        <v>35.0278</v>
      </c>
      <c r="DQ74" s="31">
        <f t="shared" si="4"/>
        <v>999.9</v>
      </c>
      <c r="DR74" s="31">
        <f t="shared" si="4"/>
        <v>0</v>
      </c>
      <c r="DS74" s="31">
        <f t="shared" si="4"/>
        <v>0</v>
      </c>
      <c r="DT74" s="31">
        <f t="shared" si="4"/>
        <v>8992.185</v>
      </c>
      <c r="DU74" s="31">
        <f t="shared" si="4"/>
        <v>0</v>
      </c>
      <c r="DV74" s="31">
        <f t="shared" si="4"/>
        <v>1362.74</v>
      </c>
      <c r="DW74" s="31">
        <f t="shared" si="4"/>
        <v>189.996</v>
      </c>
      <c r="DX74" s="31">
        <f t="shared" si="4"/>
        <v>0.899974</v>
      </c>
      <c r="DY74" s="31">
        <f t="shared" si="4"/>
        <v>0.100026</v>
      </c>
      <c r="DZ74" s="31">
        <f t="shared" si="4"/>
        <v>0</v>
      </c>
      <c r="EA74" s="31">
        <f t="shared" si="4"/>
        <v>629.775</v>
      </c>
      <c r="EB74" s="31">
        <f t="shared" si="4"/>
        <v>0.0999973</v>
      </c>
      <c r="EC74" s="31">
        <f t="shared" si="4"/>
        <v>2972.23</v>
      </c>
      <c r="ED74" s="31">
        <f t="shared" si="4"/>
        <v>1684.005</v>
      </c>
      <c r="EE74" s="31">
        <f t="shared" si="4"/>
        <v>41.125</v>
      </c>
      <c r="EF74" s="31">
        <f t="shared" si="4"/>
        <v>44.937</v>
      </c>
      <c r="EG74" s="31">
        <f t="shared" si="4"/>
        <v>42.7185</v>
      </c>
      <c r="EH74" s="31">
        <f t="shared" si="4"/>
        <v>44.437</v>
      </c>
      <c r="EI74" s="31">
        <f t="shared" si="4"/>
        <v>43.781</v>
      </c>
      <c r="EJ74" s="31">
        <f t="shared" si="4"/>
        <v>170.9</v>
      </c>
      <c r="EK74" s="31">
        <f t="shared" si="4"/>
        <v>18.995</v>
      </c>
      <c r="EL74" s="31">
        <f t="shared" si="4"/>
        <v>0</v>
      </c>
      <c r="EM74" s="31">
        <f t="shared" si="4"/>
        <v>175.5</v>
      </c>
      <c r="EN74" s="31">
        <f t="shared" si="4"/>
        <v>0</v>
      </c>
      <c r="EO74" s="31">
        <f t="shared" si="4"/>
        <v>631.3330615</v>
      </c>
      <c r="EP74" s="31">
        <f t="shared" si="4"/>
        <v>-28.7975853</v>
      </c>
      <c r="EQ74" s="31">
        <f t="shared" si="4"/>
        <v>-514.8325206</v>
      </c>
      <c r="ER74" s="31">
        <f t="shared" si="4"/>
        <v>2979.550462</v>
      </c>
      <c r="ES74" s="31">
        <f t="shared" si="4"/>
        <v>15</v>
      </c>
      <c r="ET74" s="31">
        <f t="shared" si="4"/>
        <v>1754880960</v>
      </c>
      <c r="EU74" s="42">
        <f t="shared" si="4"/>
        <v>0.4555497685</v>
      </c>
      <c r="EV74" s="31">
        <f t="shared" si="4"/>
        <v>1754880960</v>
      </c>
      <c r="EW74" s="31">
        <f t="shared" si="4"/>
        <v>1754876535</v>
      </c>
      <c r="EX74" s="31">
        <f t="shared" si="4"/>
        <v>8.5</v>
      </c>
      <c r="EY74" s="31">
        <f t="shared" si="4"/>
        <v>0.049</v>
      </c>
      <c r="EZ74" s="31">
        <f t="shared" si="4"/>
        <v>-0.002</v>
      </c>
      <c r="FA74" s="31">
        <f t="shared" si="4"/>
        <v>2.779</v>
      </c>
      <c r="FB74" s="31">
        <f t="shared" si="4"/>
        <v>0.297</v>
      </c>
      <c r="FC74" s="31">
        <f t="shared" si="4"/>
        <v>460</v>
      </c>
      <c r="FD74" s="31">
        <f t="shared" si="4"/>
        <v>20</v>
      </c>
      <c r="FE74" s="31">
        <f t="shared" si="4"/>
        <v>0.545</v>
      </c>
      <c r="FF74" s="31">
        <f t="shared" si="4"/>
        <v>0.06</v>
      </c>
      <c r="FG74" s="31">
        <f t="shared" si="4"/>
        <v>100</v>
      </c>
      <c r="FH74" s="31">
        <f t="shared" si="4"/>
        <v>100</v>
      </c>
      <c r="FI74" s="31">
        <f t="shared" si="4"/>
        <v>2.7795</v>
      </c>
      <c r="FJ74" s="31">
        <f t="shared" si="4"/>
        <v>0.55185</v>
      </c>
      <c r="FK74" s="31">
        <f t="shared" si="4"/>
        <v>2.831884611</v>
      </c>
      <c r="FL74" s="31">
        <f t="shared" si="4"/>
        <v>-0.000225954287</v>
      </c>
      <c r="FM74" s="43">
        <f t="shared" si="4"/>
        <v>0.000000005204173011</v>
      </c>
      <c r="FN74" s="43">
        <f t="shared" si="4"/>
        <v>0</v>
      </c>
      <c r="FO74" s="31">
        <f t="shared" si="4"/>
        <v>0.5518733385</v>
      </c>
      <c r="FP74" s="31">
        <f t="shared" si="4"/>
        <v>0</v>
      </c>
      <c r="FQ74" s="31">
        <f t="shared" si="4"/>
        <v>0</v>
      </c>
      <c r="FR74" s="31">
        <f t="shared" si="4"/>
        <v>0</v>
      </c>
      <c r="FS74" s="31">
        <f t="shared" si="4"/>
        <v>1</v>
      </c>
      <c r="FT74" s="31">
        <f t="shared" si="4"/>
        <v>2266</v>
      </c>
      <c r="FU74" s="31">
        <f t="shared" si="4"/>
        <v>1</v>
      </c>
      <c r="FV74" s="31">
        <f t="shared" si="4"/>
        <v>26</v>
      </c>
      <c r="FW74" s="31">
        <f t="shared" si="4"/>
        <v>8.5</v>
      </c>
      <c r="FX74" s="31">
        <f t="shared" si="4"/>
        <v>76.95</v>
      </c>
      <c r="FY74" s="31">
        <f t="shared" si="4"/>
        <v>1.11938</v>
      </c>
      <c r="FZ74" s="31">
        <f t="shared" si="4"/>
        <v>2.543335</v>
      </c>
      <c r="GA74" s="31">
        <f t="shared" si="4"/>
        <v>1.59607</v>
      </c>
      <c r="GB74" s="31">
        <f t="shared" si="4"/>
        <v>2.31812</v>
      </c>
      <c r="GC74" s="31">
        <f t="shared" si="4"/>
        <v>1.5979</v>
      </c>
      <c r="GD74" s="31">
        <f t="shared" si="4"/>
        <v>2.39075</v>
      </c>
      <c r="GE74" s="31">
        <f t="shared" si="4"/>
        <v>43.60415</v>
      </c>
      <c r="GF74" s="31">
        <f t="shared" si="4"/>
        <v>15.6687</v>
      </c>
      <c r="GG74" s="31">
        <f t="shared" si="4"/>
        <v>18</v>
      </c>
      <c r="GH74" s="31">
        <f t="shared" si="4"/>
        <v>506.339</v>
      </c>
      <c r="GI74" s="31">
        <f t="shared" si="4"/>
        <v>469.6</v>
      </c>
      <c r="GJ74" s="31">
        <f t="shared" si="4"/>
        <v>35.7892</v>
      </c>
      <c r="GK74" s="31">
        <f t="shared" si="4"/>
        <v>35.6671</v>
      </c>
      <c r="GL74" s="31">
        <f t="shared" si="4"/>
        <v>30.0005</v>
      </c>
      <c r="GM74" s="31">
        <f t="shared" si="4"/>
        <v>35.59015</v>
      </c>
      <c r="GN74" s="31">
        <f t="shared" si="4"/>
        <v>35.52</v>
      </c>
      <c r="GO74" s="31">
        <f t="shared" si="4"/>
        <v>22.4685</v>
      </c>
      <c r="GP74" s="31">
        <f t="shared" si="4"/>
        <v>100</v>
      </c>
      <c r="GQ74" s="31">
        <f t="shared" si="4"/>
        <v>0</v>
      </c>
      <c r="GR74" s="31">
        <f t="shared" si="4"/>
        <v>-999.9</v>
      </c>
      <c r="GS74" s="31">
        <f t="shared" si="4"/>
        <v>460</v>
      </c>
      <c r="GT74" s="31">
        <f t="shared" si="4"/>
        <v>0</v>
      </c>
      <c r="GU74" s="31">
        <f t="shared" si="4"/>
        <v>102.5695</v>
      </c>
      <c r="GV74" s="31">
        <f t="shared" si="4"/>
        <v>99.6317</v>
      </c>
    </row>
    <row r="75" ht="14.25" customHeight="1">
      <c r="A75" s="39"/>
      <c r="B75" s="39"/>
      <c r="C75" s="39"/>
      <c r="D75" s="39"/>
      <c r="E75" s="39"/>
      <c r="F75" s="39"/>
      <c r="G75" s="39"/>
      <c r="H75" s="39"/>
      <c r="I75" s="45" t="s">
        <v>94</v>
      </c>
      <c r="J75" s="31" t="s">
        <v>62</v>
      </c>
      <c r="K75" s="31">
        <f t="shared" ref="K75:GV75" si="5">AVERAGE(K12:K13)</f>
        <v>0.002573941487</v>
      </c>
      <c r="L75" s="44">
        <f t="shared" si="5"/>
        <v>2.573941487</v>
      </c>
      <c r="M75" s="44">
        <f t="shared" si="5"/>
        <v>3.151265643</v>
      </c>
      <c r="N75" s="31">
        <f t="shared" si="5"/>
        <v>454.8074955</v>
      </c>
      <c r="O75" s="44">
        <f t="shared" si="5"/>
        <v>402.7964407</v>
      </c>
      <c r="P75" s="31">
        <f t="shared" si="5"/>
        <v>40.68195472</v>
      </c>
      <c r="Q75" s="31">
        <f t="shared" si="5"/>
        <v>45.9350077</v>
      </c>
      <c r="R75" s="44">
        <f t="shared" si="5"/>
        <v>0.1373550319</v>
      </c>
      <c r="S75" s="31">
        <f t="shared" si="5"/>
        <v>2.759618986</v>
      </c>
      <c r="T75" s="31">
        <f t="shared" si="5"/>
        <v>0.1334535933</v>
      </c>
      <c r="U75" s="31">
        <f t="shared" si="5"/>
        <v>0.08374934557</v>
      </c>
      <c r="V75" s="31">
        <f t="shared" si="5"/>
        <v>31.41182379</v>
      </c>
      <c r="W75" s="31">
        <f t="shared" si="5"/>
        <v>35.1017312</v>
      </c>
      <c r="X75" s="31">
        <f t="shared" si="5"/>
        <v>34.9933</v>
      </c>
      <c r="Y75" s="31">
        <f t="shared" si="5"/>
        <v>5.646282382</v>
      </c>
      <c r="Z75" s="31">
        <f t="shared" si="5"/>
        <v>64.61732646</v>
      </c>
      <c r="AA75" s="31">
        <f t="shared" si="5"/>
        <v>3.775355159</v>
      </c>
      <c r="AB75" s="31">
        <f t="shared" si="5"/>
        <v>5.842189001</v>
      </c>
      <c r="AC75" s="31">
        <f t="shared" si="5"/>
        <v>1.870927223</v>
      </c>
      <c r="AD75" s="31">
        <f t="shared" si="5"/>
        <v>-113.5108196</v>
      </c>
      <c r="AE75" s="31">
        <f t="shared" si="5"/>
        <v>91.78451503</v>
      </c>
      <c r="AF75" s="31">
        <f t="shared" si="5"/>
        <v>7.790511875</v>
      </c>
      <c r="AG75" s="31">
        <f t="shared" si="5"/>
        <v>17.47603111</v>
      </c>
      <c r="AH75" s="31">
        <f t="shared" si="5"/>
        <v>0</v>
      </c>
      <c r="AI75" s="31">
        <f t="shared" si="5"/>
        <v>0</v>
      </c>
      <c r="AJ75" s="31">
        <f t="shared" si="5"/>
        <v>1</v>
      </c>
      <c r="AK75" s="31">
        <f t="shared" si="5"/>
        <v>0</v>
      </c>
      <c r="AL75" s="31">
        <f t="shared" si="5"/>
        <v>46716</v>
      </c>
      <c r="AM75" s="31" t="str">
        <f t="shared" si="5"/>
        <v>#DIV/0!</v>
      </c>
      <c r="AN75" s="31">
        <f t="shared" si="5"/>
        <v>8173.37</v>
      </c>
      <c r="AO75" s="31">
        <f t="shared" si="5"/>
        <v>559.296</v>
      </c>
      <c r="AP75" s="31">
        <f t="shared" si="5"/>
        <v>2893.93</v>
      </c>
      <c r="AQ75" s="31">
        <f t="shared" si="5"/>
        <v>0.8067347863</v>
      </c>
      <c r="AR75" s="31">
        <f t="shared" si="5"/>
        <v>-2.38169763</v>
      </c>
      <c r="AS75" s="31" t="str">
        <f t="shared" si="5"/>
        <v>#DIV/0!</v>
      </c>
      <c r="AT75" s="31">
        <f t="shared" si="5"/>
        <v>8173.605</v>
      </c>
      <c r="AU75" s="31">
        <f t="shared" si="5"/>
        <v>706.4365385</v>
      </c>
      <c r="AV75" s="31">
        <f t="shared" si="5"/>
        <v>1703.74</v>
      </c>
      <c r="AW75" s="31">
        <f t="shared" si="5"/>
        <v>0.5801348835</v>
      </c>
      <c r="AX75" s="31">
        <f t="shared" si="5"/>
        <v>0.5</v>
      </c>
      <c r="AY75" s="31">
        <f t="shared" si="5"/>
        <v>160.1110065</v>
      </c>
      <c r="AZ75" s="31">
        <f t="shared" si="5"/>
        <v>3.151265643</v>
      </c>
      <c r="BA75" s="31">
        <f t="shared" si="5"/>
        <v>46.44222523</v>
      </c>
      <c r="BB75" s="31">
        <f t="shared" si="5"/>
        <v>0.03455802631</v>
      </c>
      <c r="BC75" s="31">
        <f t="shared" si="5"/>
        <v>0.7768666653</v>
      </c>
      <c r="BD75" s="31">
        <f t="shared" si="5"/>
        <v>488.2022755</v>
      </c>
      <c r="BE75" s="31" t="str">
        <f t="shared" si="5"/>
        <v>#DIV/0!</v>
      </c>
      <c r="BF75" s="31">
        <f t="shared" si="5"/>
        <v>-106.77</v>
      </c>
      <c r="BG75" s="31">
        <f t="shared" si="5"/>
        <v>-106.77</v>
      </c>
      <c r="BH75" s="31">
        <f t="shared" si="5"/>
        <v>1.065698317</v>
      </c>
      <c r="BI75" s="31">
        <f t="shared" si="5"/>
        <v>0.5447871082</v>
      </c>
      <c r="BJ75" s="31">
        <f t="shared" si="5"/>
        <v>0.3965938146</v>
      </c>
      <c r="BK75" s="31">
        <f t="shared" si="5"/>
        <v>0.8901178239</v>
      </c>
      <c r="BL75" s="31">
        <f t="shared" si="5"/>
        <v>0.509797253</v>
      </c>
      <c r="BM75" s="31">
        <f t="shared" si="5"/>
        <v>-0.08365706983</v>
      </c>
      <c r="BN75" s="31">
        <f t="shared" si="5"/>
        <v>1.08365707</v>
      </c>
      <c r="BO75" s="31" t="str">
        <f t="shared" si="5"/>
        <v>#DIV/0!</v>
      </c>
      <c r="BP75" s="31" t="str">
        <f t="shared" si="5"/>
        <v>#DIV/0!</v>
      </c>
      <c r="BQ75" s="31" t="str">
        <f t="shared" si="5"/>
        <v>#DIV/0!</v>
      </c>
      <c r="BR75" s="31" t="str">
        <f t="shared" si="5"/>
        <v>#DIV/0!</v>
      </c>
      <c r="BS75" s="31" t="str">
        <f t="shared" si="5"/>
        <v>#DIV/0!</v>
      </c>
      <c r="BT75" s="31" t="str">
        <f t="shared" si="5"/>
        <v>#DIV/0!</v>
      </c>
      <c r="BU75" s="31" t="str">
        <f t="shared" si="5"/>
        <v>#DIV/0!</v>
      </c>
      <c r="BV75" s="31" t="str">
        <f t="shared" si="5"/>
        <v>#DIV/0!</v>
      </c>
      <c r="BW75" s="31" t="str">
        <f t="shared" si="5"/>
        <v>#DIV/0!</v>
      </c>
      <c r="BX75" s="31" t="str">
        <f t="shared" si="5"/>
        <v>#DIV/0!</v>
      </c>
      <c r="BY75" s="31" t="str">
        <f t="shared" si="5"/>
        <v>#DIV/0!</v>
      </c>
      <c r="BZ75" s="31" t="str">
        <f t="shared" si="5"/>
        <v>#DIV/0!</v>
      </c>
      <c r="CA75" s="31" t="str">
        <f t="shared" si="5"/>
        <v>#DIV/0!</v>
      </c>
      <c r="CB75" s="31" t="str">
        <f t="shared" si="5"/>
        <v>#DIV/0!</v>
      </c>
      <c r="CC75" s="31" t="str">
        <f t="shared" si="5"/>
        <v>#DIV/0!</v>
      </c>
      <c r="CD75" s="31" t="str">
        <f t="shared" si="5"/>
        <v>#DIV/0!</v>
      </c>
      <c r="CE75" s="31" t="str">
        <f t="shared" si="5"/>
        <v>#DIV/0!</v>
      </c>
      <c r="CF75" s="31" t="str">
        <f t="shared" si="5"/>
        <v>#DIV/0!</v>
      </c>
      <c r="CG75" s="31" t="str">
        <f t="shared" si="5"/>
        <v>#DIV/0!</v>
      </c>
      <c r="CH75" s="31" t="str">
        <f t="shared" si="5"/>
        <v>#DIV/0!</v>
      </c>
      <c r="CI75" s="31" t="str">
        <f t="shared" si="5"/>
        <v>#DIV/0!</v>
      </c>
      <c r="CJ75" s="31" t="str">
        <f t="shared" si="5"/>
        <v>#DIV/0!</v>
      </c>
      <c r="CK75" s="31" t="str">
        <f t="shared" si="5"/>
        <v>#DIV/0!</v>
      </c>
      <c r="CL75" s="31" t="str">
        <f t="shared" si="5"/>
        <v>#DIV/0!</v>
      </c>
      <c r="CM75" s="31" t="str">
        <f t="shared" si="5"/>
        <v>#DIV/0!</v>
      </c>
      <c r="CN75" s="31" t="str">
        <f t="shared" si="5"/>
        <v>#DIV/0!</v>
      </c>
      <c r="CO75" s="31" t="str">
        <f t="shared" si="5"/>
        <v>#DIV/0!</v>
      </c>
      <c r="CP75" s="31" t="str">
        <f t="shared" si="5"/>
        <v>#DIV/0!</v>
      </c>
      <c r="CQ75" s="31" t="str">
        <f t="shared" si="5"/>
        <v>#DIV/0!</v>
      </c>
      <c r="CR75" s="31" t="str">
        <f t="shared" si="5"/>
        <v>#DIV/0!</v>
      </c>
      <c r="CS75" s="31" t="str">
        <f t="shared" si="5"/>
        <v>#DIV/0!</v>
      </c>
      <c r="CT75" s="31" t="str">
        <f t="shared" si="5"/>
        <v>#DIV/0!</v>
      </c>
      <c r="CU75" s="31" t="str">
        <f t="shared" si="5"/>
        <v>#DIV/0!</v>
      </c>
      <c r="CV75" s="31" t="str">
        <f t="shared" si="5"/>
        <v>#DIV/0!</v>
      </c>
      <c r="CW75" s="31">
        <f t="shared" si="5"/>
        <v>189.9305</v>
      </c>
      <c r="CX75" s="31">
        <f t="shared" si="5"/>
        <v>160.1110065</v>
      </c>
      <c r="CY75" s="31">
        <f t="shared" si="5"/>
        <v>0.8429978688</v>
      </c>
      <c r="CZ75" s="31">
        <f t="shared" si="5"/>
        <v>0.1653858868</v>
      </c>
      <c r="DA75" s="31">
        <f t="shared" si="5"/>
        <v>6</v>
      </c>
      <c r="DB75" s="31">
        <f t="shared" si="5"/>
        <v>0.5</v>
      </c>
      <c r="DC75" s="31" t="str">
        <f t="shared" si="5"/>
        <v>#DIV/0!</v>
      </c>
      <c r="DD75" s="31">
        <f t="shared" si="5"/>
        <v>2</v>
      </c>
      <c r="DE75" s="31">
        <f t="shared" si="5"/>
        <v>1754883163</v>
      </c>
      <c r="DF75" s="31">
        <f t="shared" si="5"/>
        <v>454.8075</v>
      </c>
      <c r="DG75" s="31">
        <f t="shared" si="5"/>
        <v>459.993</v>
      </c>
      <c r="DH75" s="31">
        <f t="shared" si="5"/>
        <v>37.3802</v>
      </c>
      <c r="DI75" s="31">
        <f t="shared" si="5"/>
        <v>34.4075</v>
      </c>
      <c r="DJ75" s="31">
        <f t="shared" si="5"/>
        <v>451.9135</v>
      </c>
      <c r="DK75" s="31">
        <f t="shared" si="5"/>
        <v>36.8283</v>
      </c>
      <c r="DL75" s="31">
        <f t="shared" si="5"/>
        <v>500.0355</v>
      </c>
      <c r="DM75" s="31">
        <f t="shared" si="5"/>
        <v>100.8985</v>
      </c>
      <c r="DN75" s="31">
        <f t="shared" si="5"/>
        <v>0.1002924</v>
      </c>
      <c r="DO75" s="31">
        <f t="shared" si="5"/>
        <v>35.61015</v>
      </c>
      <c r="DP75" s="31">
        <f t="shared" si="5"/>
        <v>34.9933</v>
      </c>
      <c r="DQ75" s="31">
        <f t="shared" si="5"/>
        <v>999.9</v>
      </c>
      <c r="DR75" s="31">
        <f t="shared" si="5"/>
        <v>0</v>
      </c>
      <c r="DS75" s="31">
        <f t="shared" si="5"/>
        <v>0</v>
      </c>
      <c r="DT75" s="31">
        <f t="shared" si="5"/>
        <v>8980.625</v>
      </c>
      <c r="DU75" s="31">
        <f t="shared" si="5"/>
        <v>0</v>
      </c>
      <c r="DV75" s="31">
        <f t="shared" si="5"/>
        <v>137.64</v>
      </c>
      <c r="DW75" s="31">
        <f t="shared" si="5"/>
        <v>189.9305</v>
      </c>
      <c r="DX75" s="31">
        <f t="shared" si="5"/>
        <v>0.900021</v>
      </c>
      <c r="DY75" s="31">
        <f t="shared" si="5"/>
        <v>0.0999789</v>
      </c>
      <c r="DZ75" s="31">
        <f t="shared" si="5"/>
        <v>0</v>
      </c>
      <c r="EA75" s="31">
        <f t="shared" si="5"/>
        <v>706.365</v>
      </c>
      <c r="EB75" s="31">
        <f t="shared" si="5"/>
        <v>0.0999973</v>
      </c>
      <c r="EC75" s="31">
        <f t="shared" si="5"/>
        <v>1997.71</v>
      </c>
      <c r="ED75" s="31">
        <f t="shared" si="5"/>
        <v>1683.455</v>
      </c>
      <c r="EE75" s="31">
        <f t="shared" si="5"/>
        <v>40.6245</v>
      </c>
      <c r="EF75" s="31">
        <f t="shared" si="5"/>
        <v>44.156</v>
      </c>
      <c r="EG75" s="31">
        <f t="shared" si="5"/>
        <v>42.156</v>
      </c>
      <c r="EH75" s="31">
        <f t="shared" si="5"/>
        <v>43.687</v>
      </c>
      <c r="EI75" s="31">
        <f t="shared" si="5"/>
        <v>43.2185</v>
      </c>
      <c r="EJ75" s="31">
        <f t="shared" si="5"/>
        <v>170.855</v>
      </c>
      <c r="EK75" s="31">
        <f t="shared" si="5"/>
        <v>18.98</v>
      </c>
      <c r="EL75" s="31">
        <f t="shared" si="5"/>
        <v>0</v>
      </c>
      <c r="EM75" s="31">
        <f t="shared" si="5"/>
        <v>130.1999999</v>
      </c>
      <c r="EN75" s="31">
        <f t="shared" si="5"/>
        <v>0</v>
      </c>
      <c r="EO75" s="31">
        <f t="shared" si="5"/>
        <v>706.4365385</v>
      </c>
      <c r="EP75" s="31">
        <f t="shared" si="5"/>
        <v>-13.42820521</v>
      </c>
      <c r="EQ75" s="31">
        <f t="shared" si="5"/>
        <v>-849.5167515</v>
      </c>
      <c r="ER75" s="31">
        <f t="shared" si="5"/>
        <v>2136.236731</v>
      </c>
      <c r="ES75" s="31">
        <f t="shared" si="5"/>
        <v>15</v>
      </c>
      <c r="ET75" s="31">
        <f t="shared" si="5"/>
        <v>1754882979</v>
      </c>
      <c r="EU75" s="42">
        <f t="shared" si="5"/>
        <v>0.4789236111</v>
      </c>
      <c r="EV75" s="31">
        <f t="shared" si="5"/>
        <v>1754882979</v>
      </c>
      <c r="EW75" s="31">
        <f t="shared" si="5"/>
        <v>1754876535</v>
      </c>
      <c r="EX75" s="31">
        <f t="shared" si="5"/>
        <v>12</v>
      </c>
      <c r="EY75" s="31">
        <f t="shared" si="5"/>
        <v>0.124</v>
      </c>
      <c r="EZ75" s="31">
        <f t="shared" si="5"/>
        <v>-0.002</v>
      </c>
      <c r="FA75" s="31">
        <f t="shared" si="5"/>
        <v>2.892</v>
      </c>
      <c r="FB75" s="31">
        <f t="shared" si="5"/>
        <v>0.297</v>
      </c>
      <c r="FC75" s="31">
        <f t="shared" si="5"/>
        <v>460</v>
      </c>
      <c r="FD75" s="31">
        <f t="shared" si="5"/>
        <v>20</v>
      </c>
      <c r="FE75" s="31">
        <f t="shared" si="5"/>
        <v>0.26</v>
      </c>
      <c r="FF75" s="31">
        <f t="shared" si="5"/>
        <v>0.06</v>
      </c>
      <c r="FG75" s="31">
        <f t="shared" si="5"/>
        <v>100</v>
      </c>
      <c r="FH75" s="31">
        <f t="shared" si="5"/>
        <v>100</v>
      </c>
      <c r="FI75" s="31">
        <f t="shared" si="5"/>
        <v>2.894</v>
      </c>
      <c r="FJ75" s="31">
        <f t="shared" si="5"/>
        <v>0.5519</v>
      </c>
      <c r="FK75" s="31">
        <f t="shared" si="5"/>
        <v>2.99439367</v>
      </c>
      <c r="FL75" s="31">
        <f t="shared" si="5"/>
        <v>-0.000225954287</v>
      </c>
      <c r="FM75" s="43">
        <f t="shared" si="5"/>
        <v>0.000000005204173011</v>
      </c>
      <c r="FN75" s="43">
        <f t="shared" si="5"/>
        <v>0</v>
      </c>
      <c r="FO75" s="31">
        <f t="shared" si="5"/>
        <v>0.5518733385</v>
      </c>
      <c r="FP75" s="31">
        <f t="shared" si="5"/>
        <v>0</v>
      </c>
      <c r="FQ75" s="31">
        <f t="shared" si="5"/>
        <v>0</v>
      </c>
      <c r="FR75" s="31">
        <f t="shared" si="5"/>
        <v>0</v>
      </c>
      <c r="FS75" s="31">
        <f t="shared" si="5"/>
        <v>1</v>
      </c>
      <c r="FT75" s="31">
        <f t="shared" si="5"/>
        <v>2266</v>
      </c>
      <c r="FU75" s="31">
        <f t="shared" si="5"/>
        <v>1</v>
      </c>
      <c r="FV75" s="31">
        <f t="shared" si="5"/>
        <v>26</v>
      </c>
      <c r="FW75" s="31">
        <f t="shared" si="5"/>
        <v>3.05</v>
      </c>
      <c r="FX75" s="31">
        <f t="shared" si="5"/>
        <v>110.45</v>
      </c>
      <c r="FY75" s="31">
        <f t="shared" si="5"/>
        <v>1.12427</v>
      </c>
      <c r="FZ75" s="31">
        <f t="shared" si="5"/>
        <v>2.55432</v>
      </c>
      <c r="GA75" s="31">
        <f t="shared" si="5"/>
        <v>1.59668</v>
      </c>
      <c r="GB75" s="31">
        <f t="shared" si="5"/>
        <v>2.31689</v>
      </c>
      <c r="GC75" s="31">
        <f t="shared" si="5"/>
        <v>1.5979</v>
      </c>
      <c r="GD75" s="31">
        <f t="shared" si="5"/>
        <v>2.380375</v>
      </c>
      <c r="GE75" s="31">
        <f t="shared" si="5"/>
        <v>43.83665</v>
      </c>
      <c r="GF75" s="31">
        <f t="shared" si="5"/>
        <v>15.37975</v>
      </c>
      <c r="GG75" s="31">
        <f t="shared" si="5"/>
        <v>18</v>
      </c>
      <c r="GH75" s="31">
        <f t="shared" si="5"/>
        <v>507.969</v>
      </c>
      <c r="GI75" s="31">
        <f t="shared" si="5"/>
        <v>464.4495</v>
      </c>
      <c r="GJ75" s="31">
        <f t="shared" si="5"/>
        <v>35.65605</v>
      </c>
      <c r="GK75" s="31">
        <f t="shared" si="5"/>
        <v>35.83705</v>
      </c>
      <c r="GL75" s="31">
        <f t="shared" si="5"/>
        <v>29.9996</v>
      </c>
      <c r="GM75" s="31">
        <f t="shared" si="5"/>
        <v>35.87125</v>
      </c>
      <c r="GN75" s="31">
        <f t="shared" si="5"/>
        <v>35.81505</v>
      </c>
      <c r="GO75" s="31">
        <f t="shared" si="5"/>
        <v>22.55915</v>
      </c>
      <c r="GP75" s="31">
        <f t="shared" si="5"/>
        <v>100</v>
      </c>
      <c r="GQ75" s="31">
        <f t="shared" si="5"/>
        <v>0</v>
      </c>
      <c r="GR75" s="31">
        <f t="shared" si="5"/>
        <v>-999.9</v>
      </c>
      <c r="GS75" s="31">
        <f t="shared" si="5"/>
        <v>460</v>
      </c>
      <c r="GT75" s="31">
        <f t="shared" si="5"/>
        <v>0</v>
      </c>
      <c r="GU75" s="31">
        <f t="shared" si="5"/>
        <v>102.5055</v>
      </c>
      <c r="GV75" s="31">
        <f t="shared" si="5"/>
        <v>99.6414</v>
      </c>
    </row>
    <row r="76" ht="14.25" customHeight="1">
      <c r="A76" s="39"/>
      <c r="B76" s="39"/>
      <c r="C76" s="39"/>
      <c r="D76" s="39"/>
      <c r="E76" s="39"/>
      <c r="F76" s="39"/>
      <c r="G76" s="39"/>
      <c r="H76" s="39"/>
      <c r="I76" s="45" t="s">
        <v>94</v>
      </c>
      <c r="J76" s="31" t="s">
        <v>64</v>
      </c>
      <c r="K76" s="31">
        <f t="shared" ref="K76:GV76" si="6">AVERAGE(K14:K15)</f>
        <v>0.005370248883</v>
      </c>
      <c r="L76" s="44">
        <f t="shared" si="6"/>
        <v>5.370248883</v>
      </c>
      <c r="M76" s="44">
        <f t="shared" si="6"/>
        <v>5.449478284</v>
      </c>
      <c r="N76" s="31">
        <f t="shared" si="6"/>
        <v>450.5249922</v>
      </c>
      <c r="O76" s="44">
        <f t="shared" si="6"/>
        <v>419.6565497</v>
      </c>
      <c r="P76" s="31">
        <f t="shared" si="6"/>
        <v>42.37800336</v>
      </c>
      <c r="Q76" s="31">
        <f t="shared" si="6"/>
        <v>45.4951947</v>
      </c>
      <c r="R76" s="44">
        <f t="shared" si="6"/>
        <v>0.4578911161</v>
      </c>
      <c r="S76" s="31">
        <f t="shared" si="6"/>
        <v>2.757753992</v>
      </c>
      <c r="T76" s="31">
        <f t="shared" si="6"/>
        <v>0.416976194</v>
      </c>
      <c r="U76" s="31">
        <f t="shared" si="6"/>
        <v>0.2639646038</v>
      </c>
      <c r="V76" s="31">
        <f t="shared" si="6"/>
        <v>31.44011328</v>
      </c>
      <c r="W76" s="31">
        <f t="shared" si="6"/>
        <v>32.93094548</v>
      </c>
      <c r="X76" s="31">
        <f t="shared" si="6"/>
        <v>33.25085</v>
      </c>
      <c r="Y76" s="31">
        <f t="shared" si="6"/>
        <v>5.12375613</v>
      </c>
      <c r="Z76" s="31">
        <f t="shared" si="6"/>
        <v>71.36355168</v>
      </c>
      <c r="AA76" s="31">
        <f t="shared" si="6"/>
        <v>3.856725151</v>
      </c>
      <c r="AB76" s="31">
        <f t="shared" si="6"/>
        <v>5.404552157</v>
      </c>
      <c r="AC76" s="31">
        <f t="shared" si="6"/>
        <v>1.267030979</v>
      </c>
      <c r="AD76" s="31">
        <f t="shared" si="6"/>
        <v>-236.8279757</v>
      </c>
      <c r="AE76" s="31">
        <f t="shared" si="6"/>
        <v>141.929874</v>
      </c>
      <c r="AF76" s="31">
        <f t="shared" si="6"/>
        <v>11.87082095</v>
      </c>
      <c r="AG76" s="31">
        <f t="shared" si="6"/>
        <v>-51.58716748</v>
      </c>
      <c r="AH76" s="31">
        <f t="shared" si="6"/>
        <v>0</v>
      </c>
      <c r="AI76" s="31">
        <f t="shared" si="6"/>
        <v>0</v>
      </c>
      <c r="AJ76" s="31">
        <f t="shared" si="6"/>
        <v>1</v>
      </c>
      <c r="AK76" s="31">
        <f t="shared" si="6"/>
        <v>0</v>
      </c>
      <c r="AL76" s="31">
        <f t="shared" si="6"/>
        <v>46879</v>
      </c>
      <c r="AM76" s="31" t="str">
        <f t="shared" si="6"/>
        <v>#DIV/0!</v>
      </c>
      <c r="AN76" s="31">
        <f t="shared" si="6"/>
        <v>8173.37</v>
      </c>
      <c r="AO76" s="31">
        <f t="shared" si="6"/>
        <v>559.296</v>
      </c>
      <c r="AP76" s="31">
        <f t="shared" si="6"/>
        <v>2893.93</v>
      </c>
      <c r="AQ76" s="31">
        <f t="shared" si="6"/>
        <v>0.8067347863</v>
      </c>
      <c r="AR76" s="31">
        <f t="shared" si="6"/>
        <v>-2.38169763</v>
      </c>
      <c r="AS76" s="31" t="str">
        <f t="shared" si="6"/>
        <v>#DIV/0!</v>
      </c>
      <c r="AT76" s="31">
        <f t="shared" si="6"/>
        <v>8211.49</v>
      </c>
      <c r="AU76" s="31">
        <f t="shared" si="6"/>
        <v>783.6721885</v>
      </c>
      <c r="AV76" s="31">
        <f t="shared" si="6"/>
        <v>2406.045</v>
      </c>
      <c r="AW76" s="31">
        <f t="shared" si="6"/>
        <v>0.6742623838</v>
      </c>
      <c r="AX76" s="31">
        <f t="shared" si="6"/>
        <v>0.5</v>
      </c>
      <c r="AY76" s="31">
        <f t="shared" si="6"/>
        <v>160.262358</v>
      </c>
      <c r="AZ76" s="31">
        <f t="shared" si="6"/>
        <v>5.449478284</v>
      </c>
      <c r="BA76" s="31">
        <f t="shared" si="6"/>
        <v>54.02920578</v>
      </c>
      <c r="BB76" s="31">
        <f t="shared" si="6"/>
        <v>0.04886514252</v>
      </c>
      <c r="BC76" s="31">
        <f t="shared" si="6"/>
        <v>0.2027805252</v>
      </c>
      <c r="BD76" s="31">
        <f t="shared" si="6"/>
        <v>538.2037059</v>
      </c>
      <c r="BE76" s="31" t="str">
        <f t="shared" si="6"/>
        <v>#DIV/0!</v>
      </c>
      <c r="BF76" s="31">
        <f t="shared" si="6"/>
        <v>-1289.235</v>
      </c>
      <c r="BG76" s="31">
        <f t="shared" si="6"/>
        <v>-1289.235</v>
      </c>
      <c r="BH76" s="31">
        <f t="shared" si="6"/>
        <v>1.536203199</v>
      </c>
      <c r="BI76" s="31">
        <f t="shared" si="6"/>
        <v>0.445176626</v>
      </c>
      <c r="BJ76" s="31">
        <f t="shared" si="6"/>
        <v>0.1175979899</v>
      </c>
      <c r="BK76" s="31">
        <f t="shared" si="6"/>
        <v>0.8784563603</v>
      </c>
      <c r="BL76" s="31">
        <f t="shared" si="6"/>
        <v>0.2089770816</v>
      </c>
      <c r="BM76" s="31">
        <f t="shared" si="6"/>
        <v>-0.6990387221</v>
      </c>
      <c r="BN76" s="31">
        <f t="shared" si="6"/>
        <v>1.699038722</v>
      </c>
      <c r="BO76" s="31" t="str">
        <f t="shared" si="6"/>
        <v>#DIV/0!</v>
      </c>
      <c r="BP76" s="31" t="str">
        <f t="shared" si="6"/>
        <v>#DIV/0!</v>
      </c>
      <c r="BQ76" s="31" t="str">
        <f t="shared" si="6"/>
        <v>#DIV/0!</v>
      </c>
      <c r="BR76" s="31" t="str">
        <f t="shared" si="6"/>
        <v>#DIV/0!</v>
      </c>
      <c r="BS76" s="31" t="str">
        <f t="shared" si="6"/>
        <v>#DIV/0!</v>
      </c>
      <c r="BT76" s="31" t="str">
        <f t="shared" si="6"/>
        <v>#DIV/0!</v>
      </c>
      <c r="BU76" s="31" t="str">
        <f t="shared" si="6"/>
        <v>#DIV/0!</v>
      </c>
      <c r="BV76" s="31" t="str">
        <f t="shared" si="6"/>
        <v>#DIV/0!</v>
      </c>
      <c r="BW76" s="31" t="str">
        <f t="shared" si="6"/>
        <v>#DIV/0!</v>
      </c>
      <c r="BX76" s="31" t="str">
        <f t="shared" si="6"/>
        <v>#DIV/0!</v>
      </c>
      <c r="BY76" s="31" t="str">
        <f t="shared" si="6"/>
        <v>#DIV/0!</v>
      </c>
      <c r="BZ76" s="31" t="str">
        <f t="shared" si="6"/>
        <v>#DIV/0!</v>
      </c>
      <c r="CA76" s="31" t="str">
        <f t="shared" si="6"/>
        <v>#DIV/0!</v>
      </c>
      <c r="CB76" s="31" t="str">
        <f t="shared" si="6"/>
        <v>#DIV/0!</v>
      </c>
      <c r="CC76" s="31" t="str">
        <f t="shared" si="6"/>
        <v>#DIV/0!</v>
      </c>
      <c r="CD76" s="31" t="str">
        <f t="shared" si="6"/>
        <v>#DIV/0!</v>
      </c>
      <c r="CE76" s="31" t="str">
        <f t="shared" si="6"/>
        <v>#DIV/0!</v>
      </c>
      <c r="CF76" s="31" t="str">
        <f t="shared" si="6"/>
        <v>#DIV/0!</v>
      </c>
      <c r="CG76" s="31" t="str">
        <f t="shared" si="6"/>
        <v>#DIV/0!</v>
      </c>
      <c r="CH76" s="31" t="str">
        <f t="shared" si="6"/>
        <v>#DIV/0!</v>
      </c>
      <c r="CI76" s="31" t="str">
        <f t="shared" si="6"/>
        <v>#DIV/0!</v>
      </c>
      <c r="CJ76" s="31" t="str">
        <f t="shared" si="6"/>
        <v>#DIV/0!</v>
      </c>
      <c r="CK76" s="31" t="str">
        <f t="shared" si="6"/>
        <v>#DIV/0!</v>
      </c>
      <c r="CL76" s="31" t="str">
        <f t="shared" si="6"/>
        <v>#DIV/0!</v>
      </c>
      <c r="CM76" s="31" t="str">
        <f t="shared" si="6"/>
        <v>#DIV/0!</v>
      </c>
      <c r="CN76" s="31" t="str">
        <f t="shared" si="6"/>
        <v>#DIV/0!</v>
      </c>
      <c r="CO76" s="31" t="str">
        <f t="shared" si="6"/>
        <v>#DIV/0!</v>
      </c>
      <c r="CP76" s="31" t="str">
        <f t="shared" si="6"/>
        <v>#DIV/0!</v>
      </c>
      <c r="CQ76" s="31" t="str">
        <f t="shared" si="6"/>
        <v>#DIV/0!</v>
      </c>
      <c r="CR76" s="31" t="str">
        <f t="shared" si="6"/>
        <v>#DIV/0!</v>
      </c>
      <c r="CS76" s="31" t="str">
        <f t="shared" si="6"/>
        <v>#DIV/0!</v>
      </c>
      <c r="CT76" s="31" t="str">
        <f t="shared" si="6"/>
        <v>#DIV/0!</v>
      </c>
      <c r="CU76" s="31" t="str">
        <f t="shared" si="6"/>
        <v>#DIV/0!</v>
      </c>
      <c r="CV76" s="31" t="str">
        <f t="shared" si="6"/>
        <v>#DIV/0!</v>
      </c>
      <c r="CW76" s="31">
        <f t="shared" si="6"/>
        <v>190.111</v>
      </c>
      <c r="CX76" s="31">
        <f t="shared" si="6"/>
        <v>160.262358</v>
      </c>
      <c r="CY76" s="31">
        <f t="shared" si="6"/>
        <v>0.842993609</v>
      </c>
      <c r="CZ76" s="31">
        <f t="shared" si="6"/>
        <v>0.1653776654</v>
      </c>
      <c r="DA76" s="31">
        <f t="shared" si="6"/>
        <v>6</v>
      </c>
      <c r="DB76" s="31">
        <f t="shared" si="6"/>
        <v>0.5</v>
      </c>
      <c r="DC76" s="31" t="str">
        <f t="shared" si="6"/>
        <v>#DIV/0!</v>
      </c>
      <c r="DD76" s="31">
        <f t="shared" si="6"/>
        <v>2</v>
      </c>
      <c r="DE76" s="31">
        <f t="shared" si="6"/>
        <v>1754886822</v>
      </c>
      <c r="DF76" s="31">
        <f t="shared" si="6"/>
        <v>450.525</v>
      </c>
      <c r="DG76" s="31">
        <f t="shared" si="6"/>
        <v>459.9675</v>
      </c>
      <c r="DH76" s="31">
        <f t="shared" si="6"/>
        <v>38.192</v>
      </c>
      <c r="DI76" s="31">
        <f t="shared" si="6"/>
        <v>31.99435</v>
      </c>
      <c r="DJ76" s="31">
        <f t="shared" si="6"/>
        <v>447.545</v>
      </c>
      <c r="DK76" s="31">
        <f t="shared" si="6"/>
        <v>37.64015</v>
      </c>
      <c r="DL76" s="31">
        <f t="shared" si="6"/>
        <v>499.959</v>
      </c>
      <c r="DM76" s="31">
        <f t="shared" si="6"/>
        <v>100.882</v>
      </c>
      <c r="DN76" s="31">
        <f t="shared" si="6"/>
        <v>0.1006155</v>
      </c>
      <c r="DO76" s="31">
        <f t="shared" si="6"/>
        <v>34.20545</v>
      </c>
      <c r="DP76" s="31">
        <f t="shared" si="6"/>
        <v>33.25085</v>
      </c>
      <c r="DQ76" s="31">
        <f t="shared" si="6"/>
        <v>999.9</v>
      </c>
      <c r="DR76" s="31">
        <f t="shared" si="6"/>
        <v>0</v>
      </c>
      <c r="DS76" s="31">
        <f t="shared" si="6"/>
        <v>0</v>
      </c>
      <c r="DT76" s="31">
        <f t="shared" si="6"/>
        <v>8972.19</v>
      </c>
      <c r="DU76" s="31">
        <f t="shared" si="6"/>
        <v>0</v>
      </c>
      <c r="DV76" s="31">
        <f t="shared" si="6"/>
        <v>599.766</v>
      </c>
      <c r="DW76" s="31">
        <f t="shared" si="6"/>
        <v>190.111</v>
      </c>
      <c r="DX76" s="31">
        <f t="shared" si="6"/>
        <v>0.900145</v>
      </c>
      <c r="DY76" s="31">
        <f t="shared" si="6"/>
        <v>0.09985505</v>
      </c>
      <c r="DZ76" s="31">
        <f t="shared" si="6"/>
        <v>0</v>
      </c>
      <c r="EA76" s="31">
        <f t="shared" si="6"/>
        <v>783.435</v>
      </c>
      <c r="EB76" s="31">
        <f t="shared" si="6"/>
        <v>0.0999973</v>
      </c>
      <c r="EC76" s="31">
        <f t="shared" si="6"/>
        <v>2809.12</v>
      </c>
      <c r="ED76" s="31">
        <f t="shared" si="6"/>
        <v>1685.13</v>
      </c>
      <c r="EE76" s="31">
        <f t="shared" si="6"/>
        <v>39.5935</v>
      </c>
      <c r="EF76" s="31">
        <f t="shared" si="6"/>
        <v>42.812</v>
      </c>
      <c r="EG76" s="31">
        <f t="shared" si="6"/>
        <v>41.0935</v>
      </c>
      <c r="EH76" s="31">
        <f t="shared" si="6"/>
        <v>42.4685</v>
      </c>
      <c r="EI76" s="31">
        <f t="shared" si="6"/>
        <v>42.125</v>
      </c>
      <c r="EJ76" s="31">
        <f t="shared" si="6"/>
        <v>171.035</v>
      </c>
      <c r="EK76" s="31">
        <f t="shared" si="6"/>
        <v>18.97</v>
      </c>
      <c r="EL76" s="31">
        <f t="shared" si="6"/>
        <v>0</v>
      </c>
      <c r="EM76" s="31">
        <f t="shared" si="6"/>
        <v>146.8</v>
      </c>
      <c r="EN76" s="31">
        <f t="shared" si="6"/>
        <v>0</v>
      </c>
      <c r="EO76" s="31">
        <f t="shared" si="6"/>
        <v>783.6721885</v>
      </c>
      <c r="EP76" s="31">
        <f t="shared" si="6"/>
        <v>-18.93271365</v>
      </c>
      <c r="EQ76" s="31">
        <f t="shared" si="6"/>
        <v>-442.8469661</v>
      </c>
      <c r="ER76" s="31">
        <f t="shared" si="6"/>
        <v>2864.8784</v>
      </c>
      <c r="ES76" s="31">
        <f t="shared" si="6"/>
        <v>15</v>
      </c>
      <c r="ET76" s="31">
        <f t="shared" si="6"/>
        <v>1754886474</v>
      </c>
      <c r="EU76" s="42">
        <f t="shared" si="6"/>
        <v>0.519375</v>
      </c>
      <c r="EV76" s="31">
        <f t="shared" si="6"/>
        <v>1754886474</v>
      </c>
      <c r="EW76" s="31">
        <f t="shared" si="6"/>
        <v>1754876535</v>
      </c>
      <c r="EX76" s="31">
        <f t="shared" si="6"/>
        <v>17</v>
      </c>
      <c r="EY76" s="31">
        <f t="shared" si="6"/>
        <v>0.036</v>
      </c>
      <c r="EZ76" s="31">
        <f t="shared" si="6"/>
        <v>-0.002</v>
      </c>
      <c r="FA76" s="31">
        <f t="shared" si="6"/>
        <v>2.978</v>
      </c>
      <c r="FB76" s="31">
        <f t="shared" si="6"/>
        <v>0.297</v>
      </c>
      <c r="FC76" s="31">
        <f t="shared" si="6"/>
        <v>460</v>
      </c>
      <c r="FD76" s="31">
        <f t="shared" si="6"/>
        <v>20</v>
      </c>
      <c r="FE76" s="31">
        <f t="shared" si="6"/>
        <v>0.17</v>
      </c>
      <c r="FF76" s="31">
        <f t="shared" si="6"/>
        <v>0.06</v>
      </c>
      <c r="FG76" s="31">
        <f t="shared" si="6"/>
        <v>100</v>
      </c>
      <c r="FH76" s="31">
        <f t="shared" si="6"/>
        <v>100</v>
      </c>
      <c r="FI76" s="31">
        <f t="shared" si="6"/>
        <v>2.98</v>
      </c>
      <c r="FJ76" s="31">
        <f t="shared" si="6"/>
        <v>0.55185</v>
      </c>
      <c r="FK76" s="31">
        <f t="shared" si="6"/>
        <v>3.079925824</v>
      </c>
      <c r="FL76" s="31">
        <f t="shared" si="6"/>
        <v>-0.000225954287</v>
      </c>
      <c r="FM76" s="43">
        <f t="shared" si="6"/>
        <v>0.000000005204173011</v>
      </c>
      <c r="FN76" s="43">
        <f t="shared" si="6"/>
        <v>0</v>
      </c>
      <c r="FO76" s="31">
        <f t="shared" si="6"/>
        <v>0.5518733385</v>
      </c>
      <c r="FP76" s="31">
        <f t="shared" si="6"/>
        <v>0</v>
      </c>
      <c r="FQ76" s="31">
        <f t="shared" si="6"/>
        <v>0</v>
      </c>
      <c r="FR76" s="31">
        <f t="shared" si="6"/>
        <v>0</v>
      </c>
      <c r="FS76" s="31">
        <f t="shared" si="6"/>
        <v>1</v>
      </c>
      <c r="FT76" s="31">
        <f t="shared" si="6"/>
        <v>2266</v>
      </c>
      <c r="FU76" s="31">
        <f t="shared" si="6"/>
        <v>1</v>
      </c>
      <c r="FV76" s="31">
        <f t="shared" si="6"/>
        <v>26</v>
      </c>
      <c r="FW76" s="31">
        <f t="shared" si="6"/>
        <v>5.8</v>
      </c>
      <c r="FX76" s="31">
        <f t="shared" si="6"/>
        <v>171.45</v>
      </c>
      <c r="FY76" s="31">
        <f t="shared" si="6"/>
        <v>1.12427</v>
      </c>
      <c r="FZ76" s="31">
        <f t="shared" si="6"/>
        <v>2.56287</v>
      </c>
      <c r="GA76" s="31">
        <f t="shared" si="6"/>
        <v>1.59668</v>
      </c>
      <c r="GB76" s="31">
        <f t="shared" si="6"/>
        <v>2.31812</v>
      </c>
      <c r="GC76" s="31">
        <f t="shared" si="6"/>
        <v>1.5979</v>
      </c>
      <c r="GD76" s="31">
        <f t="shared" si="6"/>
        <v>2.34863</v>
      </c>
      <c r="GE76" s="31">
        <f t="shared" si="6"/>
        <v>42.21805</v>
      </c>
      <c r="GF76" s="31">
        <f t="shared" si="6"/>
        <v>14.88065</v>
      </c>
      <c r="GG76" s="31">
        <f t="shared" si="6"/>
        <v>18</v>
      </c>
      <c r="GH76" s="31">
        <f t="shared" si="6"/>
        <v>507.1255</v>
      </c>
      <c r="GI76" s="31">
        <f t="shared" si="6"/>
        <v>467.774</v>
      </c>
      <c r="GJ76" s="31">
        <f t="shared" si="6"/>
        <v>34.2477</v>
      </c>
      <c r="GK76" s="31">
        <f t="shared" si="6"/>
        <v>34.9944</v>
      </c>
      <c r="GL76" s="31">
        <f t="shared" si="6"/>
        <v>30.00045</v>
      </c>
      <c r="GM76" s="31">
        <f t="shared" si="6"/>
        <v>34.9817</v>
      </c>
      <c r="GN76" s="31">
        <f t="shared" si="6"/>
        <v>34.92295</v>
      </c>
      <c r="GO76" s="31">
        <f t="shared" si="6"/>
        <v>22.56495</v>
      </c>
      <c r="GP76" s="31">
        <f t="shared" si="6"/>
        <v>100</v>
      </c>
      <c r="GQ76" s="31">
        <f t="shared" si="6"/>
        <v>0</v>
      </c>
      <c r="GR76" s="31">
        <f t="shared" si="6"/>
        <v>-999.9</v>
      </c>
      <c r="GS76" s="31">
        <f t="shared" si="6"/>
        <v>460</v>
      </c>
      <c r="GT76" s="31">
        <f t="shared" si="6"/>
        <v>15.5881</v>
      </c>
      <c r="GU76" s="31">
        <f t="shared" si="6"/>
        <v>102.5255</v>
      </c>
      <c r="GV76" s="31">
        <f t="shared" si="6"/>
        <v>99.77835</v>
      </c>
    </row>
    <row r="77" ht="14.25" customHeight="1">
      <c r="A77" s="39"/>
      <c r="B77" s="39"/>
      <c r="C77" s="39"/>
      <c r="D77" s="39"/>
      <c r="E77" s="39"/>
      <c r="F77" s="39"/>
      <c r="G77" s="39"/>
      <c r="H77" s="39"/>
      <c r="I77" s="45" t="s">
        <v>94</v>
      </c>
      <c r="J77" s="31" t="s">
        <v>66</v>
      </c>
      <c r="K77" s="31">
        <f t="shared" ref="K77:GV77" si="7">AVERAGE(K16:K17)</f>
        <v>0.003304034338</v>
      </c>
      <c r="L77" s="44">
        <f t="shared" si="7"/>
        <v>3.304034338</v>
      </c>
      <c r="M77" s="44">
        <f t="shared" si="7"/>
        <v>5.060494745</v>
      </c>
      <c r="N77" s="31">
        <f t="shared" si="7"/>
        <v>452.1184928</v>
      </c>
      <c r="O77" s="44">
        <f t="shared" si="7"/>
        <v>412.2582375</v>
      </c>
      <c r="P77" s="31">
        <f t="shared" si="7"/>
        <v>41.62816723</v>
      </c>
      <c r="Q77" s="31">
        <f t="shared" si="7"/>
        <v>45.65308874</v>
      </c>
      <c r="R77" s="44">
        <f t="shared" si="7"/>
        <v>0.27419856</v>
      </c>
      <c r="S77" s="31">
        <f t="shared" si="7"/>
        <v>2.762359952</v>
      </c>
      <c r="T77" s="31">
        <f t="shared" si="7"/>
        <v>0.2598551583</v>
      </c>
      <c r="U77" s="31">
        <f t="shared" si="7"/>
        <v>0.1636353156</v>
      </c>
      <c r="V77" s="31">
        <f t="shared" si="7"/>
        <v>31.40768499</v>
      </c>
      <c r="W77" s="31">
        <f t="shared" si="7"/>
        <v>33.44643009</v>
      </c>
      <c r="X77" s="31">
        <f t="shared" si="7"/>
        <v>33.13495</v>
      </c>
      <c r="Y77" s="31">
        <f t="shared" si="7"/>
        <v>5.090545609</v>
      </c>
      <c r="Z77" s="31">
        <f t="shared" si="7"/>
        <v>71.66543155</v>
      </c>
      <c r="AA77" s="31">
        <f t="shared" si="7"/>
        <v>3.862269472</v>
      </c>
      <c r="AB77" s="31">
        <f t="shared" si="7"/>
        <v>5.389255121</v>
      </c>
      <c r="AC77" s="31">
        <f t="shared" si="7"/>
        <v>1.228276137</v>
      </c>
      <c r="AD77" s="31">
        <f t="shared" si="7"/>
        <v>-145.7079143</v>
      </c>
      <c r="AE77" s="31">
        <f t="shared" si="7"/>
        <v>151.8436225</v>
      </c>
      <c r="AF77" s="31">
        <f t="shared" si="7"/>
        <v>12.66882161</v>
      </c>
      <c r="AG77" s="31">
        <f t="shared" si="7"/>
        <v>50.21221473</v>
      </c>
      <c r="AH77" s="31">
        <f t="shared" si="7"/>
        <v>0</v>
      </c>
      <c r="AI77" s="31">
        <f t="shared" si="7"/>
        <v>0</v>
      </c>
      <c r="AJ77" s="31">
        <f t="shared" si="7"/>
        <v>1</v>
      </c>
      <c r="AK77" s="31">
        <f t="shared" si="7"/>
        <v>0</v>
      </c>
      <c r="AL77" s="31">
        <f t="shared" si="7"/>
        <v>47012.5</v>
      </c>
      <c r="AM77" s="31" t="str">
        <f t="shared" si="7"/>
        <v>#DIV/0!</v>
      </c>
      <c r="AN77" s="31">
        <f t="shared" si="7"/>
        <v>8173.37</v>
      </c>
      <c r="AO77" s="31">
        <f t="shared" si="7"/>
        <v>559.296</v>
      </c>
      <c r="AP77" s="31">
        <f t="shared" si="7"/>
        <v>2893.93</v>
      </c>
      <c r="AQ77" s="31">
        <f t="shared" si="7"/>
        <v>0.8067347863</v>
      </c>
      <c r="AR77" s="31">
        <f t="shared" si="7"/>
        <v>-2.38169763</v>
      </c>
      <c r="AS77" s="31" t="str">
        <f t="shared" si="7"/>
        <v>#DIV/0!</v>
      </c>
      <c r="AT77" s="31">
        <f t="shared" si="7"/>
        <v>8198.085</v>
      </c>
      <c r="AU77" s="31">
        <f t="shared" si="7"/>
        <v>700.2303231</v>
      </c>
      <c r="AV77" s="31">
        <f t="shared" si="7"/>
        <v>2184.075</v>
      </c>
      <c r="AW77" s="31">
        <f t="shared" si="7"/>
        <v>0.6795995865</v>
      </c>
      <c r="AX77" s="31">
        <f t="shared" si="7"/>
        <v>0.5</v>
      </c>
      <c r="AY77" s="31">
        <f t="shared" si="7"/>
        <v>160.0876575</v>
      </c>
      <c r="AZ77" s="31">
        <f t="shared" si="7"/>
        <v>5.060494745</v>
      </c>
      <c r="BA77" s="31">
        <f t="shared" si="7"/>
        <v>54.39822598</v>
      </c>
      <c r="BB77" s="31">
        <f t="shared" si="7"/>
        <v>0.04648782303</v>
      </c>
      <c r="BC77" s="31">
        <f t="shared" si="7"/>
        <v>0.3258660132</v>
      </c>
      <c r="BD77" s="31">
        <f t="shared" si="7"/>
        <v>526.1788943</v>
      </c>
      <c r="BE77" s="31" t="str">
        <f t="shared" si="7"/>
        <v>#DIV/0!</v>
      </c>
      <c r="BF77" s="31">
        <f t="shared" si="7"/>
        <v>-417.9</v>
      </c>
      <c r="BG77" s="31">
        <f t="shared" si="7"/>
        <v>-417.9</v>
      </c>
      <c r="BH77" s="31">
        <f t="shared" si="7"/>
        <v>1.190205639</v>
      </c>
      <c r="BI77" s="31">
        <f t="shared" si="7"/>
        <v>0.57205916</v>
      </c>
      <c r="BJ77" s="31">
        <f t="shared" si="7"/>
        <v>0.2151152587</v>
      </c>
      <c r="BK77" s="31">
        <f t="shared" si="7"/>
        <v>0.9139052287</v>
      </c>
      <c r="BL77" s="31">
        <f t="shared" si="7"/>
        <v>0.304054083</v>
      </c>
      <c r="BM77" s="31">
        <f t="shared" si="7"/>
        <v>-0.3342552615</v>
      </c>
      <c r="BN77" s="31">
        <f t="shared" si="7"/>
        <v>1.334255262</v>
      </c>
      <c r="BO77" s="31" t="str">
        <f t="shared" si="7"/>
        <v>#DIV/0!</v>
      </c>
      <c r="BP77" s="31" t="str">
        <f t="shared" si="7"/>
        <v>#DIV/0!</v>
      </c>
      <c r="BQ77" s="31" t="str">
        <f t="shared" si="7"/>
        <v>#DIV/0!</v>
      </c>
      <c r="BR77" s="31" t="str">
        <f t="shared" si="7"/>
        <v>#DIV/0!</v>
      </c>
      <c r="BS77" s="31" t="str">
        <f t="shared" si="7"/>
        <v>#DIV/0!</v>
      </c>
      <c r="BT77" s="31" t="str">
        <f t="shared" si="7"/>
        <v>#DIV/0!</v>
      </c>
      <c r="BU77" s="31" t="str">
        <f t="shared" si="7"/>
        <v>#DIV/0!</v>
      </c>
      <c r="BV77" s="31" t="str">
        <f t="shared" si="7"/>
        <v>#DIV/0!</v>
      </c>
      <c r="BW77" s="31" t="str">
        <f t="shared" si="7"/>
        <v>#DIV/0!</v>
      </c>
      <c r="BX77" s="31" t="str">
        <f t="shared" si="7"/>
        <v>#DIV/0!</v>
      </c>
      <c r="BY77" s="31" t="str">
        <f t="shared" si="7"/>
        <v>#DIV/0!</v>
      </c>
      <c r="BZ77" s="31" t="str">
        <f t="shared" si="7"/>
        <v>#DIV/0!</v>
      </c>
      <c r="CA77" s="31" t="str">
        <f t="shared" si="7"/>
        <v>#DIV/0!</v>
      </c>
      <c r="CB77" s="31" t="str">
        <f t="shared" si="7"/>
        <v>#DIV/0!</v>
      </c>
      <c r="CC77" s="31" t="str">
        <f t="shared" si="7"/>
        <v>#DIV/0!</v>
      </c>
      <c r="CD77" s="31" t="str">
        <f t="shared" si="7"/>
        <v>#DIV/0!</v>
      </c>
      <c r="CE77" s="31" t="str">
        <f t="shared" si="7"/>
        <v>#DIV/0!</v>
      </c>
      <c r="CF77" s="31" t="str">
        <f t="shared" si="7"/>
        <v>#DIV/0!</v>
      </c>
      <c r="CG77" s="31" t="str">
        <f t="shared" si="7"/>
        <v>#DIV/0!</v>
      </c>
      <c r="CH77" s="31" t="str">
        <f t="shared" si="7"/>
        <v>#DIV/0!</v>
      </c>
      <c r="CI77" s="31" t="str">
        <f t="shared" si="7"/>
        <v>#DIV/0!</v>
      </c>
      <c r="CJ77" s="31" t="str">
        <f t="shared" si="7"/>
        <v>#DIV/0!</v>
      </c>
      <c r="CK77" s="31" t="str">
        <f t="shared" si="7"/>
        <v>#DIV/0!</v>
      </c>
      <c r="CL77" s="31" t="str">
        <f t="shared" si="7"/>
        <v>#DIV/0!</v>
      </c>
      <c r="CM77" s="31" t="str">
        <f t="shared" si="7"/>
        <v>#DIV/0!</v>
      </c>
      <c r="CN77" s="31" t="str">
        <f t="shared" si="7"/>
        <v>#DIV/0!</v>
      </c>
      <c r="CO77" s="31" t="str">
        <f t="shared" si="7"/>
        <v>#DIV/0!</v>
      </c>
      <c r="CP77" s="31" t="str">
        <f t="shared" si="7"/>
        <v>#DIV/0!</v>
      </c>
      <c r="CQ77" s="31" t="str">
        <f t="shared" si="7"/>
        <v>#DIV/0!</v>
      </c>
      <c r="CR77" s="31" t="str">
        <f t="shared" si="7"/>
        <v>#DIV/0!</v>
      </c>
      <c r="CS77" s="31" t="str">
        <f t="shared" si="7"/>
        <v>#DIV/0!</v>
      </c>
      <c r="CT77" s="31" t="str">
        <f t="shared" si="7"/>
        <v>#DIV/0!</v>
      </c>
      <c r="CU77" s="31" t="str">
        <f t="shared" si="7"/>
        <v>#DIV/0!</v>
      </c>
      <c r="CV77" s="31" t="str">
        <f t="shared" si="7"/>
        <v>#DIV/0!</v>
      </c>
      <c r="CW77" s="31">
        <f t="shared" si="7"/>
        <v>189.9025</v>
      </c>
      <c r="CX77" s="31">
        <f t="shared" si="7"/>
        <v>160.0876575</v>
      </c>
      <c r="CY77" s="31">
        <f t="shared" si="7"/>
        <v>0.84299921</v>
      </c>
      <c r="CZ77" s="31">
        <f t="shared" si="7"/>
        <v>0.1653884754</v>
      </c>
      <c r="DA77" s="31">
        <f t="shared" si="7"/>
        <v>6</v>
      </c>
      <c r="DB77" s="31">
        <f t="shared" si="7"/>
        <v>0.5</v>
      </c>
      <c r="DC77" s="31" t="str">
        <f t="shared" si="7"/>
        <v>#DIV/0!</v>
      </c>
      <c r="DD77" s="31">
        <f t="shared" si="7"/>
        <v>2</v>
      </c>
      <c r="DE77" s="31">
        <f t="shared" si="7"/>
        <v>1754885407</v>
      </c>
      <c r="DF77" s="31">
        <f t="shared" si="7"/>
        <v>452.1185</v>
      </c>
      <c r="DG77" s="31">
        <f t="shared" si="7"/>
        <v>459.985</v>
      </c>
      <c r="DH77" s="31">
        <f t="shared" si="7"/>
        <v>38.2494</v>
      </c>
      <c r="DI77" s="31">
        <f t="shared" si="7"/>
        <v>34.4356</v>
      </c>
      <c r="DJ77" s="31">
        <f t="shared" si="7"/>
        <v>449.167</v>
      </c>
      <c r="DK77" s="31">
        <f t="shared" si="7"/>
        <v>37.69755</v>
      </c>
      <c r="DL77" s="31">
        <f t="shared" si="7"/>
        <v>499.9155</v>
      </c>
      <c r="DM77" s="31">
        <f t="shared" si="7"/>
        <v>100.876</v>
      </c>
      <c r="DN77" s="31">
        <f t="shared" si="7"/>
        <v>0.09993765</v>
      </c>
      <c r="DO77" s="31">
        <f t="shared" si="7"/>
        <v>34.15455</v>
      </c>
      <c r="DP77" s="31">
        <f t="shared" si="7"/>
        <v>33.13495</v>
      </c>
      <c r="DQ77" s="31">
        <f t="shared" si="7"/>
        <v>999.9</v>
      </c>
      <c r="DR77" s="31">
        <f t="shared" si="7"/>
        <v>0</v>
      </c>
      <c r="DS77" s="31">
        <f t="shared" si="7"/>
        <v>0</v>
      </c>
      <c r="DT77" s="31">
        <f t="shared" si="7"/>
        <v>8997.19</v>
      </c>
      <c r="DU77" s="31">
        <f t="shared" si="7"/>
        <v>0</v>
      </c>
      <c r="DV77" s="31">
        <f t="shared" si="7"/>
        <v>455.7905</v>
      </c>
      <c r="DW77" s="31">
        <f t="shared" si="7"/>
        <v>189.9025</v>
      </c>
      <c r="DX77" s="31">
        <f t="shared" si="7"/>
        <v>0.899967</v>
      </c>
      <c r="DY77" s="31">
        <f t="shared" si="7"/>
        <v>0.100033</v>
      </c>
      <c r="DZ77" s="31">
        <f t="shared" si="7"/>
        <v>0</v>
      </c>
      <c r="EA77" s="31">
        <f t="shared" si="7"/>
        <v>694.965</v>
      </c>
      <c r="EB77" s="31">
        <f t="shared" si="7"/>
        <v>0.0999973</v>
      </c>
      <c r="EC77" s="31">
        <f t="shared" si="7"/>
        <v>2515.815</v>
      </c>
      <c r="ED77" s="31">
        <f t="shared" si="7"/>
        <v>1683.18</v>
      </c>
      <c r="EE77" s="31">
        <f t="shared" si="7"/>
        <v>39.156</v>
      </c>
      <c r="EF77" s="31">
        <f t="shared" si="7"/>
        <v>42.3125</v>
      </c>
      <c r="EG77" s="31">
        <f t="shared" si="7"/>
        <v>40.6875</v>
      </c>
      <c r="EH77" s="31">
        <f t="shared" si="7"/>
        <v>41.9995</v>
      </c>
      <c r="EI77" s="31">
        <f t="shared" si="7"/>
        <v>41.7495</v>
      </c>
      <c r="EJ77" s="31">
        <f t="shared" si="7"/>
        <v>170.815</v>
      </c>
      <c r="EK77" s="31">
        <f t="shared" si="7"/>
        <v>18.985</v>
      </c>
      <c r="EL77" s="31">
        <f t="shared" si="7"/>
        <v>0</v>
      </c>
      <c r="EM77" s="31">
        <f t="shared" si="7"/>
        <v>133.5</v>
      </c>
      <c r="EN77" s="31">
        <f t="shared" si="7"/>
        <v>0</v>
      </c>
      <c r="EO77" s="31">
        <f t="shared" si="7"/>
        <v>700.2303231</v>
      </c>
      <c r="EP77" s="31">
        <f t="shared" si="7"/>
        <v>-28.48391011</v>
      </c>
      <c r="EQ77" s="31">
        <f t="shared" si="7"/>
        <v>-386.5596578</v>
      </c>
      <c r="ER77" s="31">
        <f t="shared" si="7"/>
        <v>2550.247669</v>
      </c>
      <c r="ES77" s="31">
        <f t="shared" si="7"/>
        <v>15</v>
      </c>
      <c r="ET77" s="31">
        <f t="shared" si="7"/>
        <v>1754885086</v>
      </c>
      <c r="EU77" s="42">
        <f t="shared" si="7"/>
        <v>0.5032986111</v>
      </c>
      <c r="EV77" s="31">
        <f t="shared" si="7"/>
        <v>1754885086</v>
      </c>
      <c r="EW77" s="31">
        <f t="shared" si="7"/>
        <v>1754876535</v>
      </c>
      <c r="EX77" s="31">
        <f t="shared" si="7"/>
        <v>15</v>
      </c>
      <c r="EY77" s="31">
        <f t="shared" si="7"/>
        <v>0.058</v>
      </c>
      <c r="EZ77" s="31">
        <f t="shared" si="7"/>
        <v>-0.002</v>
      </c>
      <c r="FA77" s="31">
        <f t="shared" si="7"/>
        <v>2.95</v>
      </c>
      <c r="FB77" s="31">
        <f t="shared" si="7"/>
        <v>0.297</v>
      </c>
      <c r="FC77" s="31">
        <f t="shared" si="7"/>
        <v>460</v>
      </c>
      <c r="FD77" s="31">
        <f t="shared" si="7"/>
        <v>20</v>
      </c>
      <c r="FE77" s="31">
        <f t="shared" si="7"/>
        <v>0.24</v>
      </c>
      <c r="FF77" s="31">
        <f t="shared" si="7"/>
        <v>0.06</v>
      </c>
      <c r="FG77" s="31">
        <f t="shared" si="7"/>
        <v>100</v>
      </c>
      <c r="FH77" s="31">
        <f t="shared" si="7"/>
        <v>100</v>
      </c>
      <c r="FI77" s="31">
        <f t="shared" si="7"/>
        <v>2.9515</v>
      </c>
      <c r="FJ77" s="31">
        <f t="shared" si="7"/>
        <v>0.55185</v>
      </c>
      <c r="FK77" s="31">
        <f t="shared" si="7"/>
        <v>3.051679914</v>
      </c>
      <c r="FL77" s="31">
        <f t="shared" si="7"/>
        <v>-0.000225954287</v>
      </c>
      <c r="FM77" s="43">
        <f t="shared" si="7"/>
        <v>0.000000005204173011</v>
      </c>
      <c r="FN77" s="43">
        <f t="shared" si="7"/>
        <v>0</v>
      </c>
      <c r="FO77" s="31">
        <f t="shared" si="7"/>
        <v>0.5518733385</v>
      </c>
      <c r="FP77" s="31">
        <f t="shared" si="7"/>
        <v>0</v>
      </c>
      <c r="FQ77" s="31">
        <f t="shared" si="7"/>
        <v>0</v>
      </c>
      <c r="FR77" s="31">
        <f t="shared" si="7"/>
        <v>0</v>
      </c>
      <c r="FS77" s="31">
        <f t="shared" si="7"/>
        <v>1</v>
      </c>
      <c r="FT77" s="31">
        <f t="shared" si="7"/>
        <v>2266</v>
      </c>
      <c r="FU77" s="31">
        <f t="shared" si="7"/>
        <v>1</v>
      </c>
      <c r="FV77" s="31">
        <f t="shared" si="7"/>
        <v>26</v>
      </c>
      <c r="FW77" s="31">
        <f t="shared" si="7"/>
        <v>5.35</v>
      </c>
      <c r="FX77" s="31">
        <f t="shared" si="7"/>
        <v>147.85</v>
      </c>
      <c r="FY77" s="31">
        <f t="shared" si="7"/>
        <v>1.12427</v>
      </c>
      <c r="FZ77" s="31">
        <f t="shared" si="7"/>
        <v>2.5531</v>
      </c>
      <c r="GA77" s="31">
        <f t="shared" si="7"/>
        <v>1.59607</v>
      </c>
      <c r="GB77" s="31">
        <f t="shared" si="7"/>
        <v>2.31689</v>
      </c>
      <c r="GC77" s="31">
        <f t="shared" si="7"/>
        <v>1.5979</v>
      </c>
      <c r="GD77" s="31">
        <f t="shared" si="7"/>
        <v>2.34558</v>
      </c>
      <c r="GE77" s="31">
        <f t="shared" si="7"/>
        <v>43.42635</v>
      </c>
      <c r="GF77" s="31">
        <f t="shared" si="7"/>
        <v>15.0733</v>
      </c>
      <c r="GG77" s="31">
        <f t="shared" si="7"/>
        <v>18</v>
      </c>
      <c r="GH77" s="31">
        <f t="shared" si="7"/>
        <v>507.953</v>
      </c>
      <c r="GI77" s="31">
        <f t="shared" si="7"/>
        <v>467.802</v>
      </c>
      <c r="GJ77" s="31">
        <f t="shared" si="7"/>
        <v>34.17155</v>
      </c>
      <c r="GK77" s="31">
        <f t="shared" si="7"/>
        <v>34.42735</v>
      </c>
      <c r="GL77" s="31">
        <f t="shared" si="7"/>
        <v>29.9997</v>
      </c>
      <c r="GM77" s="31">
        <f t="shared" si="7"/>
        <v>34.4888</v>
      </c>
      <c r="GN77" s="31">
        <f t="shared" si="7"/>
        <v>34.44075</v>
      </c>
      <c r="GO77" s="31">
        <f t="shared" si="7"/>
        <v>22.54935</v>
      </c>
      <c r="GP77" s="31">
        <f t="shared" si="7"/>
        <v>100</v>
      </c>
      <c r="GQ77" s="31">
        <f t="shared" si="7"/>
        <v>0</v>
      </c>
      <c r="GR77" s="31">
        <f t="shared" si="7"/>
        <v>-999.9</v>
      </c>
      <c r="GS77" s="31">
        <f t="shared" si="7"/>
        <v>460</v>
      </c>
      <c r="GT77" s="31">
        <f t="shared" si="7"/>
        <v>15.5881</v>
      </c>
      <c r="GU77" s="31">
        <f t="shared" si="7"/>
        <v>102.6405</v>
      </c>
      <c r="GV77" s="31">
        <f t="shared" si="7"/>
        <v>99.8808</v>
      </c>
    </row>
    <row r="78" ht="14.25" customHeight="1">
      <c r="A78" s="39"/>
      <c r="B78" s="39"/>
      <c r="C78" s="39"/>
      <c r="D78" s="39"/>
      <c r="E78" s="39"/>
      <c r="F78" s="39"/>
      <c r="G78" s="39"/>
      <c r="H78" s="39"/>
      <c r="I78" s="45" t="s">
        <v>94</v>
      </c>
      <c r="J78" s="31" t="s">
        <v>67</v>
      </c>
      <c r="K78" s="31">
        <f t="shared" ref="K78:GV78" si="8">AVERAGE(K18:K19)</f>
        <v>0.004589911845</v>
      </c>
      <c r="L78" s="44">
        <f t="shared" si="8"/>
        <v>4.589911845</v>
      </c>
      <c r="M78" s="44">
        <f t="shared" si="8"/>
        <v>5.237157252</v>
      </c>
      <c r="N78" s="31">
        <f t="shared" si="8"/>
        <v>451.0614926</v>
      </c>
      <c r="O78" s="44">
        <f t="shared" si="8"/>
        <v>419.6481028</v>
      </c>
      <c r="P78" s="31">
        <f t="shared" si="8"/>
        <v>42.38757683</v>
      </c>
      <c r="Q78" s="31">
        <f t="shared" si="8"/>
        <v>45.56056359</v>
      </c>
      <c r="R78" s="44">
        <f t="shared" si="8"/>
        <v>0.3881446764</v>
      </c>
      <c r="S78" s="31">
        <f t="shared" si="8"/>
        <v>2.762475969</v>
      </c>
      <c r="T78" s="31">
        <f t="shared" si="8"/>
        <v>0.3598002681</v>
      </c>
      <c r="U78" s="31">
        <f t="shared" si="8"/>
        <v>0.2272467293</v>
      </c>
      <c r="V78" s="31">
        <f t="shared" si="8"/>
        <v>31.42050673</v>
      </c>
      <c r="W78" s="31">
        <f t="shared" si="8"/>
        <v>31.34532687</v>
      </c>
      <c r="X78" s="31">
        <f t="shared" si="8"/>
        <v>31.51535</v>
      </c>
      <c r="Y78" s="31">
        <f t="shared" si="8"/>
        <v>4.647385282</v>
      </c>
      <c r="Z78" s="31">
        <f t="shared" si="8"/>
        <v>69.58723693</v>
      </c>
      <c r="AA78" s="31">
        <f t="shared" si="8"/>
        <v>3.400293936</v>
      </c>
      <c r="AB78" s="31">
        <f t="shared" si="8"/>
        <v>4.886802395</v>
      </c>
      <c r="AC78" s="31">
        <f t="shared" si="8"/>
        <v>1.247091346</v>
      </c>
      <c r="AD78" s="31">
        <f t="shared" si="8"/>
        <v>-202.4151124</v>
      </c>
      <c r="AE78" s="31">
        <f t="shared" si="8"/>
        <v>132.6468341</v>
      </c>
      <c r="AF78" s="31">
        <f t="shared" si="8"/>
        <v>10.87811019</v>
      </c>
      <c r="AG78" s="31">
        <f t="shared" si="8"/>
        <v>-27.46966137</v>
      </c>
      <c r="AH78" s="31">
        <f t="shared" si="8"/>
        <v>0</v>
      </c>
      <c r="AI78" s="31">
        <f t="shared" si="8"/>
        <v>0</v>
      </c>
      <c r="AJ78" s="31">
        <f t="shared" si="8"/>
        <v>1</v>
      </c>
      <c r="AK78" s="31">
        <f t="shared" si="8"/>
        <v>0</v>
      </c>
      <c r="AL78" s="31">
        <f t="shared" si="8"/>
        <v>47285</v>
      </c>
      <c r="AM78" s="31" t="str">
        <f t="shared" si="8"/>
        <v>#DIV/0!</v>
      </c>
      <c r="AN78" s="31">
        <f t="shared" si="8"/>
        <v>8173.37</v>
      </c>
      <c r="AO78" s="31">
        <f t="shared" si="8"/>
        <v>559.296</v>
      </c>
      <c r="AP78" s="31">
        <f t="shared" si="8"/>
        <v>2893.93</v>
      </c>
      <c r="AQ78" s="31">
        <f t="shared" si="8"/>
        <v>0.8067347863</v>
      </c>
      <c r="AR78" s="31">
        <f t="shared" si="8"/>
        <v>-2.38169763</v>
      </c>
      <c r="AS78" s="31" t="str">
        <f t="shared" si="8"/>
        <v>#DIV/0!</v>
      </c>
      <c r="AT78" s="31">
        <f t="shared" si="8"/>
        <v>8175.59</v>
      </c>
      <c r="AU78" s="31">
        <f t="shared" si="8"/>
        <v>718.9295731</v>
      </c>
      <c r="AV78" s="31">
        <f t="shared" si="8"/>
        <v>2134.37</v>
      </c>
      <c r="AW78" s="31">
        <f t="shared" si="8"/>
        <v>0.6647713773</v>
      </c>
      <c r="AX78" s="31">
        <f t="shared" si="8"/>
        <v>0.5</v>
      </c>
      <c r="AY78" s="31">
        <f t="shared" si="8"/>
        <v>160.155264</v>
      </c>
      <c r="AZ78" s="31">
        <f t="shared" si="8"/>
        <v>5.237157252</v>
      </c>
      <c r="BA78" s="31">
        <f t="shared" si="8"/>
        <v>53.23337677</v>
      </c>
      <c r="BB78" s="31">
        <f t="shared" si="8"/>
        <v>0.04757252607</v>
      </c>
      <c r="BC78" s="31">
        <f t="shared" si="8"/>
        <v>0.4056328696</v>
      </c>
      <c r="BD78" s="31">
        <f t="shared" si="8"/>
        <v>519.8053373</v>
      </c>
      <c r="BE78" s="31" t="str">
        <f t="shared" si="8"/>
        <v>#DIV/0!</v>
      </c>
      <c r="BF78" s="31">
        <f t="shared" si="8"/>
        <v>-2423.73</v>
      </c>
      <c r="BG78" s="31">
        <f t="shared" si="8"/>
        <v>-2423.73</v>
      </c>
      <c r="BH78" s="31">
        <f t="shared" si="8"/>
        <v>2.227183743</v>
      </c>
      <c r="BI78" s="31">
        <f t="shared" si="8"/>
        <v>0.3125822545</v>
      </c>
      <c r="BJ78" s="31">
        <f t="shared" si="8"/>
        <v>0.1365187894</v>
      </c>
      <c r="BK78" s="31">
        <f t="shared" si="8"/>
        <v>0.9180650507</v>
      </c>
      <c r="BL78" s="31">
        <f t="shared" si="8"/>
        <v>0.325344358</v>
      </c>
      <c r="BM78" s="31">
        <f t="shared" si="8"/>
        <v>-1.056826272</v>
      </c>
      <c r="BN78" s="31">
        <f t="shared" si="8"/>
        <v>2.056826272</v>
      </c>
      <c r="BO78" s="31" t="str">
        <f t="shared" si="8"/>
        <v>#DIV/0!</v>
      </c>
      <c r="BP78" s="31" t="str">
        <f t="shared" si="8"/>
        <v>#DIV/0!</v>
      </c>
      <c r="BQ78" s="31" t="str">
        <f t="shared" si="8"/>
        <v>#DIV/0!</v>
      </c>
      <c r="BR78" s="31" t="str">
        <f t="shared" si="8"/>
        <v>#DIV/0!</v>
      </c>
      <c r="BS78" s="31" t="str">
        <f t="shared" si="8"/>
        <v>#DIV/0!</v>
      </c>
      <c r="BT78" s="31" t="str">
        <f t="shared" si="8"/>
        <v>#DIV/0!</v>
      </c>
      <c r="BU78" s="31" t="str">
        <f t="shared" si="8"/>
        <v>#DIV/0!</v>
      </c>
      <c r="BV78" s="31" t="str">
        <f t="shared" si="8"/>
        <v>#DIV/0!</v>
      </c>
      <c r="BW78" s="31" t="str">
        <f t="shared" si="8"/>
        <v>#DIV/0!</v>
      </c>
      <c r="BX78" s="31" t="str">
        <f t="shared" si="8"/>
        <v>#DIV/0!</v>
      </c>
      <c r="BY78" s="31" t="str">
        <f t="shared" si="8"/>
        <v>#DIV/0!</v>
      </c>
      <c r="BZ78" s="31" t="str">
        <f t="shared" si="8"/>
        <v>#DIV/0!</v>
      </c>
      <c r="CA78" s="31" t="str">
        <f t="shared" si="8"/>
        <v>#DIV/0!</v>
      </c>
      <c r="CB78" s="31" t="str">
        <f t="shared" si="8"/>
        <v>#DIV/0!</v>
      </c>
      <c r="CC78" s="31" t="str">
        <f t="shared" si="8"/>
        <v>#DIV/0!</v>
      </c>
      <c r="CD78" s="31" t="str">
        <f t="shared" si="8"/>
        <v>#DIV/0!</v>
      </c>
      <c r="CE78" s="31" t="str">
        <f t="shared" si="8"/>
        <v>#DIV/0!</v>
      </c>
      <c r="CF78" s="31" t="str">
        <f t="shared" si="8"/>
        <v>#DIV/0!</v>
      </c>
      <c r="CG78" s="31" t="str">
        <f t="shared" si="8"/>
        <v>#DIV/0!</v>
      </c>
      <c r="CH78" s="31" t="str">
        <f t="shared" si="8"/>
        <v>#DIV/0!</v>
      </c>
      <c r="CI78" s="31" t="str">
        <f t="shared" si="8"/>
        <v>#DIV/0!</v>
      </c>
      <c r="CJ78" s="31" t="str">
        <f t="shared" si="8"/>
        <v>#DIV/0!</v>
      </c>
      <c r="CK78" s="31" t="str">
        <f t="shared" si="8"/>
        <v>#DIV/0!</v>
      </c>
      <c r="CL78" s="31" t="str">
        <f t="shared" si="8"/>
        <v>#DIV/0!</v>
      </c>
      <c r="CM78" s="31" t="str">
        <f t="shared" si="8"/>
        <v>#DIV/0!</v>
      </c>
      <c r="CN78" s="31" t="str">
        <f t="shared" si="8"/>
        <v>#DIV/0!</v>
      </c>
      <c r="CO78" s="31" t="str">
        <f t="shared" si="8"/>
        <v>#DIV/0!</v>
      </c>
      <c r="CP78" s="31" t="str">
        <f t="shared" si="8"/>
        <v>#DIV/0!</v>
      </c>
      <c r="CQ78" s="31" t="str">
        <f t="shared" si="8"/>
        <v>#DIV/0!</v>
      </c>
      <c r="CR78" s="31" t="str">
        <f t="shared" si="8"/>
        <v>#DIV/0!</v>
      </c>
      <c r="CS78" s="31" t="str">
        <f t="shared" si="8"/>
        <v>#DIV/0!</v>
      </c>
      <c r="CT78" s="31" t="str">
        <f t="shared" si="8"/>
        <v>#DIV/0!</v>
      </c>
      <c r="CU78" s="31" t="str">
        <f t="shared" si="8"/>
        <v>#DIV/0!</v>
      </c>
      <c r="CV78" s="31" t="str">
        <f t="shared" si="8"/>
        <v>#DIV/0!</v>
      </c>
      <c r="CW78" s="31">
        <f t="shared" si="8"/>
        <v>189.983</v>
      </c>
      <c r="CX78" s="31">
        <f t="shared" si="8"/>
        <v>160.155264</v>
      </c>
      <c r="CY78" s="31">
        <f t="shared" si="8"/>
        <v>0.8429978685</v>
      </c>
      <c r="CZ78" s="31">
        <f t="shared" si="8"/>
        <v>0.1653858862</v>
      </c>
      <c r="DA78" s="31">
        <f t="shared" si="8"/>
        <v>6</v>
      </c>
      <c r="DB78" s="31">
        <f t="shared" si="8"/>
        <v>0.5</v>
      </c>
      <c r="DC78" s="31" t="str">
        <f t="shared" si="8"/>
        <v>#DIV/0!</v>
      </c>
      <c r="DD78" s="31">
        <f t="shared" si="8"/>
        <v>2</v>
      </c>
      <c r="DE78" s="31">
        <f t="shared" si="8"/>
        <v>1754877883</v>
      </c>
      <c r="DF78" s="31">
        <f t="shared" si="8"/>
        <v>451.0615</v>
      </c>
      <c r="DG78" s="31">
        <f t="shared" si="8"/>
        <v>459.8315</v>
      </c>
      <c r="DH78" s="31">
        <f t="shared" si="8"/>
        <v>33.6638</v>
      </c>
      <c r="DI78" s="31">
        <f t="shared" si="8"/>
        <v>28.34035</v>
      </c>
      <c r="DJ78" s="31">
        <f t="shared" si="8"/>
        <v>448.761</v>
      </c>
      <c r="DK78" s="31">
        <f t="shared" si="8"/>
        <v>33.1119</v>
      </c>
      <c r="DL78" s="31">
        <f t="shared" si="8"/>
        <v>499.9265</v>
      </c>
      <c r="DM78" s="31">
        <f t="shared" si="8"/>
        <v>100.9075</v>
      </c>
      <c r="DN78" s="31">
        <f t="shared" si="8"/>
        <v>0.09993425</v>
      </c>
      <c r="DO78" s="31">
        <f t="shared" si="8"/>
        <v>32.4061</v>
      </c>
      <c r="DP78" s="31">
        <f t="shared" si="8"/>
        <v>31.51535</v>
      </c>
      <c r="DQ78" s="31">
        <f t="shared" si="8"/>
        <v>999.9</v>
      </c>
      <c r="DR78" s="31">
        <f t="shared" si="8"/>
        <v>0</v>
      </c>
      <c r="DS78" s="31">
        <f t="shared" si="8"/>
        <v>0</v>
      </c>
      <c r="DT78" s="31">
        <f t="shared" si="8"/>
        <v>8995</v>
      </c>
      <c r="DU78" s="31">
        <f t="shared" si="8"/>
        <v>0</v>
      </c>
      <c r="DV78" s="31">
        <f t="shared" si="8"/>
        <v>1341.405</v>
      </c>
      <c r="DW78" s="31">
        <f t="shared" si="8"/>
        <v>189.983</v>
      </c>
      <c r="DX78" s="31">
        <f t="shared" si="8"/>
        <v>0.90003</v>
      </c>
      <c r="DY78" s="31">
        <f t="shared" si="8"/>
        <v>0.09997025</v>
      </c>
      <c r="DZ78" s="31">
        <f t="shared" si="8"/>
        <v>0</v>
      </c>
      <c r="EA78" s="31">
        <f t="shared" si="8"/>
        <v>714.4225</v>
      </c>
      <c r="EB78" s="31">
        <f t="shared" si="8"/>
        <v>0.0999973</v>
      </c>
      <c r="EC78" s="31">
        <f t="shared" si="8"/>
        <v>3490.77</v>
      </c>
      <c r="ED78" s="31">
        <f t="shared" si="8"/>
        <v>1683.925</v>
      </c>
      <c r="EE78" s="31">
        <f t="shared" si="8"/>
        <v>38.312</v>
      </c>
      <c r="EF78" s="31">
        <f t="shared" si="8"/>
        <v>42.25</v>
      </c>
      <c r="EG78" s="31">
        <f t="shared" si="8"/>
        <v>39.937</v>
      </c>
      <c r="EH78" s="31">
        <f t="shared" si="8"/>
        <v>41.625</v>
      </c>
      <c r="EI78" s="31">
        <f t="shared" si="8"/>
        <v>40.781</v>
      </c>
      <c r="EJ78" s="31">
        <f t="shared" si="8"/>
        <v>170.9</v>
      </c>
      <c r="EK78" s="31">
        <f t="shared" si="8"/>
        <v>18.985</v>
      </c>
      <c r="EL78" s="31">
        <f t="shared" si="8"/>
        <v>0</v>
      </c>
      <c r="EM78" s="31">
        <f t="shared" si="8"/>
        <v>149.4000001</v>
      </c>
      <c r="EN78" s="31">
        <f t="shared" si="8"/>
        <v>0</v>
      </c>
      <c r="EO78" s="31">
        <f t="shared" si="8"/>
        <v>718.9295731</v>
      </c>
      <c r="EP78" s="31">
        <f t="shared" si="8"/>
        <v>-30.05393173</v>
      </c>
      <c r="EQ78" s="31">
        <f t="shared" si="8"/>
        <v>-314.5117954</v>
      </c>
      <c r="ER78" s="31">
        <f t="shared" si="8"/>
        <v>3503.033046</v>
      </c>
      <c r="ES78" s="31">
        <f t="shared" si="8"/>
        <v>15</v>
      </c>
      <c r="ET78" s="31">
        <f t="shared" si="8"/>
        <v>1754877537</v>
      </c>
      <c r="EU78" s="42">
        <f t="shared" si="8"/>
        <v>0.4159375</v>
      </c>
      <c r="EV78" s="31">
        <f t="shared" si="8"/>
        <v>1754877537</v>
      </c>
      <c r="EW78" s="31">
        <f t="shared" si="8"/>
        <v>1754876535</v>
      </c>
      <c r="EX78" s="31">
        <f t="shared" si="8"/>
        <v>3</v>
      </c>
      <c r="EY78" s="31">
        <f t="shared" si="8"/>
        <v>0.273</v>
      </c>
      <c r="EZ78" s="31">
        <f t="shared" si="8"/>
        <v>-0.002</v>
      </c>
      <c r="FA78" s="31">
        <f t="shared" si="8"/>
        <v>2.298</v>
      </c>
      <c r="FB78" s="31">
        <f t="shared" si="8"/>
        <v>0.297</v>
      </c>
      <c r="FC78" s="31">
        <f t="shared" si="8"/>
        <v>460</v>
      </c>
      <c r="FD78" s="31">
        <f t="shared" si="8"/>
        <v>20</v>
      </c>
      <c r="FE78" s="31">
        <f t="shared" si="8"/>
        <v>0.39</v>
      </c>
      <c r="FF78" s="31">
        <f t="shared" si="8"/>
        <v>0.06</v>
      </c>
      <c r="FG78" s="31">
        <f t="shared" si="8"/>
        <v>100</v>
      </c>
      <c r="FH78" s="31">
        <f t="shared" si="8"/>
        <v>100</v>
      </c>
      <c r="FI78" s="31">
        <f t="shared" si="8"/>
        <v>2.3005</v>
      </c>
      <c r="FJ78" s="31">
        <f t="shared" si="8"/>
        <v>0.5519</v>
      </c>
      <c r="FK78" s="31">
        <f t="shared" si="8"/>
        <v>2.400417723</v>
      </c>
      <c r="FL78" s="31">
        <f t="shared" si="8"/>
        <v>-0.000225954287</v>
      </c>
      <c r="FM78" s="43">
        <f t="shared" si="8"/>
        <v>0.000000005204173011</v>
      </c>
      <c r="FN78" s="43">
        <f t="shared" si="8"/>
        <v>0</v>
      </c>
      <c r="FO78" s="31">
        <f t="shared" si="8"/>
        <v>0.5518733385</v>
      </c>
      <c r="FP78" s="31">
        <f t="shared" si="8"/>
        <v>0</v>
      </c>
      <c r="FQ78" s="31">
        <f t="shared" si="8"/>
        <v>0</v>
      </c>
      <c r="FR78" s="31">
        <f t="shared" si="8"/>
        <v>0</v>
      </c>
      <c r="FS78" s="31">
        <f t="shared" si="8"/>
        <v>1</v>
      </c>
      <c r="FT78" s="31">
        <f t="shared" si="8"/>
        <v>2266</v>
      </c>
      <c r="FU78" s="31">
        <f t="shared" si="8"/>
        <v>1</v>
      </c>
      <c r="FV78" s="31">
        <f t="shared" si="8"/>
        <v>26</v>
      </c>
      <c r="FW78" s="31">
        <f t="shared" si="8"/>
        <v>5.75</v>
      </c>
      <c r="FX78" s="31">
        <f t="shared" si="8"/>
        <v>22.45</v>
      </c>
      <c r="FY78" s="31">
        <f t="shared" si="8"/>
        <v>1.10352</v>
      </c>
      <c r="FZ78" s="31">
        <f t="shared" si="8"/>
        <v>2.49634</v>
      </c>
      <c r="GA78" s="31">
        <f t="shared" si="8"/>
        <v>1.59668</v>
      </c>
      <c r="GB78" s="31">
        <f t="shared" si="8"/>
        <v>2.33521</v>
      </c>
      <c r="GC78" s="31">
        <f t="shared" si="8"/>
        <v>1.5979</v>
      </c>
      <c r="GD78" s="31">
        <f t="shared" si="8"/>
        <v>2.320555</v>
      </c>
      <c r="GE78" s="31">
        <f t="shared" si="8"/>
        <v>37.25525</v>
      </c>
      <c r="GF78" s="31">
        <f t="shared" si="8"/>
        <v>16.07145</v>
      </c>
      <c r="GG78" s="31">
        <f t="shared" si="8"/>
        <v>18</v>
      </c>
      <c r="GH78" s="31">
        <f t="shared" si="8"/>
        <v>504.2895</v>
      </c>
      <c r="GI78" s="31">
        <f t="shared" si="8"/>
        <v>514.4805</v>
      </c>
      <c r="GJ78" s="31">
        <f t="shared" si="8"/>
        <v>31.87925</v>
      </c>
      <c r="GK78" s="31">
        <f t="shared" si="8"/>
        <v>32.46945</v>
      </c>
      <c r="GL78" s="31">
        <f t="shared" si="8"/>
        <v>30.00175</v>
      </c>
      <c r="GM78" s="31">
        <f t="shared" si="8"/>
        <v>32.2532</v>
      </c>
      <c r="GN78" s="31">
        <f t="shared" si="8"/>
        <v>32.1581</v>
      </c>
      <c r="GO78" s="31">
        <f t="shared" si="8"/>
        <v>22.13605</v>
      </c>
      <c r="GP78" s="31">
        <f t="shared" si="8"/>
        <v>100</v>
      </c>
      <c r="GQ78" s="31">
        <f t="shared" si="8"/>
        <v>28.99145</v>
      </c>
      <c r="GR78" s="31">
        <f t="shared" si="8"/>
        <v>-999.9</v>
      </c>
      <c r="GS78" s="31">
        <f t="shared" si="8"/>
        <v>460</v>
      </c>
      <c r="GT78" s="31">
        <f t="shared" si="8"/>
        <v>0</v>
      </c>
      <c r="GU78" s="31">
        <f t="shared" si="8"/>
        <v>103.0825</v>
      </c>
      <c r="GV78" s="31">
        <f t="shared" si="8"/>
        <v>99.99005</v>
      </c>
    </row>
    <row r="79" ht="14.25" customHeight="1">
      <c r="A79" s="39"/>
      <c r="B79" s="39"/>
      <c r="C79" s="39"/>
      <c r="D79" s="39"/>
      <c r="E79" s="39"/>
      <c r="F79" s="39"/>
      <c r="G79" s="39"/>
      <c r="H79" s="39"/>
      <c r="I79" s="45" t="s">
        <v>111</v>
      </c>
      <c r="J79" s="31" t="s">
        <v>53</v>
      </c>
      <c r="K79" s="31">
        <f t="shared" ref="K79:GV79" si="9">AVERAGE(K20:K21)</f>
        <v>0.001620718051</v>
      </c>
      <c r="L79" s="44">
        <f t="shared" si="9"/>
        <v>1.620718051</v>
      </c>
      <c r="M79" s="44">
        <f t="shared" si="9"/>
        <v>1.391755233</v>
      </c>
      <c r="N79" s="31">
        <f t="shared" si="9"/>
        <v>457.478498</v>
      </c>
      <c r="O79" s="44">
        <f t="shared" si="9"/>
        <v>421.8282835</v>
      </c>
      <c r="P79" s="31">
        <f t="shared" si="9"/>
        <v>42.59489361</v>
      </c>
      <c r="Q79" s="31">
        <f t="shared" si="9"/>
        <v>46.19474107</v>
      </c>
      <c r="R79" s="44">
        <f t="shared" si="9"/>
        <v>0.09735408313</v>
      </c>
      <c r="S79" s="31">
        <f t="shared" si="9"/>
        <v>2.76108044</v>
      </c>
      <c r="T79" s="31">
        <f t="shared" si="9"/>
        <v>0.09539757728</v>
      </c>
      <c r="U79" s="31">
        <f t="shared" si="9"/>
        <v>0.05979585992</v>
      </c>
      <c r="V79" s="31">
        <f t="shared" si="9"/>
        <v>31.40936367</v>
      </c>
      <c r="W79" s="31">
        <f t="shared" si="9"/>
        <v>33.52561042</v>
      </c>
      <c r="X79" s="31">
        <f t="shared" si="9"/>
        <v>33.7787</v>
      </c>
      <c r="Y79" s="31">
        <f t="shared" si="9"/>
        <v>5.277412998</v>
      </c>
      <c r="Z79" s="31">
        <f t="shared" si="9"/>
        <v>68.82103823</v>
      </c>
      <c r="AA79" s="31">
        <f t="shared" si="9"/>
        <v>3.631026714</v>
      </c>
      <c r="AB79" s="31">
        <f t="shared" si="9"/>
        <v>5.276052097</v>
      </c>
      <c r="AC79" s="31">
        <f t="shared" si="9"/>
        <v>1.646386284</v>
      </c>
      <c r="AD79" s="31">
        <f t="shared" si="9"/>
        <v>-71.47366604</v>
      </c>
      <c r="AE79" s="31">
        <f t="shared" si="9"/>
        <v>-0.6885110056</v>
      </c>
      <c r="AF79" s="31">
        <f t="shared" si="9"/>
        <v>-0.0572698526</v>
      </c>
      <c r="AG79" s="31">
        <f t="shared" si="9"/>
        <v>-40.81008322</v>
      </c>
      <c r="AH79" s="31">
        <f t="shared" si="9"/>
        <v>0</v>
      </c>
      <c r="AI79" s="31">
        <f t="shared" si="9"/>
        <v>0</v>
      </c>
      <c r="AJ79" s="31">
        <f t="shared" si="9"/>
        <v>1</v>
      </c>
      <c r="AK79" s="31">
        <f t="shared" si="9"/>
        <v>0</v>
      </c>
      <c r="AL79" s="31">
        <f t="shared" si="9"/>
        <v>47036</v>
      </c>
      <c r="AM79" s="31" t="str">
        <f t="shared" si="9"/>
        <v>#DIV/0!</v>
      </c>
      <c r="AN79" s="31">
        <f t="shared" si="9"/>
        <v>8173.37</v>
      </c>
      <c r="AO79" s="31">
        <f t="shared" si="9"/>
        <v>559.296</v>
      </c>
      <c r="AP79" s="31">
        <f t="shared" si="9"/>
        <v>2893.93</v>
      </c>
      <c r="AQ79" s="31">
        <f t="shared" si="9"/>
        <v>0.8067347863</v>
      </c>
      <c r="AR79" s="31">
        <f t="shared" si="9"/>
        <v>-2.38169763</v>
      </c>
      <c r="AS79" s="31" t="str">
        <f t="shared" si="9"/>
        <v>#DIV/0!</v>
      </c>
      <c r="AT79" s="31">
        <f t="shared" si="9"/>
        <v>8202.365</v>
      </c>
      <c r="AU79" s="31">
        <f t="shared" si="9"/>
        <v>277.4236115</v>
      </c>
      <c r="AV79" s="31">
        <f t="shared" si="9"/>
        <v>682.695</v>
      </c>
      <c r="AW79" s="31">
        <f t="shared" si="9"/>
        <v>0.5932508397</v>
      </c>
      <c r="AX79" s="31">
        <f t="shared" si="9"/>
        <v>0.5</v>
      </c>
      <c r="AY79" s="31">
        <f t="shared" si="9"/>
        <v>160.096479</v>
      </c>
      <c r="AZ79" s="31">
        <f t="shared" si="9"/>
        <v>1.391755233</v>
      </c>
      <c r="BA79" s="31">
        <f t="shared" si="9"/>
        <v>47.48791723</v>
      </c>
      <c r="BB79" s="31">
        <f t="shared" si="9"/>
        <v>0.0235704894</v>
      </c>
      <c r="BC79" s="31">
        <f t="shared" si="9"/>
        <v>3.240683349</v>
      </c>
      <c r="BD79" s="31">
        <f t="shared" si="9"/>
        <v>343.9397246</v>
      </c>
      <c r="BE79" s="31" t="str">
        <f t="shared" si="9"/>
        <v>#DIV/0!</v>
      </c>
      <c r="BF79" s="31">
        <f t="shared" si="9"/>
        <v>-1400.03</v>
      </c>
      <c r="BG79" s="31">
        <f t="shared" si="9"/>
        <v>-1400.03</v>
      </c>
      <c r="BH79" s="31">
        <f t="shared" si="9"/>
        <v>3.045187313</v>
      </c>
      <c r="BI79" s="31">
        <f t="shared" si="9"/>
        <v>0.1958646956</v>
      </c>
      <c r="BJ79" s="31">
        <f t="shared" si="9"/>
        <v>0.5164453415</v>
      </c>
      <c r="BK79" s="31">
        <f t="shared" si="9"/>
        <v>3.305850911</v>
      </c>
      <c r="BL79" s="31">
        <f t="shared" si="9"/>
        <v>0.9471441776</v>
      </c>
      <c r="BM79" s="31">
        <f t="shared" si="9"/>
        <v>-0.9827078896</v>
      </c>
      <c r="BN79" s="31">
        <f t="shared" si="9"/>
        <v>1.98270789</v>
      </c>
      <c r="BO79" s="31" t="str">
        <f t="shared" si="9"/>
        <v>#DIV/0!</v>
      </c>
      <c r="BP79" s="31" t="str">
        <f t="shared" si="9"/>
        <v>#DIV/0!</v>
      </c>
      <c r="BQ79" s="31" t="str">
        <f t="shared" si="9"/>
        <v>#DIV/0!</v>
      </c>
      <c r="BR79" s="31" t="str">
        <f t="shared" si="9"/>
        <v>#DIV/0!</v>
      </c>
      <c r="BS79" s="31" t="str">
        <f t="shared" si="9"/>
        <v>#DIV/0!</v>
      </c>
      <c r="BT79" s="31" t="str">
        <f t="shared" si="9"/>
        <v>#DIV/0!</v>
      </c>
      <c r="BU79" s="31" t="str">
        <f t="shared" si="9"/>
        <v>#DIV/0!</v>
      </c>
      <c r="BV79" s="31" t="str">
        <f t="shared" si="9"/>
        <v>#DIV/0!</v>
      </c>
      <c r="BW79" s="31" t="str">
        <f t="shared" si="9"/>
        <v>#DIV/0!</v>
      </c>
      <c r="BX79" s="31" t="str">
        <f t="shared" si="9"/>
        <v>#DIV/0!</v>
      </c>
      <c r="BY79" s="31" t="str">
        <f t="shared" si="9"/>
        <v>#DIV/0!</v>
      </c>
      <c r="BZ79" s="31" t="str">
        <f t="shared" si="9"/>
        <v>#DIV/0!</v>
      </c>
      <c r="CA79" s="31" t="str">
        <f t="shared" si="9"/>
        <v>#DIV/0!</v>
      </c>
      <c r="CB79" s="31" t="str">
        <f t="shared" si="9"/>
        <v>#DIV/0!</v>
      </c>
      <c r="CC79" s="31" t="str">
        <f t="shared" si="9"/>
        <v>#DIV/0!</v>
      </c>
      <c r="CD79" s="31" t="str">
        <f t="shared" si="9"/>
        <v>#DIV/0!</v>
      </c>
      <c r="CE79" s="31" t="str">
        <f t="shared" si="9"/>
        <v>#DIV/0!</v>
      </c>
      <c r="CF79" s="31" t="str">
        <f t="shared" si="9"/>
        <v>#DIV/0!</v>
      </c>
      <c r="CG79" s="31" t="str">
        <f t="shared" si="9"/>
        <v>#DIV/0!</v>
      </c>
      <c r="CH79" s="31" t="str">
        <f t="shared" si="9"/>
        <v>#DIV/0!</v>
      </c>
      <c r="CI79" s="31" t="str">
        <f t="shared" si="9"/>
        <v>#DIV/0!</v>
      </c>
      <c r="CJ79" s="31" t="str">
        <f t="shared" si="9"/>
        <v>#DIV/0!</v>
      </c>
      <c r="CK79" s="31" t="str">
        <f t="shared" si="9"/>
        <v>#DIV/0!</v>
      </c>
      <c r="CL79" s="31" t="str">
        <f t="shared" si="9"/>
        <v>#DIV/0!</v>
      </c>
      <c r="CM79" s="31" t="str">
        <f t="shared" si="9"/>
        <v>#DIV/0!</v>
      </c>
      <c r="CN79" s="31" t="str">
        <f t="shared" si="9"/>
        <v>#DIV/0!</v>
      </c>
      <c r="CO79" s="31" t="str">
        <f t="shared" si="9"/>
        <v>#DIV/0!</v>
      </c>
      <c r="CP79" s="31" t="str">
        <f t="shared" si="9"/>
        <v>#DIV/0!</v>
      </c>
      <c r="CQ79" s="31" t="str">
        <f t="shared" si="9"/>
        <v>#DIV/0!</v>
      </c>
      <c r="CR79" s="31" t="str">
        <f t="shared" si="9"/>
        <v>#DIV/0!</v>
      </c>
      <c r="CS79" s="31" t="str">
        <f t="shared" si="9"/>
        <v>#DIV/0!</v>
      </c>
      <c r="CT79" s="31" t="str">
        <f t="shared" si="9"/>
        <v>#DIV/0!</v>
      </c>
      <c r="CU79" s="31" t="str">
        <f t="shared" si="9"/>
        <v>#DIV/0!</v>
      </c>
      <c r="CV79" s="31" t="str">
        <f t="shared" si="9"/>
        <v>#DIV/0!</v>
      </c>
      <c r="CW79" s="31">
        <f t="shared" si="9"/>
        <v>189.913</v>
      </c>
      <c r="CX79" s="31">
        <f t="shared" si="9"/>
        <v>160.096479</v>
      </c>
      <c r="CY79" s="31">
        <f t="shared" si="9"/>
        <v>0.8429990518</v>
      </c>
      <c r="CZ79" s="31">
        <f t="shared" si="9"/>
        <v>0.16538817</v>
      </c>
      <c r="DA79" s="31">
        <f t="shared" si="9"/>
        <v>6</v>
      </c>
      <c r="DB79" s="31">
        <f t="shared" si="9"/>
        <v>0.5</v>
      </c>
      <c r="DC79" s="31" t="str">
        <f t="shared" si="9"/>
        <v>#DIV/0!</v>
      </c>
      <c r="DD79" s="31">
        <f t="shared" si="9"/>
        <v>2</v>
      </c>
      <c r="DE79" s="31">
        <f t="shared" si="9"/>
        <v>1754885690</v>
      </c>
      <c r="DF79" s="31">
        <f t="shared" si="9"/>
        <v>457.4785</v>
      </c>
      <c r="DG79" s="31">
        <f t="shared" si="9"/>
        <v>460.0385</v>
      </c>
      <c r="DH79" s="31">
        <f t="shared" si="9"/>
        <v>35.959</v>
      </c>
      <c r="DI79" s="31">
        <f t="shared" si="9"/>
        <v>34.0839</v>
      </c>
      <c r="DJ79" s="31">
        <f t="shared" si="9"/>
        <v>454.5325</v>
      </c>
      <c r="DK79" s="31">
        <f t="shared" si="9"/>
        <v>35.4071</v>
      </c>
      <c r="DL79" s="31">
        <f t="shared" si="9"/>
        <v>499.962</v>
      </c>
      <c r="DM79" s="31">
        <f t="shared" si="9"/>
        <v>100.877</v>
      </c>
      <c r="DN79" s="31">
        <f t="shared" si="9"/>
        <v>0.09985705</v>
      </c>
      <c r="DO79" s="31">
        <f t="shared" si="9"/>
        <v>33.7741</v>
      </c>
      <c r="DP79" s="31">
        <f t="shared" si="9"/>
        <v>33.7787</v>
      </c>
      <c r="DQ79" s="31">
        <f t="shared" si="9"/>
        <v>999.9</v>
      </c>
      <c r="DR79" s="31">
        <f t="shared" si="9"/>
        <v>0</v>
      </c>
      <c r="DS79" s="31">
        <f t="shared" si="9"/>
        <v>0</v>
      </c>
      <c r="DT79" s="31">
        <f t="shared" si="9"/>
        <v>8990.31</v>
      </c>
      <c r="DU79" s="31">
        <f t="shared" si="9"/>
        <v>0</v>
      </c>
      <c r="DV79" s="31">
        <f t="shared" si="9"/>
        <v>1036.8695</v>
      </c>
      <c r="DW79" s="31">
        <f t="shared" si="9"/>
        <v>189.913</v>
      </c>
      <c r="DX79" s="31">
        <f t="shared" si="9"/>
        <v>0.8999755</v>
      </c>
      <c r="DY79" s="31">
        <f t="shared" si="9"/>
        <v>0.1000245</v>
      </c>
      <c r="DZ79" s="31">
        <f t="shared" si="9"/>
        <v>0</v>
      </c>
      <c r="EA79" s="31">
        <f t="shared" si="9"/>
        <v>275.4525</v>
      </c>
      <c r="EB79" s="31">
        <f t="shared" si="9"/>
        <v>0.0999973</v>
      </c>
      <c r="EC79" s="31">
        <f t="shared" si="9"/>
        <v>1307.2225</v>
      </c>
      <c r="ED79" s="31">
        <f t="shared" si="9"/>
        <v>1683.275</v>
      </c>
      <c r="EE79" s="31">
        <f t="shared" si="9"/>
        <v>38.8125</v>
      </c>
      <c r="EF79" s="31">
        <f t="shared" si="9"/>
        <v>41.9995</v>
      </c>
      <c r="EG79" s="31">
        <f t="shared" si="9"/>
        <v>40.3125</v>
      </c>
      <c r="EH79" s="31">
        <f t="shared" si="9"/>
        <v>41.7185</v>
      </c>
      <c r="EI79" s="31">
        <f t="shared" si="9"/>
        <v>41.4375</v>
      </c>
      <c r="EJ79" s="31">
        <f t="shared" si="9"/>
        <v>170.825</v>
      </c>
      <c r="EK79" s="31">
        <f t="shared" si="9"/>
        <v>18.985</v>
      </c>
      <c r="EL79" s="31">
        <f t="shared" si="9"/>
        <v>0</v>
      </c>
      <c r="EM79" s="31">
        <f t="shared" si="9"/>
        <v>140.2</v>
      </c>
      <c r="EN79" s="31">
        <f t="shared" si="9"/>
        <v>0</v>
      </c>
      <c r="EO79" s="31">
        <f t="shared" si="9"/>
        <v>277.4236115</v>
      </c>
      <c r="EP79" s="31">
        <f t="shared" si="9"/>
        <v>-2.667350399</v>
      </c>
      <c r="EQ79" s="31">
        <f t="shared" si="9"/>
        <v>-438.8629494</v>
      </c>
      <c r="ER79" s="31">
        <f t="shared" si="9"/>
        <v>1325.700346</v>
      </c>
      <c r="ES79" s="31">
        <f t="shared" si="9"/>
        <v>15</v>
      </c>
      <c r="ET79" s="31">
        <f t="shared" si="9"/>
        <v>1754885432</v>
      </c>
      <c r="EU79" s="42">
        <f t="shared" si="9"/>
        <v>0.5073148148</v>
      </c>
      <c r="EV79" s="31">
        <f t="shared" si="9"/>
        <v>1754885432</v>
      </c>
      <c r="EW79" s="31">
        <f t="shared" si="9"/>
        <v>1754876535</v>
      </c>
      <c r="EX79" s="31">
        <f t="shared" si="9"/>
        <v>15.5</v>
      </c>
      <c r="EY79" s="31">
        <f t="shared" si="9"/>
        <v>0.025</v>
      </c>
      <c r="EZ79" s="31">
        <f t="shared" si="9"/>
        <v>-0.002</v>
      </c>
      <c r="FA79" s="31">
        <f t="shared" si="9"/>
        <v>2.946</v>
      </c>
      <c r="FB79" s="31">
        <f t="shared" si="9"/>
        <v>0.297</v>
      </c>
      <c r="FC79" s="31">
        <f t="shared" si="9"/>
        <v>460</v>
      </c>
      <c r="FD79" s="31">
        <f t="shared" si="9"/>
        <v>20</v>
      </c>
      <c r="FE79" s="31">
        <f t="shared" si="9"/>
        <v>0.235</v>
      </c>
      <c r="FF79" s="31">
        <f t="shared" si="9"/>
        <v>0.06</v>
      </c>
      <c r="FG79" s="31">
        <f t="shared" si="9"/>
        <v>100</v>
      </c>
      <c r="FH79" s="31">
        <f t="shared" si="9"/>
        <v>100</v>
      </c>
      <c r="FI79" s="31">
        <f t="shared" si="9"/>
        <v>2.946</v>
      </c>
      <c r="FJ79" s="31">
        <f t="shared" si="9"/>
        <v>0.5519</v>
      </c>
      <c r="FK79" s="31">
        <f t="shared" si="9"/>
        <v>3.051679914</v>
      </c>
      <c r="FL79" s="31">
        <f t="shared" si="9"/>
        <v>-0.000225954287</v>
      </c>
      <c r="FM79" s="43">
        <f t="shared" si="9"/>
        <v>0.000000005204173011</v>
      </c>
      <c r="FN79" s="43">
        <f t="shared" si="9"/>
        <v>0</v>
      </c>
      <c r="FO79" s="31">
        <f t="shared" si="9"/>
        <v>0.5518733385</v>
      </c>
      <c r="FP79" s="31">
        <f t="shared" si="9"/>
        <v>0</v>
      </c>
      <c r="FQ79" s="31">
        <f t="shared" si="9"/>
        <v>0</v>
      </c>
      <c r="FR79" s="31">
        <f t="shared" si="9"/>
        <v>0</v>
      </c>
      <c r="FS79" s="31">
        <f t="shared" si="9"/>
        <v>1</v>
      </c>
      <c r="FT79" s="31">
        <f t="shared" si="9"/>
        <v>2266</v>
      </c>
      <c r="FU79" s="31">
        <f t="shared" si="9"/>
        <v>1</v>
      </c>
      <c r="FV79" s="31">
        <f t="shared" si="9"/>
        <v>26</v>
      </c>
      <c r="FW79" s="31">
        <f t="shared" si="9"/>
        <v>10.1</v>
      </c>
      <c r="FX79" s="31">
        <f t="shared" si="9"/>
        <v>152.6</v>
      </c>
      <c r="FY79" s="31">
        <f t="shared" si="9"/>
        <v>1.12427</v>
      </c>
      <c r="FZ79" s="31">
        <f t="shared" si="9"/>
        <v>2.55798</v>
      </c>
      <c r="GA79" s="31">
        <f t="shared" si="9"/>
        <v>1.59668</v>
      </c>
      <c r="GB79" s="31">
        <f t="shared" si="9"/>
        <v>2.31689</v>
      </c>
      <c r="GC79" s="31">
        <f t="shared" si="9"/>
        <v>1.5979</v>
      </c>
      <c r="GD79" s="31">
        <f t="shared" si="9"/>
        <v>2.37915</v>
      </c>
      <c r="GE79" s="31">
        <f t="shared" si="9"/>
        <v>43.14145</v>
      </c>
      <c r="GF79" s="31">
        <f t="shared" si="9"/>
        <v>15.03825</v>
      </c>
      <c r="GG79" s="31">
        <f t="shared" si="9"/>
        <v>18</v>
      </c>
      <c r="GH79" s="31">
        <f t="shared" si="9"/>
        <v>506.622</v>
      </c>
      <c r="GI79" s="31">
        <f t="shared" si="9"/>
        <v>468.8195</v>
      </c>
      <c r="GJ79" s="31">
        <f t="shared" si="9"/>
        <v>33.81505</v>
      </c>
      <c r="GK79" s="31">
        <f t="shared" si="9"/>
        <v>34.13065</v>
      </c>
      <c r="GL79" s="31">
        <f t="shared" si="9"/>
        <v>30</v>
      </c>
      <c r="GM79" s="31">
        <f t="shared" si="9"/>
        <v>34.2147</v>
      </c>
      <c r="GN79" s="31">
        <f t="shared" si="9"/>
        <v>34.17615</v>
      </c>
      <c r="GO79" s="31">
        <f t="shared" si="9"/>
        <v>22.54885</v>
      </c>
      <c r="GP79" s="31">
        <f t="shared" si="9"/>
        <v>100</v>
      </c>
      <c r="GQ79" s="31">
        <f t="shared" si="9"/>
        <v>0</v>
      </c>
      <c r="GR79" s="31">
        <f t="shared" si="9"/>
        <v>-999.9</v>
      </c>
      <c r="GS79" s="31">
        <f t="shared" si="9"/>
        <v>460</v>
      </c>
      <c r="GT79" s="31">
        <f t="shared" si="9"/>
        <v>15.5881</v>
      </c>
      <c r="GU79" s="31">
        <f t="shared" si="9"/>
        <v>102.6695</v>
      </c>
      <c r="GV79" s="31">
        <f t="shared" si="9"/>
        <v>99.9206</v>
      </c>
    </row>
    <row r="80" ht="14.25" customHeight="1">
      <c r="A80" s="39"/>
      <c r="B80" s="39"/>
      <c r="C80" s="39"/>
      <c r="D80" s="39"/>
      <c r="E80" s="39"/>
      <c r="F80" s="39"/>
      <c r="G80" s="39"/>
      <c r="H80" s="39"/>
      <c r="I80" s="45" t="s">
        <v>111</v>
      </c>
      <c r="J80" s="31" t="s">
        <v>57</v>
      </c>
      <c r="K80" s="31">
        <f t="shared" ref="K80:GV80" si="10">AVERAGE(K22:K23)</f>
        <v>0.003220378248</v>
      </c>
      <c r="L80" s="44">
        <f t="shared" si="10"/>
        <v>3.220378248</v>
      </c>
      <c r="M80" s="44">
        <f t="shared" si="10"/>
        <v>1.762641315</v>
      </c>
      <c r="N80" s="31">
        <f t="shared" si="10"/>
        <v>456.1069975</v>
      </c>
      <c r="O80" s="44">
        <f t="shared" si="10"/>
        <v>426.0615851</v>
      </c>
      <c r="P80" s="31">
        <f t="shared" si="10"/>
        <v>43.03675092</v>
      </c>
      <c r="Q80" s="31">
        <f t="shared" si="10"/>
        <v>46.07164587</v>
      </c>
      <c r="R80" s="44">
        <f t="shared" si="10"/>
        <v>0.1906934937</v>
      </c>
      <c r="S80" s="31">
        <f t="shared" si="10"/>
        <v>2.758996675</v>
      </c>
      <c r="T80" s="31">
        <f t="shared" si="10"/>
        <v>0.182838085</v>
      </c>
      <c r="U80" s="31">
        <f t="shared" si="10"/>
        <v>0.1149503971</v>
      </c>
      <c r="V80" s="31">
        <f t="shared" si="10"/>
        <v>31.41494968</v>
      </c>
      <c r="W80" s="31">
        <f t="shared" si="10"/>
        <v>35.16857949</v>
      </c>
      <c r="X80" s="31">
        <f t="shared" si="10"/>
        <v>35.41755</v>
      </c>
      <c r="Y80" s="31">
        <f t="shared" si="10"/>
        <v>5.780568745</v>
      </c>
      <c r="Z80" s="31">
        <f t="shared" si="10"/>
        <v>67.98736675</v>
      </c>
      <c r="AA80" s="31">
        <f t="shared" si="10"/>
        <v>4.025193942</v>
      </c>
      <c r="AB80" s="31">
        <f t="shared" si="10"/>
        <v>5.920979627</v>
      </c>
      <c r="AC80" s="31">
        <f t="shared" si="10"/>
        <v>1.755374803</v>
      </c>
      <c r="AD80" s="31">
        <f t="shared" si="10"/>
        <v>-142.0186807</v>
      </c>
      <c r="AE80" s="31">
        <f t="shared" si="10"/>
        <v>64.87641648</v>
      </c>
      <c r="AF80" s="31">
        <f t="shared" si="10"/>
        <v>5.52405685</v>
      </c>
      <c r="AG80" s="31">
        <f t="shared" si="10"/>
        <v>-40.20325771</v>
      </c>
      <c r="AH80" s="31">
        <f t="shared" si="10"/>
        <v>0</v>
      </c>
      <c r="AI80" s="31">
        <f t="shared" si="10"/>
        <v>0</v>
      </c>
      <c r="AJ80" s="31">
        <f t="shared" si="10"/>
        <v>1</v>
      </c>
      <c r="AK80" s="31">
        <f t="shared" si="10"/>
        <v>0</v>
      </c>
      <c r="AL80" s="31">
        <f t="shared" si="10"/>
        <v>46662.5</v>
      </c>
      <c r="AM80" s="31" t="str">
        <f t="shared" si="10"/>
        <v>#DIV/0!</v>
      </c>
      <c r="AN80" s="31">
        <f t="shared" si="10"/>
        <v>8173.37</v>
      </c>
      <c r="AO80" s="31">
        <f t="shared" si="10"/>
        <v>559.296</v>
      </c>
      <c r="AP80" s="31">
        <f t="shared" si="10"/>
        <v>2893.93</v>
      </c>
      <c r="AQ80" s="31">
        <f t="shared" si="10"/>
        <v>0.8067347863</v>
      </c>
      <c r="AR80" s="31">
        <f t="shared" si="10"/>
        <v>-2.38169763</v>
      </c>
      <c r="AS80" s="31" t="str">
        <f t="shared" si="10"/>
        <v>#DIV/0!</v>
      </c>
      <c r="AT80" s="31">
        <f t="shared" si="10"/>
        <v>8158.88</v>
      </c>
      <c r="AU80" s="31">
        <f t="shared" si="10"/>
        <v>330.6402</v>
      </c>
      <c r="AV80" s="31">
        <f t="shared" si="10"/>
        <v>839.865</v>
      </c>
      <c r="AW80" s="31">
        <f t="shared" si="10"/>
        <v>0.6051247752</v>
      </c>
      <c r="AX80" s="31">
        <f t="shared" si="10"/>
        <v>0.5</v>
      </c>
      <c r="AY80" s="31">
        <f t="shared" si="10"/>
        <v>160.125879</v>
      </c>
      <c r="AZ80" s="31">
        <f t="shared" si="10"/>
        <v>1.762641315</v>
      </c>
      <c r="BA80" s="31">
        <f t="shared" si="10"/>
        <v>48.44954612</v>
      </c>
      <c r="BB80" s="31">
        <f t="shared" si="10"/>
        <v>0.02588139614</v>
      </c>
      <c r="BC80" s="31">
        <f t="shared" si="10"/>
        <v>2.463512108</v>
      </c>
      <c r="BD80" s="31">
        <f t="shared" si="10"/>
        <v>379.299221</v>
      </c>
      <c r="BE80" s="31" t="str">
        <f t="shared" si="10"/>
        <v>#DIV/0!</v>
      </c>
      <c r="BF80" s="31">
        <f t="shared" si="10"/>
        <v>-454.2</v>
      </c>
      <c r="BG80" s="31">
        <f t="shared" si="10"/>
        <v>-454.2</v>
      </c>
      <c r="BH80" s="31">
        <f t="shared" si="10"/>
        <v>1.541135363</v>
      </c>
      <c r="BI80" s="31">
        <f t="shared" si="10"/>
        <v>0.3926849218</v>
      </c>
      <c r="BJ80" s="31">
        <f t="shared" si="10"/>
        <v>0.613695192</v>
      </c>
      <c r="BK80" s="31">
        <f t="shared" si="10"/>
        <v>1.862185665</v>
      </c>
      <c r="BL80" s="31">
        <f t="shared" si="10"/>
        <v>0.8798231329</v>
      </c>
      <c r="BM80" s="31">
        <f t="shared" si="10"/>
        <v>-0.5394461777</v>
      </c>
      <c r="BN80" s="31">
        <f t="shared" si="10"/>
        <v>1.539446178</v>
      </c>
      <c r="BO80" s="31" t="str">
        <f t="shared" si="10"/>
        <v>#DIV/0!</v>
      </c>
      <c r="BP80" s="31" t="str">
        <f t="shared" si="10"/>
        <v>#DIV/0!</v>
      </c>
      <c r="BQ80" s="31" t="str">
        <f t="shared" si="10"/>
        <v>#DIV/0!</v>
      </c>
      <c r="BR80" s="31" t="str">
        <f t="shared" si="10"/>
        <v>#DIV/0!</v>
      </c>
      <c r="BS80" s="31" t="str">
        <f t="shared" si="10"/>
        <v>#DIV/0!</v>
      </c>
      <c r="BT80" s="31" t="str">
        <f t="shared" si="10"/>
        <v>#DIV/0!</v>
      </c>
      <c r="BU80" s="31" t="str">
        <f t="shared" si="10"/>
        <v>#DIV/0!</v>
      </c>
      <c r="BV80" s="31" t="str">
        <f t="shared" si="10"/>
        <v>#DIV/0!</v>
      </c>
      <c r="BW80" s="31" t="str">
        <f t="shared" si="10"/>
        <v>#DIV/0!</v>
      </c>
      <c r="BX80" s="31" t="str">
        <f t="shared" si="10"/>
        <v>#DIV/0!</v>
      </c>
      <c r="BY80" s="31" t="str">
        <f t="shared" si="10"/>
        <v>#DIV/0!</v>
      </c>
      <c r="BZ80" s="31" t="str">
        <f t="shared" si="10"/>
        <v>#DIV/0!</v>
      </c>
      <c r="CA80" s="31" t="str">
        <f t="shared" si="10"/>
        <v>#DIV/0!</v>
      </c>
      <c r="CB80" s="31" t="str">
        <f t="shared" si="10"/>
        <v>#DIV/0!</v>
      </c>
      <c r="CC80" s="31" t="str">
        <f t="shared" si="10"/>
        <v>#DIV/0!</v>
      </c>
      <c r="CD80" s="31" t="str">
        <f t="shared" si="10"/>
        <v>#DIV/0!</v>
      </c>
      <c r="CE80" s="31" t="str">
        <f t="shared" si="10"/>
        <v>#DIV/0!</v>
      </c>
      <c r="CF80" s="31" t="str">
        <f t="shared" si="10"/>
        <v>#DIV/0!</v>
      </c>
      <c r="CG80" s="31" t="str">
        <f t="shared" si="10"/>
        <v>#DIV/0!</v>
      </c>
      <c r="CH80" s="31" t="str">
        <f t="shared" si="10"/>
        <v>#DIV/0!</v>
      </c>
      <c r="CI80" s="31" t="str">
        <f t="shared" si="10"/>
        <v>#DIV/0!</v>
      </c>
      <c r="CJ80" s="31" t="str">
        <f t="shared" si="10"/>
        <v>#DIV/0!</v>
      </c>
      <c r="CK80" s="31" t="str">
        <f t="shared" si="10"/>
        <v>#DIV/0!</v>
      </c>
      <c r="CL80" s="31" t="str">
        <f t="shared" si="10"/>
        <v>#DIV/0!</v>
      </c>
      <c r="CM80" s="31" t="str">
        <f t="shared" si="10"/>
        <v>#DIV/0!</v>
      </c>
      <c r="CN80" s="31" t="str">
        <f t="shared" si="10"/>
        <v>#DIV/0!</v>
      </c>
      <c r="CO80" s="31" t="str">
        <f t="shared" si="10"/>
        <v>#DIV/0!</v>
      </c>
      <c r="CP80" s="31" t="str">
        <f t="shared" si="10"/>
        <v>#DIV/0!</v>
      </c>
      <c r="CQ80" s="31" t="str">
        <f t="shared" si="10"/>
        <v>#DIV/0!</v>
      </c>
      <c r="CR80" s="31" t="str">
        <f t="shared" si="10"/>
        <v>#DIV/0!</v>
      </c>
      <c r="CS80" s="31" t="str">
        <f t="shared" si="10"/>
        <v>#DIV/0!</v>
      </c>
      <c r="CT80" s="31" t="str">
        <f t="shared" si="10"/>
        <v>#DIV/0!</v>
      </c>
      <c r="CU80" s="31" t="str">
        <f t="shared" si="10"/>
        <v>#DIV/0!</v>
      </c>
      <c r="CV80" s="31" t="str">
        <f t="shared" si="10"/>
        <v>#DIV/0!</v>
      </c>
      <c r="CW80" s="31">
        <f t="shared" si="10"/>
        <v>189.948</v>
      </c>
      <c r="CX80" s="31">
        <f t="shared" si="10"/>
        <v>160.125879</v>
      </c>
      <c r="CY80" s="31">
        <f t="shared" si="10"/>
        <v>0.8429985008</v>
      </c>
      <c r="CZ80" s="31">
        <f t="shared" si="10"/>
        <v>0.1653871065</v>
      </c>
      <c r="DA80" s="31">
        <f t="shared" si="10"/>
        <v>6</v>
      </c>
      <c r="DB80" s="31">
        <f t="shared" si="10"/>
        <v>0.5</v>
      </c>
      <c r="DC80" s="31" t="str">
        <f t="shared" si="10"/>
        <v>#DIV/0!</v>
      </c>
      <c r="DD80" s="31">
        <f t="shared" si="10"/>
        <v>2</v>
      </c>
      <c r="DE80" s="31">
        <f t="shared" si="10"/>
        <v>1754882022</v>
      </c>
      <c r="DF80" s="31">
        <f t="shared" si="10"/>
        <v>456.107</v>
      </c>
      <c r="DG80" s="31">
        <f t="shared" si="10"/>
        <v>459.9845</v>
      </c>
      <c r="DH80" s="31">
        <f t="shared" si="10"/>
        <v>39.8492</v>
      </c>
      <c r="DI80" s="31">
        <f t="shared" si="10"/>
        <v>36.1397</v>
      </c>
      <c r="DJ80" s="31">
        <f t="shared" si="10"/>
        <v>453.318</v>
      </c>
      <c r="DK80" s="31">
        <f t="shared" si="10"/>
        <v>39.29735</v>
      </c>
      <c r="DL80" s="31">
        <f t="shared" si="10"/>
        <v>499.961</v>
      </c>
      <c r="DM80" s="31">
        <f t="shared" si="10"/>
        <v>100.9105</v>
      </c>
      <c r="DN80" s="31">
        <f t="shared" si="10"/>
        <v>0.1001115</v>
      </c>
      <c r="DO80" s="31">
        <f t="shared" si="10"/>
        <v>35.85375</v>
      </c>
      <c r="DP80" s="31">
        <f t="shared" si="10"/>
        <v>35.41755</v>
      </c>
      <c r="DQ80" s="31">
        <f t="shared" si="10"/>
        <v>999.9</v>
      </c>
      <c r="DR80" s="31">
        <f t="shared" si="10"/>
        <v>0</v>
      </c>
      <c r="DS80" s="31">
        <f t="shared" si="10"/>
        <v>0</v>
      </c>
      <c r="DT80" s="31">
        <f t="shared" si="10"/>
        <v>8976.25</v>
      </c>
      <c r="DU80" s="31">
        <f t="shared" si="10"/>
        <v>0</v>
      </c>
      <c r="DV80" s="31">
        <f t="shared" si="10"/>
        <v>522.4775</v>
      </c>
      <c r="DW80" s="31">
        <f t="shared" si="10"/>
        <v>189.948</v>
      </c>
      <c r="DX80" s="31">
        <f t="shared" si="10"/>
        <v>0.9000035</v>
      </c>
      <c r="DY80" s="31">
        <f t="shared" si="10"/>
        <v>0.09999655</v>
      </c>
      <c r="DZ80" s="31">
        <f t="shared" si="10"/>
        <v>0</v>
      </c>
      <c r="EA80" s="31">
        <f t="shared" si="10"/>
        <v>328.1975</v>
      </c>
      <c r="EB80" s="31">
        <f t="shared" si="10"/>
        <v>0.0999973</v>
      </c>
      <c r="EC80" s="31">
        <f t="shared" si="10"/>
        <v>1176.05</v>
      </c>
      <c r="ED80" s="31">
        <f t="shared" si="10"/>
        <v>1683.605</v>
      </c>
      <c r="EE80" s="31">
        <f t="shared" si="10"/>
        <v>41.0625</v>
      </c>
      <c r="EF80" s="31">
        <f t="shared" si="10"/>
        <v>44.281</v>
      </c>
      <c r="EG80" s="31">
        <f t="shared" si="10"/>
        <v>42.531</v>
      </c>
      <c r="EH80" s="31">
        <f t="shared" si="10"/>
        <v>44.031</v>
      </c>
      <c r="EI80" s="31">
        <f t="shared" si="10"/>
        <v>43.656</v>
      </c>
      <c r="EJ80" s="31">
        <f t="shared" si="10"/>
        <v>170.86</v>
      </c>
      <c r="EK80" s="31">
        <f t="shared" si="10"/>
        <v>18.985</v>
      </c>
      <c r="EL80" s="31">
        <f t="shared" si="10"/>
        <v>0</v>
      </c>
      <c r="EM80" s="31">
        <f t="shared" si="10"/>
        <v>140.7</v>
      </c>
      <c r="EN80" s="31">
        <f t="shared" si="10"/>
        <v>0</v>
      </c>
      <c r="EO80" s="31">
        <f t="shared" si="10"/>
        <v>330.6402</v>
      </c>
      <c r="EP80" s="31">
        <f t="shared" si="10"/>
        <v>-29.1971153</v>
      </c>
      <c r="EQ80" s="31">
        <f t="shared" si="10"/>
        <v>-61.81000015</v>
      </c>
      <c r="ER80" s="31">
        <f t="shared" si="10"/>
        <v>1183.576</v>
      </c>
      <c r="ES80" s="31">
        <f t="shared" si="10"/>
        <v>15</v>
      </c>
      <c r="ET80" s="31">
        <f t="shared" si="10"/>
        <v>1754881970</v>
      </c>
      <c r="EU80" s="42">
        <f t="shared" si="10"/>
        <v>0.4672453704</v>
      </c>
      <c r="EV80" s="31">
        <f t="shared" si="10"/>
        <v>1754881970</v>
      </c>
      <c r="EW80" s="31">
        <f t="shared" si="10"/>
        <v>1754876535</v>
      </c>
      <c r="EX80" s="31">
        <f t="shared" si="10"/>
        <v>10</v>
      </c>
      <c r="EY80" s="31">
        <f t="shared" si="10"/>
        <v>-0.039</v>
      </c>
      <c r="EZ80" s="31">
        <f t="shared" si="10"/>
        <v>-0.002</v>
      </c>
      <c r="FA80" s="31">
        <f t="shared" si="10"/>
        <v>2.789</v>
      </c>
      <c r="FB80" s="31">
        <f t="shared" si="10"/>
        <v>0.297</v>
      </c>
      <c r="FC80" s="31">
        <f t="shared" si="10"/>
        <v>460</v>
      </c>
      <c r="FD80" s="31">
        <f t="shared" si="10"/>
        <v>20</v>
      </c>
      <c r="FE80" s="31">
        <f t="shared" si="10"/>
        <v>0.86</v>
      </c>
      <c r="FF80" s="31">
        <f t="shared" si="10"/>
        <v>0.06</v>
      </c>
      <c r="FG80" s="31">
        <f t="shared" si="10"/>
        <v>100</v>
      </c>
      <c r="FH80" s="31">
        <f t="shared" si="10"/>
        <v>100</v>
      </c>
      <c r="FI80" s="31">
        <f t="shared" si="10"/>
        <v>2.789</v>
      </c>
      <c r="FJ80" s="31">
        <f t="shared" si="10"/>
        <v>0.55185</v>
      </c>
      <c r="FK80" s="31">
        <f t="shared" si="10"/>
        <v>2.910223313</v>
      </c>
      <c r="FL80" s="31">
        <f t="shared" si="10"/>
        <v>-0.000225954287</v>
      </c>
      <c r="FM80" s="43">
        <f t="shared" si="10"/>
        <v>0.000000005204173011</v>
      </c>
      <c r="FN80" s="43">
        <f t="shared" si="10"/>
        <v>0</v>
      </c>
      <c r="FO80" s="31">
        <f t="shared" si="10"/>
        <v>0.5518733385</v>
      </c>
      <c r="FP80" s="31">
        <f t="shared" si="10"/>
        <v>0</v>
      </c>
      <c r="FQ80" s="31">
        <f t="shared" si="10"/>
        <v>0</v>
      </c>
      <c r="FR80" s="31">
        <f t="shared" si="10"/>
        <v>0</v>
      </c>
      <c r="FS80" s="31">
        <f t="shared" si="10"/>
        <v>1</v>
      </c>
      <c r="FT80" s="31">
        <f t="shared" si="10"/>
        <v>2266</v>
      </c>
      <c r="FU80" s="31">
        <f t="shared" si="10"/>
        <v>1</v>
      </c>
      <c r="FV80" s="31">
        <f t="shared" si="10"/>
        <v>26</v>
      </c>
      <c r="FW80" s="31">
        <f t="shared" si="10"/>
        <v>6.6</v>
      </c>
      <c r="FX80" s="31">
        <f t="shared" si="10"/>
        <v>91.4</v>
      </c>
      <c r="FY80" s="31">
        <f t="shared" si="10"/>
        <v>1.12183</v>
      </c>
      <c r="FZ80" s="31">
        <f t="shared" si="10"/>
        <v>2.55798</v>
      </c>
      <c r="GA80" s="31">
        <f t="shared" si="10"/>
        <v>1.59607</v>
      </c>
      <c r="GB80" s="31">
        <f t="shared" si="10"/>
        <v>2.31567</v>
      </c>
      <c r="GC80" s="31">
        <f t="shared" si="10"/>
        <v>1.5979</v>
      </c>
      <c r="GD80" s="31">
        <f t="shared" si="10"/>
        <v>2.335815</v>
      </c>
      <c r="GE80" s="31">
        <f t="shared" si="10"/>
        <v>44.4457</v>
      </c>
      <c r="GF80" s="31">
        <f t="shared" si="10"/>
        <v>15.5286</v>
      </c>
      <c r="GG80" s="31">
        <f t="shared" si="10"/>
        <v>18</v>
      </c>
      <c r="GH80" s="31">
        <f t="shared" si="10"/>
        <v>507.911</v>
      </c>
      <c r="GI80" s="31">
        <f t="shared" si="10"/>
        <v>462.0575</v>
      </c>
      <c r="GJ80" s="31">
        <f t="shared" si="10"/>
        <v>35.88295</v>
      </c>
      <c r="GK80" s="31">
        <f t="shared" si="10"/>
        <v>36.1141</v>
      </c>
      <c r="GL80" s="31">
        <f t="shared" si="10"/>
        <v>30.001</v>
      </c>
      <c r="GM80" s="31">
        <f t="shared" si="10"/>
        <v>36.0655</v>
      </c>
      <c r="GN80" s="31">
        <f t="shared" si="10"/>
        <v>36.00045</v>
      </c>
      <c r="GO80" s="31">
        <f t="shared" si="10"/>
        <v>22.5141</v>
      </c>
      <c r="GP80" s="31">
        <f t="shared" si="10"/>
        <v>100</v>
      </c>
      <c r="GQ80" s="31">
        <f t="shared" si="10"/>
        <v>0</v>
      </c>
      <c r="GR80" s="31">
        <f t="shared" si="10"/>
        <v>-999.9</v>
      </c>
      <c r="GS80" s="31">
        <f t="shared" si="10"/>
        <v>460</v>
      </c>
      <c r="GT80" s="31">
        <f t="shared" si="10"/>
        <v>0</v>
      </c>
      <c r="GU80" s="31">
        <f t="shared" si="10"/>
        <v>102.4845</v>
      </c>
      <c r="GV80" s="31">
        <f t="shared" si="10"/>
        <v>99.56195</v>
      </c>
    </row>
    <row r="81" ht="14.25" customHeight="1">
      <c r="A81" s="39"/>
      <c r="B81" s="39"/>
      <c r="C81" s="39"/>
      <c r="D81" s="39"/>
      <c r="E81" s="39"/>
      <c r="F81" s="39"/>
      <c r="G81" s="39"/>
      <c r="H81" s="39"/>
      <c r="I81" s="45" t="s">
        <v>111</v>
      </c>
      <c r="J81" s="31" t="s">
        <v>59</v>
      </c>
      <c r="K81" s="31">
        <f t="shared" ref="K81:GV81" si="11">AVERAGE(K24:K25)</f>
        <v>0.00303234158</v>
      </c>
      <c r="L81" s="44">
        <f t="shared" si="11"/>
        <v>3.03234158</v>
      </c>
      <c r="M81" s="44">
        <f t="shared" si="11"/>
        <v>2.02518442</v>
      </c>
      <c r="N81" s="31">
        <f t="shared" si="11"/>
        <v>455.8929971</v>
      </c>
      <c r="O81" s="44">
        <f t="shared" si="11"/>
        <v>422.2468407</v>
      </c>
      <c r="P81" s="31">
        <f t="shared" si="11"/>
        <v>42.65785514</v>
      </c>
      <c r="Q81" s="31">
        <f t="shared" si="11"/>
        <v>46.05700764</v>
      </c>
      <c r="R81" s="44">
        <f t="shared" si="11"/>
        <v>0.201154863</v>
      </c>
      <c r="S81" s="31">
        <f t="shared" si="11"/>
        <v>2.758773615</v>
      </c>
      <c r="T81" s="31">
        <f t="shared" si="11"/>
        <v>0.1889911694</v>
      </c>
      <c r="U81" s="31">
        <f t="shared" si="11"/>
        <v>0.1191454625</v>
      </c>
      <c r="V81" s="31">
        <f t="shared" si="11"/>
        <v>31.41706666</v>
      </c>
      <c r="W81" s="31">
        <f t="shared" si="11"/>
        <v>35.56810886</v>
      </c>
      <c r="X81" s="31">
        <f t="shared" si="11"/>
        <v>35.71965</v>
      </c>
      <c r="Y81" s="31">
        <f t="shared" si="11"/>
        <v>5.880491137</v>
      </c>
      <c r="Z81" s="31">
        <f t="shared" si="11"/>
        <v>66.32640558</v>
      </c>
      <c r="AA81" s="31">
        <f t="shared" si="11"/>
        <v>4.001988235</v>
      </c>
      <c r="AB81" s="31">
        <f t="shared" si="11"/>
        <v>6.035079128</v>
      </c>
      <c r="AC81" s="31">
        <f t="shared" si="11"/>
        <v>1.878502902</v>
      </c>
      <c r="AD81" s="31">
        <f t="shared" si="11"/>
        <v>-133.7262637</v>
      </c>
      <c r="AE81" s="31">
        <f t="shared" si="11"/>
        <v>71.71990942</v>
      </c>
      <c r="AF81" s="31">
        <f t="shared" si="11"/>
        <v>6.092466494</v>
      </c>
      <c r="AG81" s="31">
        <f t="shared" si="11"/>
        <v>-24.4968211</v>
      </c>
      <c r="AH81" s="31">
        <f t="shared" si="11"/>
        <v>0</v>
      </c>
      <c r="AI81" s="31">
        <f t="shared" si="11"/>
        <v>0</v>
      </c>
      <c r="AJ81" s="31">
        <f t="shared" si="11"/>
        <v>1</v>
      </c>
      <c r="AK81" s="31">
        <f t="shared" si="11"/>
        <v>0</v>
      </c>
      <c r="AL81" s="31">
        <f t="shared" si="11"/>
        <v>46604</v>
      </c>
      <c r="AM81" s="31" t="str">
        <f t="shared" si="11"/>
        <v>#DIV/0!</v>
      </c>
      <c r="AN81" s="31">
        <f t="shared" si="11"/>
        <v>8173.37</v>
      </c>
      <c r="AO81" s="31">
        <f t="shared" si="11"/>
        <v>559.296</v>
      </c>
      <c r="AP81" s="31">
        <f t="shared" si="11"/>
        <v>2893.93</v>
      </c>
      <c r="AQ81" s="31">
        <f t="shared" si="11"/>
        <v>0.8067347863</v>
      </c>
      <c r="AR81" s="31">
        <f t="shared" si="11"/>
        <v>-2.38169763</v>
      </c>
      <c r="AS81" s="31" t="str">
        <f t="shared" si="11"/>
        <v>#DIV/0!</v>
      </c>
      <c r="AT81" s="31">
        <f t="shared" si="11"/>
        <v>8156.915</v>
      </c>
      <c r="AU81" s="31">
        <f t="shared" si="11"/>
        <v>517.0673923</v>
      </c>
      <c r="AV81" s="31">
        <f t="shared" si="11"/>
        <v>1475.01</v>
      </c>
      <c r="AW81" s="31">
        <f t="shared" si="11"/>
        <v>0.6444199347</v>
      </c>
      <c r="AX81" s="31">
        <f t="shared" si="11"/>
        <v>0.5</v>
      </c>
      <c r="AY81" s="31">
        <f t="shared" si="11"/>
        <v>160.1371995</v>
      </c>
      <c r="AZ81" s="31">
        <f t="shared" si="11"/>
        <v>2.02518442</v>
      </c>
      <c r="BA81" s="31">
        <f t="shared" si="11"/>
        <v>51.59811462</v>
      </c>
      <c r="BB81" s="31">
        <f t="shared" si="11"/>
        <v>0.027516498</v>
      </c>
      <c r="BC81" s="31">
        <f t="shared" si="11"/>
        <v>1.429387431</v>
      </c>
      <c r="BD81" s="31">
        <f t="shared" si="11"/>
        <v>449.9501043</v>
      </c>
      <c r="BE81" s="31" t="str">
        <f t="shared" si="11"/>
        <v>#DIV/0!</v>
      </c>
      <c r="BF81" s="31">
        <f t="shared" si="11"/>
        <v>-636.57</v>
      </c>
      <c r="BG81" s="31">
        <f t="shared" si="11"/>
        <v>-636.57</v>
      </c>
      <c r="BH81" s="31">
        <f t="shared" si="11"/>
        <v>1.536558338</v>
      </c>
      <c r="BI81" s="31">
        <f t="shared" si="11"/>
        <v>0.4310124045</v>
      </c>
      <c r="BJ81" s="31">
        <f t="shared" si="11"/>
        <v>0.4015982839</v>
      </c>
      <c r="BK81" s="31">
        <f t="shared" si="11"/>
        <v>1.420478162</v>
      </c>
      <c r="BL81" s="31">
        <f t="shared" si="11"/>
        <v>0.6077697832</v>
      </c>
      <c r="BM81" s="31">
        <f t="shared" si="11"/>
        <v>-0.5950614617</v>
      </c>
      <c r="BN81" s="31">
        <f t="shared" si="11"/>
        <v>1.595061462</v>
      </c>
      <c r="BO81" s="31" t="str">
        <f t="shared" si="11"/>
        <v>#DIV/0!</v>
      </c>
      <c r="BP81" s="31" t="str">
        <f t="shared" si="11"/>
        <v>#DIV/0!</v>
      </c>
      <c r="BQ81" s="31" t="str">
        <f t="shared" si="11"/>
        <v>#DIV/0!</v>
      </c>
      <c r="BR81" s="31" t="str">
        <f t="shared" si="11"/>
        <v>#DIV/0!</v>
      </c>
      <c r="BS81" s="31" t="str">
        <f t="shared" si="11"/>
        <v>#DIV/0!</v>
      </c>
      <c r="BT81" s="31" t="str">
        <f t="shared" si="11"/>
        <v>#DIV/0!</v>
      </c>
      <c r="BU81" s="31" t="str">
        <f t="shared" si="11"/>
        <v>#DIV/0!</v>
      </c>
      <c r="BV81" s="31" t="str">
        <f t="shared" si="11"/>
        <v>#DIV/0!</v>
      </c>
      <c r="BW81" s="31" t="str">
        <f t="shared" si="11"/>
        <v>#DIV/0!</v>
      </c>
      <c r="BX81" s="31" t="str">
        <f t="shared" si="11"/>
        <v>#DIV/0!</v>
      </c>
      <c r="BY81" s="31" t="str">
        <f t="shared" si="11"/>
        <v>#DIV/0!</v>
      </c>
      <c r="BZ81" s="31" t="str">
        <f t="shared" si="11"/>
        <v>#DIV/0!</v>
      </c>
      <c r="CA81" s="31" t="str">
        <f t="shared" si="11"/>
        <v>#DIV/0!</v>
      </c>
      <c r="CB81" s="31" t="str">
        <f t="shared" si="11"/>
        <v>#DIV/0!</v>
      </c>
      <c r="CC81" s="31" t="str">
        <f t="shared" si="11"/>
        <v>#DIV/0!</v>
      </c>
      <c r="CD81" s="31" t="str">
        <f t="shared" si="11"/>
        <v>#DIV/0!</v>
      </c>
      <c r="CE81" s="31" t="str">
        <f t="shared" si="11"/>
        <v>#DIV/0!</v>
      </c>
      <c r="CF81" s="31" t="str">
        <f t="shared" si="11"/>
        <v>#DIV/0!</v>
      </c>
      <c r="CG81" s="31" t="str">
        <f t="shared" si="11"/>
        <v>#DIV/0!</v>
      </c>
      <c r="CH81" s="31" t="str">
        <f t="shared" si="11"/>
        <v>#DIV/0!</v>
      </c>
      <c r="CI81" s="31" t="str">
        <f t="shared" si="11"/>
        <v>#DIV/0!</v>
      </c>
      <c r="CJ81" s="31" t="str">
        <f t="shared" si="11"/>
        <v>#DIV/0!</v>
      </c>
      <c r="CK81" s="31" t="str">
        <f t="shared" si="11"/>
        <v>#DIV/0!</v>
      </c>
      <c r="CL81" s="31" t="str">
        <f t="shared" si="11"/>
        <v>#DIV/0!</v>
      </c>
      <c r="CM81" s="31" t="str">
        <f t="shared" si="11"/>
        <v>#DIV/0!</v>
      </c>
      <c r="CN81" s="31" t="str">
        <f t="shared" si="11"/>
        <v>#DIV/0!</v>
      </c>
      <c r="CO81" s="31" t="str">
        <f t="shared" si="11"/>
        <v>#DIV/0!</v>
      </c>
      <c r="CP81" s="31" t="str">
        <f t="shared" si="11"/>
        <v>#DIV/0!</v>
      </c>
      <c r="CQ81" s="31" t="str">
        <f t="shared" si="11"/>
        <v>#DIV/0!</v>
      </c>
      <c r="CR81" s="31" t="str">
        <f t="shared" si="11"/>
        <v>#DIV/0!</v>
      </c>
      <c r="CS81" s="31" t="str">
        <f t="shared" si="11"/>
        <v>#DIV/0!</v>
      </c>
      <c r="CT81" s="31" t="str">
        <f t="shared" si="11"/>
        <v>#DIV/0!</v>
      </c>
      <c r="CU81" s="31" t="str">
        <f t="shared" si="11"/>
        <v>#DIV/0!</v>
      </c>
      <c r="CV81" s="31" t="str">
        <f t="shared" si="11"/>
        <v>#DIV/0!</v>
      </c>
      <c r="CW81" s="31">
        <f t="shared" si="11"/>
        <v>189.9615</v>
      </c>
      <c r="CX81" s="31">
        <f t="shared" si="11"/>
        <v>160.1371995</v>
      </c>
      <c r="CY81" s="31">
        <f t="shared" si="11"/>
        <v>0.8429981851</v>
      </c>
      <c r="CZ81" s="31">
        <f t="shared" si="11"/>
        <v>0.1653864972</v>
      </c>
      <c r="DA81" s="31">
        <f t="shared" si="11"/>
        <v>6</v>
      </c>
      <c r="DB81" s="31">
        <f t="shared" si="11"/>
        <v>0.5</v>
      </c>
      <c r="DC81" s="31" t="str">
        <f t="shared" si="11"/>
        <v>#DIV/0!</v>
      </c>
      <c r="DD81" s="31">
        <f t="shared" si="11"/>
        <v>2</v>
      </c>
      <c r="DE81" s="31">
        <f t="shared" si="11"/>
        <v>1754881464</v>
      </c>
      <c r="DF81" s="31">
        <f t="shared" si="11"/>
        <v>455.893</v>
      </c>
      <c r="DG81" s="31">
        <f t="shared" si="11"/>
        <v>459.9755</v>
      </c>
      <c r="DH81" s="31">
        <f t="shared" si="11"/>
        <v>39.61355</v>
      </c>
      <c r="DI81" s="31">
        <f t="shared" si="11"/>
        <v>36.1246</v>
      </c>
      <c r="DJ81" s="31">
        <f t="shared" si="11"/>
        <v>453.0645</v>
      </c>
      <c r="DK81" s="31">
        <f t="shared" si="11"/>
        <v>39.06165</v>
      </c>
      <c r="DL81" s="31">
        <f t="shared" si="11"/>
        <v>500.008</v>
      </c>
      <c r="DM81" s="31">
        <f t="shared" si="11"/>
        <v>100.9255</v>
      </c>
      <c r="DN81" s="31">
        <f t="shared" si="11"/>
        <v>0.1004</v>
      </c>
      <c r="DO81" s="31">
        <f t="shared" si="11"/>
        <v>36.20095</v>
      </c>
      <c r="DP81" s="31">
        <f t="shared" si="11"/>
        <v>35.71965</v>
      </c>
      <c r="DQ81" s="31">
        <f t="shared" si="11"/>
        <v>999.9</v>
      </c>
      <c r="DR81" s="31">
        <f t="shared" si="11"/>
        <v>0</v>
      </c>
      <c r="DS81" s="31">
        <f t="shared" si="11"/>
        <v>0</v>
      </c>
      <c r="DT81" s="31">
        <f t="shared" si="11"/>
        <v>8973.75</v>
      </c>
      <c r="DU81" s="31">
        <f t="shared" si="11"/>
        <v>0</v>
      </c>
      <c r="DV81" s="31">
        <f t="shared" si="11"/>
        <v>1026.2125</v>
      </c>
      <c r="DW81" s="31">
        <f t="shared" si="11"/>
        <v>189.9615</v>
      </c>
      <c r="DX81" s="31">
        <f t="shared" si="11"/>
        <v>0.900025</v>
      </c>
      <c r="DY81" s="31">
        <f t="shared" si="11"/>
        <v>0.09997505</v>
      </c>
      <c r="DZ81" s="31">
        <f t="shared" si="11"/>
        <v>0</v>
      </c>
      <c r="EA81" s="31">
        <f t="shared" si="11"/>
        <v>513.8725</v>
      </c>
      <c r="EB81" s="31">
        <f t="shared" si="11"/>
        <v>0.0999973</v>
      </c>
      <c r="EC81" s="31">
        <f t="shared" si="11"/>
        <v>2448.2</v>
      </c>
      <c r="ED81" s="31">
        <f t="shared" si="11"/>
        <v>1683.73</v>
      </c>
      <c r="EE81" s="31">
        <f t="shared" si="11"/>
        <v>41.3125</v>
      </c>
      <c r="EF81" s="31">
        <f t="shared" si="11"/>
        <v>44.9375</v>
      </c>
      <c r="EG81" s="31">
        <f t="shared" si="11"/>
        <v>42.906</v>
      </c>
      <c r="EH81" s="31">
        <f t="shared" si="11"/>
        <v>44.531</v>
      </c>
      <c r="EI81" s="31">
        <f t="shared" si="11"/>
        <v>43.9995</v>
      </c>
      <c r="EJ81" s="31">
        <f t="shared" si="11"/>
        <v>170.88</v>
      </c>
      <c r="EK81" s="31">
        <f t="shared" si="11"/>
        <v>18.985</v>
      </c>
      <c r="EL81" s="31">
        <f t="shared" si="11"/>
        <v>0</v>
      </c>
      <c r="EM81" s="31">
        <f t="shared" si="11"/>
        <v>133</v>
      </c>
      <c r="EN81" s="31">
        <f t="shared" si="11"/>
        <v>0</v>
      </c>
      <c r="EO81" s="31">
        <f t="shared" si="11"/>
        <v>517.0673923</v>
      </c>
      <c r="EP81" s="31">
        <f t="shared" si="11"/>
        <v>-12.77450861</v>
      </c>
      <c r="EQ81" s="31">
        <f t="shared" si="11"/>
        <v>-867.2529916</v>
      </c>
      <c r="ER81" s="31">
        <f t="shared" si="11"/>
        <v>2490.159746</v>
      </c>
      <c r="ES81" s="31">
        <f t="shared" si="11"/>
        <v>15</v>
      </c>
      <c r="ET81" s="31">
        <f t="shared" si="11"/>
        <v>1754881279</v>
      </c>
      <c r="EU81" s="42">
        <f t="shared" si="11"/>
        <v>0.4592476852</v>
      </c>
      <c r="EV81" s="31">
        <f t="shared" si="11"/>
        <v>1754881279</v>
      </c>
      <c r="EW81" s="31">
        <f t="shared" si="11"/>
        <v>1754876535</v>
      </c>
      <c r="EX81" s="31">
        <f t="shared" si="11"/>
        <v>9</v>
      </c>
      <c r="EY81" s="31">
        <f t="shared" si="11"/>
        <v>0.098</v>
      </c>
      <c r="EZ81" s="31">
        <f t="shared" si="11"/>
        <v>-0.002</v>
      </c>
      <c r="FA81" s="31">
        <f t="shared" si="11"/>
        <v>2.828</v>
      </c>
      <c r="FB81" s="31">
        <f t="shared" si="11"/>
        <v>0.297</v>
      </c>
      <c r="FC81" s="31">
        <f t="shared" si="11"/>
        <v>460</v>
      </c>
      <c r="FD81" s="31">
        <f t="shared" si="11"/>
        <v>20</v>
      </c>
      <c r="FE81" s="31">
        <f t="shared" si="11"/>
        <v>0.56</v>
      </c>
      <c r="FF81" s="31">
        <f t="shared" si="11"/>
        <v>0.06</v>
      </c>
      <c r="FG81" s="31">
        <f t="shared" si="11"/>
        <v>100</v>
      </c>
      <c r="FH81" s="31">
        <f t="shared" si="11"/>
        <v>100</v>
      </c>
      <c r="FI81" s="31">
        <f t="shared" si="11"/>
        <v>2.8285</v>
      </c>
      <c r="FJ81" s="31">
        <f t="shared" si="11"/>
        <v>0.5519</v>
      </c>
      <c r="FK81" s="31">
        <f t="shared" si="11"/>
        <v>2.929735077</v>
      </c>
      <c r="FL81" s="31">
        <f t="shared" si="11"/>
        <v>-0.000225954287</v>
      </c>
      <c r="FM81" s="43">
        <f t="shared" si="11"/>
        <v>0.000000005204173011</v>
      </c>
      <c r="FN81" s="43">
        <f t="shared" si="11"/>
        <v>0</v>
      </c>
      <c r="FO81" s="31">
        <f t="shared" si="11"/>
        <v>0.5518733385</v>
      </c>
      <c r="FP81" s="31">
        <f t="shared" si="11"/>
        <v>0</v>
      </c>
      <c r="FQ81" s="31">
        <f t="shared" si="11"/>
        <v>0</v>
      </c>
      <c r="FR81" s="31">
        <f t="shared" si="11"/>
        <v>0</v>
      </c>
      <c r="FS81" s="31">
        <f t="shared" si="11"/>
        <v>1</v>
      </c>
      <c r="FT81" s="31">
        <f t="shared" si="11"/>
        <v>2266</v>
      </c>
      <c r="FU81" s="31">
        <f t="shared" si="11"/>
        <v>1</v>
      </c>
      <c r="FV81" s="31">
        <f t="shared" si="11"/>
        <v>26</v>
      </c>
      <c r="FW81" s="31">
        <f t="shared" si="11"/>
        <v>3.05</v>
      </c>
      <c r="FX81" s="31">
        <f t="shared" si="11"/>
        <v>82.15</v>
      </c>
      <c r="FY81" s="31">
        <f t="shared" si="11"/>
        <v>1.12061</v>
      </c>
      <c r="FZ81" s="31">
        <f t="shared" si="11"/>
        <v>2.5531</v>
      </c>
      <c r="GA81" s="31">
        <f t="shared" si="11"/>
        <v>1.59668</v>
      </c>
      <c r="GB81" s="31">
        <f t="shared" si="11"/>
        <v>2.31689</v>
      </c>
      <c r="GC81" s="31">
        <f t="shared" si="11"/>
        <v>1.5979</v>
      </c>
      <c r="GD81" s="31">
        <f t="shared" si="11"/>
        <v>2.35413</v>
      </c>
      <c r="GE81" s="31">
        <f t="shared" si="11"/>
        <v>44.15395</v>
      </c>
      <c r="GF81" s="31">
        <f t="shared" si="11"/>
        <v>15.6118</v>
      </c>
      <c r="GG81" s="31">
        <f t="shared" si="11"/>
        <v>18</v>
      </c>
      <c r="GH81" s="31">
        <f t="shared" si="11"/>
        <v>506.9235</v>
      </c>
      <c r="GI81" s="31">
        <f t="shared" si="11"/>
        <v>467.434</v>
      </c>
      <c r="GJ81" s="31">
        <f t="shared" si="11"/>
        <v>36.0898</v>
      </c>
      <c r="GK81" s="31">
        <f t="shared" si="11"/>
        <v>35.85225</v>
      </c>
      <c r="GL81" s="31">
        <f t="shared" si="11"/>
        <v>29.99995</v>
      </c>
      <c r="GM81" s="31">
        <f t="shared" si="11"/>
        <v>35.7917</v>
      </c>
      <c r="GN81" s="31">
        <f t="shared" si="11"/>
        <v>35.71595</v>
      </c>
      <c r="GO81" s="31">
        <f t="shared" si="11"/>
        <v>22.48455</v>
      </c>
      <c r="GP81" s="31">
        <f t="shared" si="11"/>
        <v>100</v>
      </c>
      <c r="GQ81" s="31">
        <f t="shared" si="11"/>
        <v>0</v>
      </c>
      <c r="GR81" s="31">
        <f t="shared" si="11"/>
        <v>-999.9</v>
      </c>
      <c r="GS81" s="31">
        <f t="shared" si="11"/>
        <v>460</v>
      </c>
      <c r="GT81" s="31">
        <f t="shared" si="11"/>
        <v>0</v>
      </c>
      <c r="GU81" s="31">
        <f t="shared" si="11"/>
        <v>102.5455</v>
      </c>
      <c r="GV81" s="31">
        <f t="shared" si="11"/>
        <v>99.61875</v>
      </c>
    </row>
    <row r="82" ht="14.25" customHeight="1">
      <c r="A82" s="39"/>
      <c r="B82" s="39"/>
      <c r="C82" s="39"/>
      <c r="D82" s="39"/>
      <c r="E82" s="39"/>
      <c r="F82" s="39"/>
      <c r="G82" s="39"/>
      <c r="H82" s="39"/>
      <c r="I82" s="45" t="s">
        <v>111</v>
      </c>
      <c r="J82" s="31" t="s">
        <v>61</v>
      </c>
      <c r="K82" s="31">
        <f t="shared" ref="K82:GV82" si="12">AVERAGE(K26:K27)</f>
        <v>0.003862677294</v>
      </c>
      <c r="L82" s="44">
        <f t="shared" si="12"/>
        <v>3.862677294</v>
      </c>
      <c r="M82" s="44">
        <f t="shared" si="12"/>
        <v>3.768398135</v>
      </c>
      <c r="N82" s="31">
        <f t="shared" si="12"/>
        <v>453.3669947</v>
      </c>
      <c r="O82" s="44">
        <f t="shared" si="12"/>
        <v>416.2348951</v>
      </c>
      <c r="P82" s="31">
        <f t="shared" si="12"/>
        <v>42.03600632</v>
      </c>
      <c r="Q82" s="31">
        <f t="shared" si="12"/>
        <v>45.78601738</v>
      </c>
      <c r="R82" s="44">
        <f t="shared" si="12"/>
        <v>0.2445778456</v>
      </c>
      <c r="S82" s="31">
        <f t="shared" si="12"/>
        <v>2.76625331</v>
      </c>
      <c r="T82" s="31">
        <f t="shared" si="12"/>
        <v>0.2331677329</v>
      </c>
      <c r="U82" s="31">
        <f t="shared" si="12"/>
        <v>0.1467106185</v>
      </c>
      <c r="V82" s="31">
        <f t="shared" si="12"/>
        <v>31.44140778</v>
      </c>
      <c r="W82" s="31">
        <f t="shared" si="12"/>
        <v>34.80524102</v>
      </c>
      <c r="X82" s="31">
        <f t="shared" si="12"/>
        <v>34.51725</v>
      </c>
      <c r="Y82" s="31">
        <f t="shared" si="12"/>
        <v>5.499172218</v>
      </c>
      <c r="Z82" s="31">
        <f t="shared" si="12"/>
        <v>66.63103297</v>
      </c>
      <c r="AA82" s="31">
        <f t="shared" si="12"/>
        <v>3.904112994</v>
      </c>
      <c r="AB82" s="31">
        <f t="shared" si="12"/>
        <v>5.859315376</v>
      </c>
      <c r="AC82" s="31">
        <f t="shared" si="12"/>
        <v>1.595059224</v>
      </c>
      <c r="AD82" s="31">
        <f t="shared" si="12"/>
        <v>-170.3440686</v>
      </c>
      <c r="AE82" s="31">
        <f t="shared" si="12"/>
        <v>170.9845538</v>
      </c>
      <c r="AF82" s="31">
        <f t="shared" si="12"/>
        <v>14.44688819</v>
      </c>
      <c r="AG82" s="31">
        <f t="shared" si="12"/>
        <v>46.52878116</v>
      </c>
      <c r="AH82" s="31">
        <f t="shared" si="12"/>
        <v>0</v>
      </c>
      <c r="AI82" s="31">
        <f t="shared" si="12"/>
        <v>0</v>
      </c>
      <c r="AJ82" s="31">
        <f t="shared" si="12"/>
        <v>1</v>
      </c>
      <c r="AK82" s="31">
        <f t="shared" si="12"/>
        <v>0</v>
      </c>
      <c r="AL82" s="31">
        <f t="shared" si="12"/>
        <v>46889</v>
      </c>
      <c r="AM82" s="31" t="str">
        <f t="shared" si="12"/>
        <v>#DIV/0!</v>
      </c>
      <c r="AN82" s="31">
        <f t="shared" si="12"/>
        <v>8173.37</v>
      </c>
      <c r="AO82" s="31">
        <f t="shared" si="12"/>
        <v>559.296</v>
      </c>
      <c r="AP82" s="31">
        <f t="shared" si="12"/>
        <v>2893.93</v>
      </c>
      <c r="AQ82" s="31">
        <f t="shared" si="12"/>
        <v>0.8067347863</v>
      </c>
      <c r="AR82" s="31">
        <f t="shared" si="12"/>
        <v>-2.38169763</v>
      </c>
      <c r="AS82" s="31" t="str">
        <f t="shared" si="12"/>
        <v>#DIV/0!</v>
      </c>
      <c r="AT82" s="31">
        <f t="shared" si="12"/>
        <v>8186.09</v>
      </c>
      <c r="AU82" s="31">
        <f t="shared" si="12"/>
        <v>628.4257692</v>
      </c>
      <c r="AV82" s="31">
        <f t="shared" si="12"/>
        <v>1894.73</v>
      </c>
      <c r="AW82" s="31">
        <f t="shared" si="12"/>
        <v>0.6679592535</v>
      </c>
      <c r="AX82" s="31">
        <f t="shared" si="12"/>
        <v>0.5</v>
      </c>
      <c r="AY82" s="31">
        <f t="shared" si="12"/>
        <v>160.263786</v>
      </c>
      <c r="AZ82" s="31">
        <f t="shared" si="12"/>
        <v>3.768398135</v>
      </c>
      <c r="BA82" s="31">
        <f t="shared" si="12"/>
        <v>53.52484784</v>
      </c>
      <c r="BB82" s="31">
        <f t="shared" si="12"/>
        <v>0.03837483383</v>
      </c>
      <c r="BC82" s="31">
        <f t="shared" si="12"/>
        <v>0.5287821077</v>
      </c>
      <c r="BD82" s="31">
        <f t="shared" si="12"/>
        <v>507.4722354</v>
      </c>
      <c r="BE82" s="31" t="str">
        <f t="shared" si="12"/>
        <v>#DIV/0!</v>
      </c>
      <c r="BF82" s="31">
        <f t="shared" si="12"/>
        <v>-1076.37</v>
      </c>
      <c r="BG82" s="31">
        <f t="shared" si="12"/>
        <v>-1076.37</v>
      </c>
      <c r="BH82" s="31">
        <f t="shared" si="12"/>
        <v>1.562044578</v>
      </c>
      <c r="BI82" s="31">
        <f t="shared" si="12"/>
        <v>0.4335949701</v>
      </c>
      <c r="BJ82" s="31">
        <f t="shared" si="12"/>
        <v>0.2558591894</v>
      </c>
      <c r="BK82" s="31">
        <f t="shared" si="12"/>
        <v>0.9480139761</v>
      </c>
      <c r="BL82" s="31">
        <f t="shared" si="12"/>
        <v>0.4279899976</v>
      </c>
      <c r="BM82" s="31">
        <f t="shared" si="12"/>
        <v>-0.7133087707</v>
      </c>
      <c r="BN82" s="31">
        <f t="shared" si="12"/>
        <v>1.713308771</v>
      </c>
      <c r="BO82" s="31" t="str">
        <f t="shared" si="12"/>
        <v>#DIV/0!</v>
      </c>
      <c r="BP82" s="31" t="str">
        <f t="shared" si="12"/>
        <v>#DIV/0!</v>
      </c>
      <c r="BQ82" s="31" t="str">
        <f t="shared" si="12"/>
        <v>#DIV/0!</v>
      </c>
      <c r="BR82" s="31" t="str">
        <f t="shared" si="12"/>
        <v>#DIV/0!</v>
      </c>
      <c r="BS82" s="31" t="str">
        <f t="shared" si="12"/>
        <v>#DIV/0!</v>
      </c>
      <c r="BT82" s="31" t="str">
        <f t="shared" si="12"/>
        <v>#DIV/0!</v>
      </c>
      <c r="BU82" s="31" t="str">
        <f t="shared" si="12"/>
        <v>#DIV/0!</v>
      </c>
      <c r="BV82" s="31" t="str">
        <f t="shared" si="12"/>
        <v>#DIV/0!</v>
      </c>
      <c r="BW82" s="31" t="str">
        <f t="shared" si="12"/>
        <v>#DIV/0!</v>
      </c>
      <c r="BX82" s="31" t="str">
        <f t="shared" si="12"/>
        <v>#DIV/0!</v>
      </c>
      <c r="BY82" s="31" t="str">
        <f t="shared" si="12"/>
        <v>#DIV/0!</v>
      </c>
      <c r="BZ82" s="31" t="str">
        <f t="shared" si="12"/>
        <v>#DIV/0!</v>
      </c>
      <c r="CA82" s="31" t="str">
        <f t="shared" si="12"/>
        <v>#DIV/0!</v>
      </c>
      <c r="CB82" s="31" t="str">
        <f t="shared" si="12"/>
        <v>#DIV/0!</v>
      </c>
      <c r="CC82" s="31" t="str">
        <f t="shared" si="12"/>
        <v>#DIV/0!</v>
      </c>
      <c r="CD82" s="31" t="str">
        <f t="shared" si="12"/>
        <v>#DIV/0!</v>
      </c>
      <c r="CE82" s="31" t="str">
        <f t="shared" si="12"/>
        <v>#DIV/0!</v>
      </c>
      <c r="CF82" s="31" t="str">
        <f t="shared" si="12"/>
        <v>#DIV/0!</v>
      </c>
      <c r="CG82" s="31" t="str">
        <f t="shared" si="12"/>
        <v>#DIV/0!</v>
      </c>
      <c r="CH82" s="31" t="str">
        <f t="shared" si="12"/>
        <v>#DIV/0!</v>
      </c>
      <c r="CI82" s="31" t="str">
        <f t="shared" si="12"/>
        <v>#DIV/0!</v>
      </c>
      <c r="CJ82" s="31" t="str">
        <f t="shared" si="12"/>
        <v>#DIV/0!</v>
      </c>
      <c r="CK82" s="31" t="str">
        <f t="shared" si="12"/>
        <v>#DIV/0!</v>
      </c>
      <c r="CL82" s="31" t="str">
        <f t="shared" si="12"/>
        <v>#DIV/0!</v>
      </c>
      <c r="CM82" s="31" t="str">
        <f t="shared" si="12"/>
        <v>#DIV/0!</v>
      </c>
      <c r="CN82" s="31" t="str">
        <f t="shared" si="12"/>
        <v>#DIV/0!</v>
      </c>
      <c r="CO82" s="31" t="str">
        <f t="shared" si="12"/>
        <v>#DIV/0!</v>
      </c>
      <c r="CP82" s="31" t="str">
        <f t="shared" si="12"/>
        <v>#DIV/0!</v>
      </c>
      <c r="CQ82" s="31" t="str">
        <f t="shared" si="12"/>
        <v>#DIV/0!</v>
      </c>
      <c r="CR82" s="31" t="str">
        <f t="shared" si="12"/>
        <v>#DIV/0!</v>
      </c>
      <c r="CS82" s="31" t="str">
        <f t="shared" si="12"/>
        <v>#DIV/0!</v>
      </c>
      <c r="CT82" s="31" t="str">
        <f t="shared" si="12"/>
        <v>#DIV/0!</v>
      </c>
      <c r="CU82" s="31" t="str">
        <f t="shared" si="12"/>
        <v>#DIV/0!</v>
      </c>
      <c r="CV82" s="31" t="str">
        <f t="shared" si="12"/>
        <v>#DIV/0!</v>
      </c>
      <c r="CW82" s="31">
        <f t="shared" si="12"/>
        <v>190.112</v>
      </c>
      <c r="CX82" s="31">
        <f t="shared" si="12"/>
        <v>160.263786</v>
      </c>
      <c r="CY82" s="31">
        <f t="shared" si="12"/>
        <v>0.8429966862</v>
      </c>
      <c r="CZ82" s="31">
        <f t="shared" si="12"/>
        <v>0.1653836043</v>
      </c>
      <c r="DA82" s="31">
        <f t="shared" si="12"/>
        <v>6</v>
      </c>
      <c r="DB82" s="31">
        <f t="shared" si="12"/>
        <v>0.5</v>
      </c>
      <c r="DC82" s="31" t="str">
        <f t="shared" si="12"/>
        <v>#DIV/0!</v>
      </c>
      <c r="DD82" s="31">
        <f t="shared" si="12"/>
        <v>2</v>
      </c>
      <c r="DE82" s="31">
        <f t="shared" si="12"/>
        <v>1754882894</v>
      </c>
      <c r="DF82" s="31">
        <f t="shared" si="12"/>
        <v>453.367</v>
      </c>
      <c r="DG82" s="31">
        <f t="shared" si="12"/>
        <v>459.9905</v>
      </c>
      <c r="DH82" s="31">
        <f t="shared" si="12"/>
        <v>38.658</v>
      </c>
      <c r="DI82" s="31">
        <f t="shared" si="12"/>
        <v>34.202</v>
      </c>
      <c r="DJ82" s="31">
        <f t="shared" si="12"/>
        <v>450.536</v>
      </c>
      <c r="DK82" s="31">
        <f t="shared" si="12"/>
        <v>38.10615</v>
      </c>
      <c r="DL82" s="31">
        <f t="shared" si="12"/>
        <v>500.0025</v>
      </c>
      <c r="DM82" s="31">
        <f t="shared" si="12"/>
        <v>100.891</v>
      </c>
      <c r="DN82" s="31">
        <f t="shared" si="12"/>
        <v>0.10006915</v>
      </c>
      <c r="DO82" s="31">
        <f t="shared" si="12"/>
        <v>35.6637</v>
      </c>
      <c r="DP82" s="31">
        <f t="shared" si="12"/>
        <v>34.51725</v>
      </c>
      <c r="DQ82" s="31">
        <f t="shared" si="12"/>
        <v>999.9</v>
      </c>
      <c r="DR82" s="31">
        <f t="shared" si="12"/>
        <v>0</v>
      </c>
      <c r="DS82" s="31">
        <f t="shared" si="12"/>
        <v>0</v>
      </c>
      <c r="DT82" s="31">
        <f t="shared" si="12"/>
        <v>9016.565</v>
      </c>
      <c r="DU82" s="31">
        <f t="shared" si="12"/>
        <v>0</v>
      </c>
      <c r="DV82" s="31">
        <f t="shared" si="12"/>
        <v>934.3865</v>
      </c>
      <c r="DW82" s="31">
        <f t="shared" si="12"/>
        <v>190.112</v>
      </c>
      <c r="DX82" s="31">
        <f t="shared" si="12"/>
        <v>0.900038</v>
      </c>
      <c r="DY82" s="31">
        <f t="shared" si="12"/>
        <v>0.09996205</v>
      </c>
      <c r="DZ82" s="31">
        <f t="shared" si="12"/>
        <v>0</v>
      </c>
      <c r="EA82" s="31">
        <f t="shared" si="12"/>
        <v>627.6525</v>
      </c>
      <c r="EB82" s="31">
        <f t="shared" si="12"/>
        <v>0.0999973</v>
      </c>
      <c r="EC82" s="31">
        <f t="shared" si="12"/>
        <v>2891.635</v>
      </c>
      <c r="ED82" s="31">
        <f t="shared" si="12"/>
        <v>1685.075</v>
      </c>
      <c r="EE82" s="31">
        <f t="shared" si="12"/>
        <v>40.4685</v>
      </c>
      <c r="EF82" s="31">
        <f t="shared" si="12"/>
        <v>44.2185</v>
      </c>
      <c r="EG82" s="31">
        <f t="shared" si="12"/>
        <v>41.9995</v>
      </c>
      <c r="EH82" s="31">
        <f t="shared" si="12"/>
        <v>43.75</v>
      </c>
      <c r="EI82" s="31">
        <f t="shared" si="12"/>
        <v>43.156</v>
      </c>
      <c r="EJ82" s="31">
        <f t="shared" si="12"/>
        <v>171.02</v>
      </c>
      <c r="EK82" s="31">
        <f t="shared" si="12"/>
        <v>18.99</v>
      </c>
      <c r="EL82" s="31">
        <f t="shared" si="12"/>
        <v>0</v>
      </c>
      <c r="EM82" s="31">
        <f t="shared" si="12"/>
        <v>139.3000001</v>
      </c>
      <c r="EN82" s="31">
        <f t="shared" si="12"/>
        <v>0</v>
      </c>
      <c r="EO82" s="31">
        <f t="shared" si="12"/>
        <v>628.4257692</v>
      </c>
      <c r="EP82" s="31">
        <f t="shared" si="12"/>
        <v>-23.06758545</v>
      </c>
      <c r="EQ82" s="31">
        <f t="shared" si="12"/>
        <v>6.699658599</v>
      </c>
      <c r="ER82" s="31">
        <f t="shared" si="12"/>
        <v>2921.182723</v>
      </c>
      <c r="ES82" s="31">
        <f t="shared" si="12"/>
        <v>15</v>
      </c>
      <c r="ET82" s="31">
        <f t="shared" si="12"/>
        <v>1754882632</v>
      </c>
      <c r="EU82" s="42">
        <f t="shared" si="12"/>
        <v>0.4749016204</v>
      </c>
      <c r="EV82" s="31">
        <f t="shared" si="12"/>
        <v>1754882632</v>
      </c>
      <c r="EW82" s="31">
        <f t="shared" si="12"/>
        <v>1754876535</v>
      </c>
      <c r="EX82" s="31">
        <f t="shared" si="12"/>
        <v>11.5</v>
      </c>
      <c r="EY82" s="31">
        <f t="shared" si="12"/>
        <v>0.052</v>
      </c>
      <c r="EZ82" s="31">
        <f t="shared" si="12"/>
        <v>-0.002</v>
      </c>
      <c r="FA82" s="31">
        <f t="shared" si="12"/>
        <v>2.83</v>
      </c>
      <c r="FB82" s="31">
        <f t="shared" si="12"/>
        <v>0.297</v>
      </c>
      <c r="FC82" s="31">
        <f t="shared" si="12"/>
        <v>460</v>
      </c>
      <c r="FD82" s="31">
        <f t="shared" si="12"/>
        <v>20</v>
      </c>
      <c r="FE82" s="31">
        <f t="shared" si="12"/>
        <v>0.245</v>
      </c>
      <c r="FF82" s="31">
        <f t="shared" si="12"/>
        <v>0.06</v>
      </c>
      <c r="FG82" s="31">
        <f t="shared" si="12"/>
        <v>100</v>
      </c>
      <c r="FH82" s="31">
        <f t="shared" si="12"/>
        <v>100</v>
      </c>
      <c r="FI82" s="31">
        <f t="shared" si="12"/>
        <v>2.831</v>
      </c>
      <c r="FJ82" s="31">
        <f t="shared" si="12"/>
        <v>0.55185</v>
      </c>
      <c r="FK82" s="31">
        <f t="shared" si="12"/>
        <v>2.870614184</v>
      </c>
      <c r="FL82" s="31">
        <f t="shared" si="12"/>
        <v>-0.000225954287</v>
      </c>
      <c r="FM82" s="43">
        <f t="shared" si="12"/>
        <v>0.000000005204173011</v>
      </c>
      <c r="FN82" s="43">
        <f t="shared" si="12"/>
        <v>0</v>
      </c>
      <c r="FO82" s="31">
        <f t="shared" si="12"/>
        <v>0.5518733385</v>
      </c>
      <c r="FP82" s="31">
        <f t="shared" si="12"/>
        <v>0</v>
      </c>
      <c r="FQ82" s="31">
        <f t="shared" si="12"/>
        <v>0</v>
      </c>
      <c r="FR82" s="31">
        <f t="shared" si="12"/>
        <v>0</v>
      </c>
      <c r="FS82" s="31">
        <f t="shared" si="12"/>
        <v>1</v>
      </c>
      <c r="FT82" s="31">
        <f t="shared" si="12"/>
        <v>2266</v>
      </c>
      <c r="FU82" s="31">
        <f t="shared" si="12"/>
        <v>1</v>
      </c>
      <c r="FV82" s="31">
        <f t="shared" si="12"/>
        <v>26</v>
      </c>
      <c r="FW82" s="31">
        <f t="shared" si="12"/>
        <v>10.15</v>
      </c>
      <c r="FX82" s="31">
        <f t="shared" si="12"/>
        <v>105.95</v>
      </c>
      <c r="FY82" s="31">
        <f t="shared" si="12"/>
        <v>1.12488</v>
      </c>
      <c r="FZ82" s="31">
        <f t="shared" si="12"/>
        <v>2.55615</v>
      </c>
      <c r="GA82" s="31">
        <f t="shared" si="12"/>
        <v>1.59668</v>
      </c>
      <c r="GB82" s="31">
        <f t="shared" si="12"/>
        <v>2.31689</v>
      </c>
      <c r="GC82" s="31">
        <f t="shared" si="12"/>
        <v>1.5979</v>
      </c>
      <c r="GD82" s="31">
        <f t="shared" si="12"/>
        <v>2.37061</v>
      </c>
      <c r="GE82" s="31">
        <f t="shared" si="12"/>
        <v>43.52185</v>
      </c>
      <c r="GF82" s="31">
        <f t="shared" si="12"/>
        <v>15.4148</v>
      </c>
      <c r="GG82" s="31">
        <f t="shared" si="12"/>
        <v>18</v>
      </c>
      <c r="GH82" s="31">
        <f t="shared" si="12"/>
        <v>508.6635</v>
      </c>
      <c r="GI82" s="31">
        <f t="shared" si="12"/>
        <v>463.8645</v>
      </c>
      <c r="GJ82" s="31">
        <f t="shared" si="12"/>
        <v>35.7351</v>
      </c>
      <c r="GK82" s="31">
        <f t="shared" si="12"/>
        <v>36.0804</v>
      </c>
      <c r="GL82" s="31">
        <f t="shared" si="12"/>
        <v>29.9997</v>
      </c>
      <c r="GM82" s="31">
        <f t="shared" si="12"/>
        <v>36.07665</v>
      </c>
      <c r="GN82" s="31">
        <f t="shared" si="12"/>
        <v>36.012</v>
      </c>
      <c r="GO82" s="31">
        <f t="shared" si="12"/>
        <v>22.5719</v>
      </c>
      <c r="GP82" s="31">
        <f t="shared" si="12"/>
        <v>100</v>
      </c>
      <c r="GQ82" s="31">
        <f t="shared" si="12"/>
        <v>0</v>
      </c>
      <c r="GR82" s="31">
        <f t="shared" si="12"/>
        <v>-999.9</v>
      </c>
      <c r="GS82" s="31">
        <f t="shared" si="12"/>
        <v>460</v>
      </c>
      <c r="GT82" s="31">
        <f t="shared" si="12"/>
        <v>0</v>
      </c>
      <c r="GU82" s="31">
        <f t="shared" si="12"/>
        <v>102.487</v>
      </c>
      <c r="GV82" s="31">
        <f t="shared" si="12"/>
        <v>99.6039</v>
      </c>
    </row>
    <row r="83" ht="14.25" customHeight="1">
      <c r="A83" s="39"/>
      <c r="B83" s="39"/>
      <c r="C83" s="39"/>
      <c r="D83" s="39"/>
      <c r="E83" s="39"/>
      <c r="F83" s="39"/>
      <c r="G83" s="39"/>
      <c r="H83" s="39"/>
      <c r="I83" s="45" t="s">
        <v>111</v>
      </c>
      <c r="J83" s="31" t="s">
        <v>62</v>
      </c>
      <c r="K83" s="31">
        <f t="shared" ref="K83:GV83" si="13">AVERAGE(K28:K29)</f>
        <v>0.002640867709</v>
      </c>
      <c r="L83" s="44">
        <f t="shared" si="13"/>
        <v>2.640867709</v>
      </c>
      <c r="M83" s="44">
        <f t="shared" si="13"/>
        <v>1.706246593</v>
      </c>
      <c r="N83" s="31">
        <f t="shared" si="13"/>
        <v>456.5444976</v>
      </c>
      <c r="O83" s="44">
        <f t="shared" si="13"/>
        <v>426.1874968</v>
      </c>
      <c r="P83" s="31">
        <f t="shared" si="13"/>
        <v>43.03595307</v>
      </c>
      <c r="Q83" s="31">
        <f t="shared" si="13"/>
        <v>46.10136356</v>
      </c>
      <c r="R83" s="44">
        <f t="shared" si="13"/>
        <v>0.2089299925</v>
      </c>
      <c r="S83" s="31">
        <f t="shared" si="13"/>
        <v>2.758573842</v>
      </c>
      <c r="T83" s="31">
        <f t="shared" si="13"/>
        <v>0.1982960742</v>
      </c>
      <c r="U83" s="31">
        <f t="shared" si="13"/>
        <v>0.1248400263</v>
      </c>
      <c r="V83" s="31">
        <f t="shared" si="13"/>
        <v>31.41838975</v>
      </c>
      <c r="W83" s="31">
        <f t="shared" si="13"/>
        <v>33.62894807</v>
      </c>
      <c r="X83" s="31">
        <f t="shared" si="13"/>
        <v>33.40245</v>
      </c>
      <c r="Y83" s="31">
        <f t="shared" si="13"/>
        <v>5.171779182</v>
      </c>
      <c r="Z83" s="31">
        <f t="shared" si="13"/>
        <v>68.75047587</v>
      </c>
      <c r="AA83" s="31">
        <f t="shared" si="13"/>
        <v>3.705027649</v>
      </c>
      <c r="AB83" s="31">
        <f t="shared" si="13"/>
        <v>5.389736062</v>
      </c>
      <c r="AC83" s="31">
        <f t="shared" si="13"/>
        <v>1.466751533</v>
      </c>
      <c r="AD83" s="31">
        <f t="shared" si="13"/>
        <v>-116.462266</v>
      </c>
      <c r="AE83" s="31">
        <f t="shared" si="13"/>
        <v>112.2799317</v>
      </c>
      <c r="AF83" s="31">
        <f t="shared" si="13"/>
        <v>9.3398323</v>
      </c>
      <c r="AG83" s="31">
        <f t="shared" si="13"/>
        <v>36.57588773</v>
      </c>
      <c r="AH83" s="31">
        <f t="shared" si="13"/>
        <v>0</v>
      </c>
      <c r="AI83" s="31">
        <f t="shared" si="13"/>
        <v>0</v>
      </c>
      <c r="AJ83" s="31">
        <f t="shared" si="13"/>
        <v>1</v>
      </c>
      <c r="AK83" s="31">
        <f t="shared" si="13"/>
        <v>0</v>
      </c>
      <c r="AL83" s="31">
        <f t="shared" si="13"/>
        <v>46909</v>
      </c>
      <c r="AM83" s="31" t="str">
        <f t="shared" si="13"/>
        <v>#DIV/0!</v>
      </c>
      <c r="AN83" s="31">
        <f t="shared" si="13"/>
        <v>8173.37</v>
      </c>
      <c r="AO83" s="31">
        <f t="shared" si="13"/>
        <v>559.296</v>
      </c>
      <c r="AP83" s="31">
        <f t="shared" si="13"/>
        <v>2893.93</v>
      </c>
      <c r="AQ83" s="31">
        <f t="shared" si="13"/>
        <v>0.8067347863</v>
      </c>
      <c r="AR83" s="31">
        <f t="shared" si="13"/>
        <v>-2.38169763</v>
      </c>
      <c r="AS83" s="31" t="str">
        <f t="shared" si="13"/>
        <v>#DIV/0!</v>
      </c>
      <c r="AT83" s="31">
        <f t="shared" si="13"/>
        <v>8141.255</v>
      </c>
      <c r="AU83" s="31">
        <f t="shared" si="13"/>
        <v>342.3182692</v>
      </c>
      <c r="AV83" s="31">
        <f t="shared" si="13"/>
        <v>1009.69</v>
      </c>
      <c r="AW83" s="31">
        <f t="shared" si="13"/>
        <v>0.6623742999</v>
      </c>
      <c r="AX83" s="31">
        <f t="shared" si="13"/>
        <v>0.5</v>
      </c>
      <c r="AY83" s="31">
        <f t="shared" si="13"/>
        <v>160.1439435</v>
      </c>
      <c r="AZ83" s="31">
        <f t="shared" si="13"/>
        <v>1.706246593</v>
      </c>
      <c r="BA83" s="31">
        <f t="shared" si="13"/>
        <v>53.03691397</v>
      </c>
      <c r="BB83" s="31">
        <f t="shared" si="13"/>
        <v>0.02552561835</v>
      </c>
      <c r="BC83" s="31">
        <f t="shared" si="13"/>
        <v>1.986026615</v>
      </c>
      <c r="BD83" s="31">
        <f t="shared" si="13"/>
        <v>407.0067863</v>
      </c>
      <c r="BE83" s="31" t="str">
        <f t="shared" si="13"/>
        <v>#DIV/0!</v>
      </c>
      <c r="BF83" s="31">
        <f t="shared" si="13"/>
        <v>-386.435</v>
      </c>
      <c r="BG83" s="31">
        <f t="shared" si="13"/>
        <v>-386.435</v>
      </c>
      <c r="BH83" s="31">
        <f t="shared" si="13"/>
        <v>1.41077213</v>
      </c>
      <c r="BI83" s="31">
        <f t="shared" si="13"/>
        <v>0.4736811594</v>
      </c>
      <c r="BJ83" s="31">
        <f t="shared" si="13"/>
        <v>0.5734854297</v>
      </c>
      <c r="BK83" s="31">
        <f t="shared" si="13"/>
        <v>1.697696636</v>
      </c>
      <c r="BL83" s="31">
        <f t="shared" si="13"/>
        <v>0.8070815383</v>
      </c>
      <c r="BM83" s="31">
        <f t="shared" si="13"/>
        <v>-0.5621480347</v>
      </c>
      <c r="BN83" s="31">
        <f t="shared" si="13"/>
        <v>1.562148035</v>
      </c>
      <c r="BO83" s="31" t="str">
        <f t="shared" si="13"/>
        <v>#DIV/0!</v>
      </c>
      <c r="BP83" s="31" t="str">
        <f t="shared" si="13"/>
        <v>#DIV/0!</v>
      </c>
      <c r="BQ83" s="31" t="str">
        <f t="shared" si="13"/>
        <v>#DIV/0!</v>
      </c>
      <c r="BR83" s="31" t="str">
        <f t="shared" si="13"/>
        <v>#DIV/0!</v>
      </c>
      <c r="BS83" s="31" t="str">
        <f t="shared" si="13"/>
        <v>#DIV/0!</v>
      </c>
      <c r="BT83" s="31" t="str">
        <f t="shared" si="13"/>
        <v>#DIV/0!</v>
      </c>
      <c r="BU83" s="31" t="str">
        <f t="shared" si="13"/>
        <v>#DIV/0!</v>
      </c>
      <c r="BV83" s="31" t="str">
        <f t="shared" si="13"/>
        <v>#DIV/0!</v>
      </c>
      <c r="BW83" s="31" t="str">
        <f t="shared" si="13"/>
        <v>#DIV/0!</v>
      </c>
      <c r="BX83" s="31" t="str">
        <f t="shared" si="13"/>
        <v>#DIV/0!</v>
      </c>
      <c r="BY83" s="31" t="str">
        <f t="shared" si="13"/>
        <v>#DIV/0!</v>
      </c>
      <c r="BZ83" s="31" t="str">
        <f t="shared" si="13"/>
        <v>#DIV/0!</v>
      </c>
      <c r="CA83" s="31" t="str">
        <f t="shared" si="13"/>
        <v>#DIV/0!</v>
      </c>
      <c r="CB83" s="31" t="str">
        <f t="shared" si="13"/>
        <v>#DIV/0!</v>
      </c>
      <c r="CC83" s="31" t="str">
        <f t="shared" si="13"/>
        <v>#DIV/0!</v>
      </c>
      <c r="CD83" s="31" t="str">
        <f t="shared" si="13"/>
        <v>#DIV/0!</v>
      </c>
      <c r="CE83" s="31" t="str">
        <f t="shared" si="13"/>
        <v>#DIV/0!</v>
      </c>
      <c r="CF83" s="31" t="str">
        <f t="shared" si="13"/>
        <v>#DIV/0!</v>
      </c>
      <c r="CG83" s="31" t="str">
        <f t="shared" si="13"/>
        <v>#DIV/0!</v>
      </c>
      <c r="CH83" s="31" t="str">
        <f t="shared" si="13"/>
        <v>#DIV/0!</v>
      </c>
      <c r="CI83" s="31" t="str">
        <f t="shared" si="13"/>
        <v>#DIV/0!</v>
      </c>
      <c r="CJ83" s="31" t="str">
        <f t="shared" si="13"/>
        <v>#DIV/0!</v>
      </c>
      <c r="CK83" s="31" t="str">
        <f t="shared" si="13"/>
        <v>#DIV/0!</v>
      </c>
      <c r="CL83" s="31" t="str">
        <f t="shared" si="13"/>
        <v>#DIV/0!</v>
      </c>
      <c r="CM83" s="31" t="str">
        <f t="shared" si="13"/>
        <v>#DIV/0!</v>
      </c>
      <c r="CN83" s="31" t="str">
        <f t="shared" si="13"/>
        <v>#DIV/0!</v>
      </c>
      <c r="CO83" s="31" t="str">
        <f t="shared" si="13"/>
        <v>#DIV/0!</v>
      </c>
      <c r="CP83" s="31" t="str">
        <f t="shared" si="13"/>
        <v>#DIV/0!</v>
      </c>
      <c r="CQ83" s="31" t="str">
        <f t="shared" si="13"/>
        <v>#DIV/0!</v>
      </c>
      <c r="CR83" s="31" t="str">
        <f t="shared" si="13"/>
        <v>#DIV/0!</v>
      </c>
      <c r="CS83" s="31" t="str">
        <f t="shared" si="13"/>
        <v>#DIV/0!</v>
      </c>
      <c r="CT83" s="31" t="str">
        <f t="shared" si="13"/>
        <v>#DIV/0!</v>
      </c>
      <c r="CU83" s="31" t="str">
        <f t="shared" si="13"/>
        <v>#DIV/0!</v>
      </c>
      <c r="CV83" s="31" t="str">
        <f t="shared" si="13"/>
        <v>#DIV/0!</v>
      </c>
      <c r="CW83" s="31">
        <f t="shared" si="13"/>
        <v>189.9695</v>
      </c>
      <c r="CX83" s="31">
        <f t="shared" si="13"/>
        <v>160.1439435</v>
      </c>
      <c r="CY83" s="31">
        <f t="shared" si="13"/>
        <v>0.8429981856</v>
      </c>
      <c r="CZ83" s="31">
        <f t="shared" si="13"/>
        <v>0.1653864982</v>
      </c>
      <c r="DA83" s="31">
        <f t="shared" si="13"/>
        <v>6</v>
      </c>
      <c r="DB83" s="31">
        <f t="shared" si="13"/>
        <v>0.5</v>
      </c>
      <c r="DC83" s="31" t="str">
        <f t="shared" si="13"/>
        <v>#DIV/0!</v>
      </c>
      <c r="DD83" s="31">
        <f t="shared" si="13"/>
        <v>2</v>
      </c>
      <c r="DE83" s="31">
        <f t="shared" si="13"/>
        <v>1754886239</v>
      </c>
      <c r="DF83" s="31">
        <f t="shared" si="13"/>
        <v>456.5445</v>
      </c>
      <c r="DG83" s="31">
        <f t="shared" si="13"/>
        <v>460.038</v>
      </c>
      <c r="DH83" s="31">
        <f t="shared" si="13"/>
        <v>36.6911</v>
      </c>
      <c r="DI83" s="31">
        <f t="shared" si="13"/>
        <v>33.64005</v>
      </c>
      <c r="DJ83" s="31">
        <f t="shared" si="13"/>
        <v>453.602</v>
      </c>
      <c r="DK83" s="31">
        <f t="shared" si="13"/>
        <v>36.1392</v>
      </c>
      <c r="DL83" s="31">
        <f t="shared" si="13"/>
        <v>500.073</v>
      </c>
      <c r="DM83" s="31">
        <f t="shared" si="13"/>
        <v>100.8785</v>
      </c>
      <c r="DN83" s="31">
        <f t="shared" si="13"/>
        <v>0.1004055</v>
      </c>
      <c r="DO83" s="31">
        <f t="shared" si="13"/>
        <v>34.1561</v>
      </c>
      <c r="DP83" s="31">
        <f t="shared" si="13"/>
        <v>33.40245</v>
      </c>
      <c r="DQ83" s="31">
        <f t="shared" si="13"/>
        <v>999.9</v>
      </c>
      <c r="DR83" s="31">
        <f t="shared" si="13"/>
        <v>0</v>
      </c>
      <c r="DS83" s="31">
        <f t="shared" si="13"/>
        <v>0</v>
      </c>
      <c r="DT83" s="31">
        <f t="shared" si="13"/>
        <v>8976.875</v>
      </c>
      <c r="DU83" s="31">
        <f t="shared" si="13"/>
        <v>0</v>
      </c>
      <c r="DV83" s="31">
        <f t="shared" si="13"/>
        <v>355.781</v>
      </c>
      <c r="DW83" s="31">
        <f t="shared" si="13"/>
        <v>189.9695</v>
      </c>
      <c r="DX83" s="31">
        <f t="shared" si="13"/>
        <v>0.8999905</v>
      </c>
      <c r="DY83" s="31">
        <f t="shared" si="13"/>
        <v>0.10000925</v>
      </c>
      <c r="DZ83" s="31">
        <f t="shared" si="13"/>
        <v>0</v>
      </c>
      <c r="EA83" s="31">
        <f t="shared" si="13"/>
        <v>342.625</v>
      </c>
      <c r="EB83" s="31">
        <f t="shared" si="13"/>
        <v>0.0999973</v>
      </c>
      <c r="EC83" s="31">
        <f t="shared" si="13"/>
        <v>1269.325</v>
      </c>
      <c r="ED83" s="31">
        <f t="shared" si="13"/>
        <v>1683.785</v>
      </c>
      <c r="EE83" s="31">
        <f t="shared" si="13"/>
        <v>39.6875</v>
      </c>
      <c r="EF83" s="31">
        <f t="shared" si="13"/>
        <v>43.031</v>
      </c>
      <c r="EG83" s="31">
        <f t="shared" si="13"/>
        <v>41.1875</v>
      </c>
      <c r="EH83" s="31">
        <f t="shared" si="13"/>
        <v>42.75</v>
      </c>
      <c r="EI83" s="31">
        <f t="shared" si="13"/>
        <v>42.2185</v>
      </c>
      <c r="EJ83" s="31">
        <f t="shared" si="13"/>
        <v>170.88</v>
      </c>
      <c r="EK83" s="31">
        <f t="shared" si="13"/>
        <v>18.985</v>
      </c>
      <c r="EL83" s="31">
        <f t="shared" si="13"/>
        <v>0</v>
      </c>
      <c r="EM83" s="31">
        <f t="shared" si="13"/>
        <v>135.3</v>
      </c>
      <c r="EN83" s="31">
        <f t="shared" si="13"/>
        <v>0</v>
      </c>
      <c r="EO83" s="31">
        <f t="shared" si="13"/>
        <v>342.3182692</v>
      </c>
      <c r="EP83" s="31">
        <f t="shared" si="13"/>
        <v>-9.86683756</v>
      </c>
      <c r="EQ83" s="31">
        <f t="shared" si="13"/>
        <v>9.887692479</v>
      </c>
      <c r="ER83" s="31">
        <f t="shared" si="13"/>
        <v>1270.691346</v>
      </c>
      <c r="ES83" s="31">
        <f t="shared" si="13"/>
        <v>15</v>
      </c>
      <c r="ET83" s="31">
        <f t="shared" si="13"/>
        <v>1754885779</v>
      </c>
      <c r="EU83" s="42">
        <f t="shared" si="13"/>
        <v>0.5113310185</v>
      </c>
      <c r="EV83" s="31">
        <f t="shared" si="13"/>
        <v>1754885779</v>
      </c>
      <c r="EW83" s="31">
        <f t="shared" si="13"/>
        <v>1754876535</v>
      </c>
      <c r="EX83" s="31">
        <f t="shared" si="13"/>
        <v>16</v>
      </c>
      <c r="EY83" s="31">
        <f t="shared" si="13"/>
        <v>-0.008</v>
      </c>
      <c r="EZ83" s="31">
        <f t="shared" si="13"/>
        <v>-0.002</v>
      </c>
      <c r="FA83" s="31">
        <f t="shared" si="13"/>
        <v>2.942</v>
      </c>
      <c r="FB83" s="31">
        <f t="shared" si="13"/>
        <v>0.297</v>
      </c>
      <c r="FC83" s="31">
        <f t="shared" si="13"/>
        <v>460</v>
      </c>
      <c r="FD83" s="31">
        <f t="shared" si="13"/>
        <v>20</v>
      </c>
      <c r="FE83" s="31">
        <f t="shared" si="13"/>
        <v>0.23</v>
      </c>
      <c r="FF83" s="31">
        <f t="shared" si="13"/>
        <v>0.06</v>
      </c>
      <c r="FG83" s="31">
        <f t="shared" si="13"/>
        <v>100</v>
      </c>
      <c r="FH83" s="31">
        <f t="shared" si="13"/>
        <v>100</v>
      </c>
      <c r="FI83" s="31">
        <f t="shared" si="13"/>
        <v>2.9425</v>
      </c>
      <c r="FJ83" s="31">
        <f t="shared" si="13"/>
        <v>0.5519</v>
      </c>
      <c r="FK83" s="31">
        <f t="shared" si="13"/>
        <v>3.043874942</v>
      </c>
      <c r="FL83" s="31">
        <f t="shared" si="13"/>
        <v>-0.000225954287</v>
      </c>
      <c r="FM83" s="43">
        <f t="shared" si="13"/>
        <v>0.000000005204173011</v>
      </c>
      <c r="FN83" s="43">
        <f t="shared" si="13"/>
        <v>0</v>
      </c>
      <c r="FO83" s="31">
        <f t="shared" si="13"/>
        <v>0.5518733385</v>
      </c>
      <c r="FP83" s="31">
        <f t="shared" si="13"/>
        <v>0</v>
      </c>
      <c r="FQ83" s="31">
        <f t="shared" si="13"/>
        <v>0</v>
      </c>
      <c r="FR83" s="31">
        <f t="shared" si="13"/>
        <v>0</v>
      </c>
      <c r="FS83" s="31">
        <f t="shared" si="13"/>
        <v>1</v>
      </c>
      <c r="FT83" s="31">
        <f t="shared" si="13"/>
        <v>2266</v>
      </c>
      <c r="FU83" s="31">
        <f t="shared" si="13"/>
        <v>1</v>
      </c>
      <c r="FV83" s="31">
        <f t="shared" si="13"/>
        <v>26</v>
      </c>
      <c r="FW83" s="31">
        <f t="shared" si="13"/>
        <v>7.65</v>
      </c>
      <c r="FX83" s="31">
        <f t="shared" si="13"/>
        <v>161.75</v>
      </c>
      <c r="FY83" s="31">
        <f t="shared" si="13"/>
        <v>1.12305</v>
      </c>
      <c r="FZ83" s="31">
        <f t="shared" si="13"/>
        <v>2.561035</v>
      </c>
      <c r="GA83" s="31">
        <f t="shared" si="13"/>
        <v>1.59607</v>
      </c>
      <c r="GB83" s="31">
        <f t="shared" si="13"/>
        <v>2.317505</v>
      </c>
      <c r="GC83" s="31">
        <f t="shared" si="13"/>
        <v>1.5979</v>
      </c>
      <c r="GD83" s="31">
        <f t="shared" si="13"/>
        <v>2.301025</v>
      </c>
      <c r="GE83" s="31">
        <f t="shared" si="13"/>
        <v>43.07395</v>
      </c>
      <c r="GF83" s="31">
        <f t="shared" si="13"/>
        <v>14.95945</v>
      </c>
      <c r="GG83" s="31">
        <f t="shared" si="13"/>
        <v>18</v>
      </c>
      <c r="GH83" s="31">
        <f t="shared" si="13"/>
        <v>506.7595</v>
      </c>
      <c r="GI83" s="31">
        <f t="shared" si="13"/>
        <v>466.2265</v>
      </c>
      <c r="GJ83" s="31">
        <f t="shared" si="13"/>
        <v>34.0731</v>
      </c>
      <c r="GK83" s="31">
        <f t="shared" si="13"/>
        <v>34.66335</v>
      </c>
      <c r="GL83" s="31">
        <f t="shared" si="13"/>
        <v>30.00025</v>
      </c>
      <c r="GM83" s="31">
        <f t="shared" si="13"/>
        <v>34.6512</v>
      </c>
      <c r="GN83" s="31">
        <f t="shared" si="13"/>
        <v>34.59045</v>
      </c>
      <c r="GO83" s="31">
        <f t="shared" si="13"/>
        <v>22.5442</v>
      </c>
      <c r="GP83" s="31">
        <f t="shared" si="13"/>
        <v>100</v>
      </c>
      <c r="GQ83" s="31">
        <f t="shared" si="13"/>
        <v>0</v>
      </c>
      <c r="GR83" s="31">
        <f t="shared" si="13"/>
        <v>-999.9</v>
      </c>
      <c r="GS83" s="31">
        <f t="shared" si="13"/>
        <v>460</v>
      </c>
      <c r="GT83" s="31">
        <f t="shared" si="13"/>
        <v>15.5881</v>
      </c>
      <c r="GU83" s="31">
        <f t="shared" si="13"/>
        <v>102.578</v>
      </c>
      <c r="GV83" s="31">
        <f t="shared" si="13"/>
        <v>99.81965</v>
      </c>
    </row>
    <row r="84" ht="14.25" customHeight="1">
      <c r="A84" s="39"/>
      <c r="B84" s="39"/>
      <c r="C84" s="39"/>
      <c r="D84" s="39"/>
      <c r="E84" s="39"/>
      <c r="F84" s="39"/>
      <c r="G84" s="39"/>
      <c r="H84" s="39"/>
      <c r="I84" s="45" t="s">
        <v>111</v>
      </c>
      <c r="J84" s="31" t="s">
        <v>64</v>
      </c>
      <c r="K84" s="31">
        <f t="shared" ref="K84:GV84" si="14">AVERAGE(K30:K31)</f>
        <v>0.004985677477</v>
      </c>
      <c r="L84" s="44">
        <f t="shared" si="14"/>
        <v>4.985677477</v>
      </c>
      <c r="M84" s="44">
        <f t="shared" si="14"/>
        <v>2.959295504</v>
      </c>
      <c r="N84" s="31">
        <f t="shared" si="14"/>
        <v>453.7279958</v>
      </c>
      <c r="O84" s="44">
        <f t="shared" si="14"/>
        <v>425.8699179</v>
      </c>
      <c r="P84" s="31">
        <f t="shared" si="14"/>
        <v>43.00512176</v>
      </c>
      <c r="Q84" s="31">
        <f t="shared" si="14"/>
        <v>45.81821215</v>
      </c>
      <c r="R84" s="44">
        <f t="shared" si="14"/>
        <v>0.3333861404</v>
      </c>
      <c r="S84" s="31">
        <f t="shared" si="14"/>
        <v>2.763282488</v>
      </c>
      <c r="T84" s="31">
        <f t="shared" si="14"/>
        <v>0.311807502</v>
      </c>
      <c r="U84" s="31">
        <f t="shared" si="14"/>
        <v>0.1966982297</v>
      </c>
      <c r="V84" s="31">
        <f t="shared" si="14"/>
        <v>31.44052708</v>
      </c>
      <c r="W84" s="31">
        <f t="shared" si="14"/>
        <v>34.27704968</v>
      </c>
      <c r="X84" s="31">
        <f t="shared" si="14"/>
        <v>34.69415</v>
      </c>
      <c r="Y84" s="31">
        <f t="shared" si="14"/>
        <v>5.554650381</v>
      </c>
      <c r="Z84" s="31">
        <f t="shared" si="14"/>
        <v>68.80470325</v>
      </c>
      <c r="AA84" s="31">
        <f t="shared" si="14"/>
        <v>3.981514143</v>
      </c>
      <c r="AB84" s="31">
        <f t="shared" si="14"/>
        <v>5.788865523</v>
      </c>
      <c r="AC84" s="31">
        <f t="shared" si="14"/>
        <v>1.573136238</v>
      </c>
      <c r="AD84" s="31">
        <f t="shared" si="14"/>
        <v>-219.8683767</v>
      </c>
      <c r="AE84" s="31">
        <f t="shared" si="14"/>
        <v>111.5502371</v>
      </c>
      <c r="AF84" s="31">
        <f t="shared" si="14"/>
        <v>9.427647282</v>
      </c>
      <c r="AG84" s="31">
        <f t="shared" si="14"/>
        <v>-67.44996524</v>
      </c>
      <c r="AH84" s="31">
        <f t="shared" si="14"/>
        <v>0</v>
      </c>
      <c r="AI84" s="31">
        <f t="shared" si="14"/>
        <v>0</v>
      </c>
      <c r="AJ84" s="31">
        <f t="shared" si="14"/>
        <v>1</v>
      </c>
      <c r="AK84" s="31">
        <f t="shared" si="14"/>
        <v>0</v>
      </c>
      <c r="AL84" s="31">
        <f t="shared" si="14"/>
        <v>46841.5</v>
      </c>
      <c r="AM84" s="31" t="str">
        <f t="shared" si="14"/>
        <v>#DIV/0!</v>
      </c>
      <c r="AN84" s="31">
        <f t="shared" si="14"/>
        <v>8173.37</v>
      </c>
      <c r="AO84" s="31">
        <f t="shared" si="14"/>
        <v>559.296</v>
      </c>
      <c r="AP84" s="31">
        <f t="shared" si="14"/>
        <v>2893.93</v>
      </c>
      <c r="AQ84" s="31">
        <f t="shared" si="14"/>
        <v>0.8067347863</v>
      </c>
      <c r="AR84" s="31">
        <f t="shared" si="14"/>
        <v>-2.38169763</v>
      </c>
      <c r="AS84" s="31" t="str">
        <f t="shared" si="14"/>
        <v>#DIV/0!</v>
      </c>
      <c r="AT84" s="31">
        <f t="shared" si="14"/>
        <v>8147.23</v>
      </c>
      <c r="AU84" s="31">
        <f t="shared" si="14"/>
        <v>634.4784</v>
      </c>
      <c r="AV84" s="31">
        <f t="shared" si="14"/>
        <v>1766.515</v>
      </c>
      <c r="AW84" s="31">
        <f t="shared" si="14"/>
        <v>0.6425463506</v>
      </c>
      <c r="AX84" s="31">
        <f t="shared" si="14"/>
        <v>0.5</v>
      </c>
      <c r="AY84" s="31">
        <f t="shared" si="14"/>
        <v>160.2591645</v>
      </c>
      <c r="AZ84" s="31">
        <f t="shared" si="14"/>
        <v>2.959295504</v>
      </c>
      <c r="BA84" s="31">
        <f t="shared" si="14"/>
        <v>51.4869698</v>
      </c>
      <c r="BB84" s="31">
        <f t="shared" si="14"/>
        <v>0.03332721987</v>
      </c>
      <c r="BC84" s="31">
        <f t="shared" si="14"/>
        <v>0.6695928951</v>
      </c>
      <c r="BD84" s="31">
        <f t="shared" si="14"/>
        <v>495.9720705</v>
      </c>
      <c r="BE84" s="31" t="str">
        <f t="shared" si="14"/>
        <v>#DIV/0!</v>
      </c>
      <c r="BF84" s="31">
        <f t="shared" si="14"/>
        <v>-768.9</v>
      </c>
      <c r="BG84" s="31">
        <f t="shared" si="14"/>
        <v>-768.9</v>
      </c>
      <c r="BH84" s="31">
        <f t="shared" si="14"/>
        <v>1.429683026</v>
      </c>
      <c r="BI84" s="31">
        <f t="shared" si="14"/>
        <v>0.4500468826</v>
      </c>
      <c r="BJ84" s="31">
        <f t="shared" si="14"/>
        <v>0.3116946866</v>
      </c>
      <c r="BK84" s="31">
        <f t="shared" si="14"/>
        <v>0.9539275882</v>
      </c>
      <c r="BL84" s="31">
        <f t="shared" si="14"/>
        <v>0.4829086701</v>
      </c>
      <c r="BM84" s="31">
        <f t="shared" si="14"/>
        <v>-0.5383030937</v>
      </c>
      <c r="BN84" s="31">
        <f t="shared" si="14"/>
        <v>1.538303094</v>
      </c>
      <c r="BO84" s="31" t="str">
        <f t="shared" si="14"/>
        <v>#DIV/0!</v>
      </c>
      <c r="BP84" s="31" t="str">
        <f t="shared" si="14"/>
        <v>#DIV/0!</v>
      </c>
      <c r="BQ84" s="31" t="str">
        <f t="shared" si="14"/>
        <v>#DIV/0!</v>
      </c>
      <c r="BR84" s="31" t="str">
        <f t="shared" si="14"/>
        <v>#DIV/0!</v>
      </c>
      <c r="BS84" s="31" t="str">
        <f t="shared" si="14"/>
        <v>#DIV/0!</v>
      </c>
      <c r="BT84" s="31" t="str">
        <f t="shared" si="14"/>
        <v>#DIV/0!</v>
      </c>
      <c r="BU84" s="31" t="str">
        <f t="shared" si="14"/>
        <v>#DIV/0!</v>
      </c>
      <c r="BV84" s="31" t="str">
        <f t="shared" si="14"/>
        <v>#DIV/0!</v>
      </c>
      <c r="BW84" s="31" t="str">
        <f t="shared" si="14"/>
        <v>#DIV/0!</v>
      </c>
      <c r="BX84" s="31" t="str">
        <f t="shared" si="14"/>
        <v>#DIV/0!</v>
      </c>
      <c r="BY84" s="31" t="str">
        <f t="shared" si="14"/>
        <v>#DIV/0!</v>
      </c>
      <c r="BZ84" s="31" t="str">
        <f t="shared" si="14"/>
        <v>#DIV/0!</v>
      </c>
      <c r="CA84" s="31" t="str">
        <f t="shared" si="14"/>
        <v>#DIV/0!</v>
      </c>
      <c r="CB84" s="31" t="str">
        <f t="shared" si="14"/>
        <v>#DIV/0!</v>
      </c>
      <c r="CC84" s="31" t="str">
        <f t="shared" si="14"/>
        <v>#DIV/0!</v>
      </c>
      <c r="CD84" s="31" t="str">
        <f t="shared" si="14"/>
        <v>#DIV/0!</v>
      </c>
      <c r="CE84" s="31" t="str">
        <f t="shared" si="14"/>
        <v>#DIV/0!</v>
      </c>
      <c r="CF84" s="31" t="str">
        <f t="shared" si="14"/>
        <v>#DIV/0!</v>
      </c>
      <c r="CG84" s="31" t="str">
        <f t="shared" si="14"/>
        <v>#DIV/0!</v>
      </c>
      <c r="CH84" s="31" t="str">
        <f t="shared" si="14"/>
        <v>#DIV/0!</v>
      </c>
      <c r="CI84" s="31" t="str">
        <f t="shared" si="14"/>
        <v>#DIV/0!</v>
      </c>
      <c r="CJ84" s="31" t="str">
        <f t="shared" si="14"/>
        <v>#DIV/0!</v>
      </c>
      <c r="CK84" s="31" t="str">
        <f t="shared" si="14"/>
        <v>#DIV/0!</v>
      </c>
      <c r="CL84" s="31" t="str">
        <f t="shared" si="14"/>
        <v>#DIV/0!</v>
      </c>
      <c r="CM84" s="31" t="str">
        <f t="shared" si="14"/>
        <v>#DIV/0!</v>
      </c>
      <c r="CN84" s="31" t="str">
        <f t="shared" si="14"/>
        <v>#DIV/0!</v>
      </c>
      <c r="CO84" s="31" t="str">
        <f t="shared" si="14"/>
        <v>#DIV/0!</v>
      </c>
      <c r="CP84" s="31" t="str">
        <f t="shared" si="14"/>
        <v>#DIV/0!</v>
      </c>
      <c r="CQ84" s="31" t="str">
        <f t="shared" si="14"/>
        <v>#DIV/0!</v>
      </c>
      <c r="CR84" s="31" t="str">
        <f t="shared" si="14"/>
        <v>#DIV/0!</v>
      </c>
      <c r="CS84" s="31" t="str">
        <f t="shared" si="14"/>
        <v>#DIV/0!</v>
      </c>
      <c r="CT84" s="31" t="str">
        <f t="shared" si="14"/>
        <v>#DIV/0!</v>
      </c>
      <c r="CU84" s="31" t="str">
        <f t="shared" si="14"/>
        <v>#DIV/0!</v>
      </c>
      <c r="CV84" s="31" t="str">
        <f t="shared" si="14"/>
        <v>#DIV/0!</v>
      </c>
      <c r="CW84" s="31">
        <f t="shared" si="14"/>
        <v>190.1065</v>
      </c>
      <c r="CX84" s="31">
        <f t="shared" si="14"/>
        <v>160.2591645</v>
      </c>
      <c r="CY84" s="31">
        <f t="shared" si="14"/>
        <v>0.8429967649</v>
      </c>
      <c r="CZ84" s="31">
        <f t="shared" si="14"/>
        <v>0.1653837564</v>
      </c>
      <c r="DA84" s="31">
        <f t="shared" si="14"/>
        <v>6</v>
      </c>
      <c r="DB84" s="31">
        <f t="shared" si="14"/>
        <v>0.5</v>
      </c>
      <c r="DC84" s="31" t="str">
        <f t="shared" si="14"/>
        <v>#DIV/0!</v>
      </c>
      <c r="DD84" s="31">
        <f t="shared" si="14"/>
        <v>2</v>
      </c>
      <c r="DE84" s="31">
        <f t="shared" si="14"/>
        <v>1754884555</v>
      </c>
      <c r="DF84" s="31">
        <f t="shared" si="14"/>
        <v>453.728</v>
      </c>
      <c r="DG84" s="31">
        <f t="shared" si="14"/>
        <v>459.994</v>
      </c>
      <c r="DH84" s="31">
        <f t="shared" si="14"/>
        <v>39.42805</v>
      </c>
      <c r="DI84" s="31">
        <f t="shared" si="14"/>
        <v>33.68155</v>
      </c>
      <c r="DJ84" s="31">
        <f t="shared" si="14"/>
        <v>450.8355</v>
      </c>
      <c r="DK84" s="31">
        <f t="shared" si="14"/>
        <v>38.87615</v>
      </c>
      <c r="DL84" s="31">
        <f t="shared" si="14"/>
        <v>500.0115</v>
      </c>
      <c r="DM84" s="31">
        <f t="shared" si="14"/>
        <v>100.882</v>
      </c>
      <c r="DN84" s="31">
        <f t="shared" si="14"/>
        <v>0.0996605</v>
      </c>
      <c r="DO84" s="31">
        <f t="shared" si="14"/>
        <v>35.44295</v>
      </c>
      <c r="DP84" s="31">
        <f t="shared" si="14"/>
        <v>34.69415</v>
      </c>
      <c r="DQ84" s="31">
        <f t="shared" si="14"/>
        <v>999.9</v>
      </c>
      <c r="DR84" s="31">
        <f t="shared" si="14"/>
        <v>0</v>
      </c>
      <c r="DS84" s="31">
        <f t="shared" si="14"/>
        <v>0</v>
      </c>
      <c r="DT84" s="31">
        <f t="shared" si="14"/>
        <v>9001.56</v>
      </c>
      <c r="DU84" s="31">
        <f t="shared" si="14"/>
        <v>0</v>
      </c>
      <c r="DV84" s="31">
        <f t="shared" si="14"/>
        <v>612.3325</v>
      </c>
      <c r="DW84" s="31">
        <f t="shared" si="14"/>
        <v>190.1065</v>
      </c>
      <c r="DX84" s="31">
        <f t="shared" si="14"/>
        <v>0.900057</v>
      </c>
      <c r="DY84" s="31">
        <f t="shared" si="14"/>
        <v>0.09994295</v>
      </c>
      <c r="DZ84" s="31">
        <f t="shared" si="14"/>
        <v>0</v>
      </c>
      <c r="EA84" s="31">
        <f t="shared" si="14"/>
        <v>632.67</v>
      </c>
      <c r="EB84" s="31">
        <f t="shared" si="14"/>
        <v>0.0999973</v>
      </c>
      <c r="EC84" s="31">
        <f t="shared" si="14"/>
        <v>2430.475</v>
      </c>
      <c r="ED84" s="31">
        <f t="shared" si="14"/>
        <v>1685.04</v>
      </c>
      <c r="EE84" s="31">
        <f t="shared" si="14"/>
        <v>40.687</v>
      </c>
      <c r="EF84" s="31">
        <f t="shared" si="14"/>
        <v>44.125</v>
      </c>
      <c r="EG84" s="31">
        <f t="shared" si="14"/>
        <v>42.25</v>
      </c>
      <c r="EH84" s="31">
        <f t="shared" si="14"/>
        <v>43.7185</v>
      </c>
      <c r="EI84" s="31">
        <f t="shared" si="14"/>
        <v>43.312</v>
      </c>
      <c r="EJ84" s="31">
        <f t="shared" si="14"/>
        <v>171.015</v>
      </c>
      <c r="EK84" s="31">
        <f t="shared" si="14"/>
        <v>18.99</v>
      </c>
      <c r="EL84" s="31">
        <f t="shared" si="14"/>
        <v>0</v>
      </c>
      <c r="EM84" s="31">
        <f t="shared" si="14"/>
        <v>138.9</v>
      </c>
      <c r="EN84" s="31">
        <f t="shared" si="14"/>
        <v>0</v>
      </c>
      <c r="EO84" s="31">
        <f t="shared" si="14"/>
        <v>634.4784</v>
      </c>
      <c r="EP84" s="31">
        <f t="shared" si="14"/>
        <v>-20.14000006</v>
      </c>
      <c r="EQ84" s="31">
        <f t="shared" si="14"/>
        <v>112.5734613</v>
      </c>
      <c r="ER84" s="31">
        <f t="shared" si="14"/>
        <v>2411.2098</v>
      </c>
      <c r="ES84" s="31">
        <f t="shared" si="14"/>
        <v>15</v>
      </c>
      <c r="ET84" s="31">
        <f t="shared" si="14"/>
        <v>1754884367</v>
      </c>
      <c r="EU84" s="42">
        <f t="shared" si="14"/>
        <v>0.4949884259</v>
      </c>
      <c r="EV84" s="31">
        <f t="shared" si="14"/>
        <v>1754884367</v>
      </c>
      <c r="EW84" s="31">
        <f t="shared" si="14"/>
        <v>1754876535</v>
      </c>
      <c r="EX84" s="31">
        <f t="shared" si="14"/>
        <v>14</v>
      </c>
      <c r="EY84" s="31">
        <f t="shared" si="14"/>
        <v>-0.085</v>
      </c>
      <c r="EZ84" s="31">
        <f t="shared" si="14"/>
        <v>-0.002</v>
      </c>
      <c r="FA84" s="31">
        <f t="shared" si="14"/>
        <v>2.891</v>
      </c>
      <c r="FB84" s="31">
        <f t="shared" si="14"/>
        <v>0.297</v>
      </c>
      <c r="FC84" s="31">
        <f t="shared" si="14"/>
        <v>460</v>
      </c>
      <c r="FD84" s="31">
        <f t="shared" si="14"/>
        <v>20</v>
      </c>
      <c r="FE84" s="31">
        <f t="shared" si="14"/>
        <v>0.64</v>
      </c>
      <c r="FF84" s="31">
        <f t="shared" si="14"/>
        <v>0.06</v>
      </c>
      <c r="FG84" s="31">
        <f t="shared" si="14"/>
        <v>100</v>
      </c>
      <c r="FH84" s="31">
        <f t="shared" si="14"/>
        <v>100</v>
      </c>
      <c r="FI84" s="31">
        <f t="shared" si="14"/>
        <v>2.8925</v>
      </c>
      <c r="FJ84" s="31">
        <f t="shared" si="14"/>
        <v>0.5519</v>
      </c>
      <c r="FK84" s="31">
        <f t="shared" si="14"/>
        <v>2.993279494</v>
      </c>
      <c r="FL84" s="31">
        <f t="shared" si="14"/>
        <v>-0.000225954287</v>
      </c>
      <c r="FM84" s="43">
        <f t="shared" si="14"/>
        <v>0.000000005204173011</v>
      </c>
      <c r="FN84" s="43">
        <f t="shared" si="14"/>
        <v>0</v>
      </c>
      <c r="FO84" s="31">
        <f t="shared" si="14"/>
        <v>0.5518733385</v>
      </c>
      <c r="FP84" s="31">
        <f t="shared" si="14"/>
        <v>0</v>
      </c>
      <c r="FQ84" s="31">
        <f t="shared" si="14"/>
        <v>0</v>
      </c>
      <c r="FR84" s="31">
        <f t="shared" si="14"/>
        <v>0</v>
      </c>
      <c r="FS84" s="31">
        <f t="shared" si="14"/>
        <v>1</v>
      </c>
      <c r="FT84" s="31">
        <f t="shared" si="14"/>
        <v>2266</v>
      </c>
      <c r="FU84" s="31">
        <f t="shared" si="14"/>
        <v>1</v>
      </c>
      <c r="FV84" s="31">
        <f t="shared" si="14"/>
        <v>26</v>
      </c>
      <c r="FW84" s="31">
        <f t="shared" si="14"/>
        <v>3.15</v>
      </c>
      <c r="FX84" s="31">
        <f t="shared" si="14"/>
        <v>133.65</v>
      </c>
      <c r="FY84" s="31">
        <f t="shared" si="14"/>
        <v>1.12366</v>
      </c>
      <c r="FZ84" s="31">
        <f t="shared" si="14"/>
        <v>2.557985</v>
      </c>
      <c r="GA84" s="31">
        <f t="shared" si="14"/>
        <v>1.59668</v>
      </c>
      <c r="GB84" s="31">
        <f t="shared" si="14"/>
        <v>2.317505</v>
      </c>
      <c r="GC84" s="31">
        <f t="shared" si="14"/>
        <v>1.5979</v>
      </c>
      <c r="GD84" s="31">
        <f t="shared" si="14"/>
        <v>2.334595</v>
      </c>
      <c r="GE84" s="31">
        <f t="shared" si="14"/>
        <v>43.79545</v>
      </c>
      <c r="GF84" s="31">
        <f t="shared" si="14"/>
        <v>15.17835</v>
      </c>
      <c r="GG84" s="31">
        <f t="shared" si="14"/>
        <v>18</v>
      </c>
      <c r="GH84" s="31">
        <f t="shared" si="14"/>
        <v>508.231</v>
      </c>
      <c r="GI84" s="31">
        <f t="shared" si="14"/>
        <v>465.253</v>
      </c>
      <c r="GJ84" s="31">
        <f t="shared" si="14"/>
        <v>35.5804</v>
      </c>
      <c r="GK84" s="31">
        <f t="shared" si="14"/>
        <v>35.32215</v>
      </c>
      <c r="GL84" s="31">
        <f t="shared" si="14"/>
        <v>29.99965</v>
      </c>
      <c r="GM84" s="31">
        <f t="shared" si="14"/>
        <v>35.2901</v>
      </c>
      <c r="GN84" s="31">
        <f t="shared" si="14"/>
        <v>35.2155</v>
      </c>
      <c r="GO84" s="31">
        <f t="shared" si="14"/>
        <v>22.5463</v>
      </c>
      <c r="GP84" s="31">
        <f t="shared" si="14"/>
        <v>100</v>
      </c>
      <c r="GQ84" s="31">
        <f t="shared" si="14"/>
        <v>0</v>
      </c>
      <c r="GR84" s="31">
        <f t="shared" si="14"/>
        <v>-999.9</v>
      </c>
      <c r="GS84" s="31">
        <f t="shared" si="14"/>
        <v>460</v>
      </c>
      <c r="GT84" s="31">
        <f t="shared" si="14"/>
        <v>15.5881</v>
      </c>
      <c r="GU84" s="31">
        <f t="shared" si="14"/>
        <v>102.549</v>
      </c>
      <c r="GV84" s="31">
        <f t="shared" si="14"/>
        <v>99.745</v>
      </c>
    </row>
    <row r="85" ht="14.25" customHeight="1">
      <c r="A85" s="39"/>
      <c r="B85" s="39"/>
      <c r="C85" s="39"/>
      <c r="D85" s="39"/>
      <c r="E85" s="39"/>
      <c r="F85" s="39"/>
      <c r="G85" s="39"/>
      <c r="H85" s="39"/>
      <c r="I85" s="45" t="s">
        <v>111</v>
      </c>
      <c r="J85" s="31" t="s">
        <v>66</v>
      </c>
      <c r="K85" s="31">
        <f t="shared" ref="K85:GV85" si="15">AVERAGE(K32:K33)</f>
        <v>0.004410383028</v>
      </c>
      <c r="L85" s="44">
        <f t="shared" si="15"/>
        <v>4.410383028</v>
      </c>
      <c r="M85" s="44">
        <f t="shared" si="15"/>
        <v>4.733277041</v>
      </c>
      <c r="N85" s="31">
        <f t="shared" si="15"/>
        <v>451.8184933</v>
      </c>
      <c r="O85" s="44">
        <f t="shared" si="15"/>
        <v>419.0138645</v>
      </c>
      <c r="P85" s="31">
        <f t="shared" si="15"/>
        <v>42.32827082</v>
      </c>
      <c r="Q85" s="31">
        <f t="shared" si="15"/>
        <v>45.6421774</v>
      </c>
      <c r="R85" s="44">
        <f t="shared" si="15"/>
        <v>0.3542814481</v>
      </c>
      <c r="S85" s="31">
        <f t="shared" si="15"/>
        <v>2.763492284</v>
      </c>
      <c r="T85" s="31">
        <f t="shared" si="15"/>
        <v>0.3304599407</v>
      </c>
      <c r="U85" s="31">
        <f t="shared" si="15"/>
        <v>0.2085420068</v>
      </c>
      <c r="V85" s="31">
        <f t="shared" si="15"/>
        <v>31.40039133</v>
      </c>
      <c r="W85" s="31">
        <f t="shared" si="15"/>
        <v>32.7588558</v>
      </c>
      <c r="X85" s="31">
        <f t="shared" si="15"/>
        <v>32.7759</v>
      </c>
      <c r="Y85" s="31">
        <f t="shared" si="15"/>
        <v>4.989580053</v>
      </c>
      <c r="Z85" s="31">
        <f t="shared" si="15"/>
        <v>70.02051541</v>
      </c>
      <c r="AA85" s="31">
        <f t="shared" si="15"/>
        <v>3.694881332</v>
      </c>
      <c r="AB85" s="31">
        <f t="shared" si="15"/>
        <v>5.275277689</v>
      </c>
      <c r="AC85" s="31">
        <f t="shared" si="15"/>
        <v>1.294698721</v>
      </c>
      <c r="AD85" s="31">
        <f t="shared" si="15"/>
        <v>-194.4978915</v>
      </c>
      <c r="AE85" s="31">
        <f t="shared" si="15"/>
        <v>147.9876784</v>
      </c>
      <c r="AF85" s="31">
        <f t="shared" si="15"/>
        <v>12.29627506</v>
      </c>
      <c r="AG85" s="31">
        <f t="shared" si="15"/>
        <v>-2.813546774</v>
      </c>
      <c r="AH85" s="31">
        <f t="shared" si="15"/>
        <v>0</v>
      </c>
      <c r="AI85" s="31">
        <f t="shared" si="15"/>
        <v>0</v>
      </c>
      <c r="AJ85" s="31">
        <f t="shared" si="15"/>
        <v>1</v>
      </c>
      <c r="AK85" s="31">
        <f t="shared" si="15"/>
        <v>0</v>
      </c>
      <c r="AL85" s="31">
        <f t="shared" si="15"/>
        <v>47103</v>
      </c>
      <c r="AM85" s="31" t="str">
        <f t="shared" si="15"/>
        <v>#DIV/0!</v>
      </c>
      <c r="AN85" s="31">
        <f t="shared" si="15"/>
        <v>8173.37</v>
      </c>
      <c r="AO85" s="31">
        <f t="shared" si="15"/>
        <v>559.296</v>
      </c>
      <c r="AP85" s="31">
        <f t="shared" si="15"/>
        <v>2893.93</v>
      </c>
      <c r="AQ85" s="31">
        <f t="shared" si="15"/>
        <v>0.8067347863</v>
      </c>
      <c r="AR85" s="31">
        <f t="shared" si="15"/>
        <v>-2.38169763</v>
      </c>
      <c r="AS85" s="31" t="str">
        <f t="shared" si="15"/>
        <v>#DIV/0!</v>
      </c>
      <c r="AT85" s="31">
        <f t="shared" si="15"/>
        <v>8175.335</v>
      </c>
      <c r="AU85" s="31">
        <f t="shared" si="15"/>
        <v>633.1422423</v>
      </c>
      <c r="AV85" s="31">
        <f t="shared" si="15"/>
        <v>2087.92</v>
      </c>
      <c r="AW85" s="31">
        <f t="shared" si="15"/>
        <v>0.6980867272</v>
      </c>
      <c r="AX85" s="31">
        <f t="shared" si="15"/>
        <v>0.5</v>
      </c>
      <c r="AY85" s="31">
        <f t="shared" si="15"/>
        <v>160.049421</v>
      </c>
      <c r="AZ85" s="31">
        <f t="shared" si="15"/>
        <v>4.733277041</v>
      </c>
      <c r="BA85" s="31">
        <f t="shared" si="15"/>
        <v>55.86503802</v>
      </c>
      <c r="BB85" s="31">
        <f t="shared" si="15"/>
        <v>0.04445799774</v>
      </c>
      <c r="BC85" s="31">
        <f t="shared" si="15"/>
        <v>0.3956018464</v>
      </c>
      <c r="BD85" s="31">
        <f t="shared" si="15"/>
        <v>519.7953031</v>
      </c>
      <c r="BE85" s="31" t="str">
        <f t="shared" si="15"/>
        <v>#DIV/0!</v>
      </c>
      <c r="BF85" s="31">
        <f t="shared" si="15"/>
        <v>566</v>
      </c>
      <c r="BG85" s="31">
        <f t="shared" si="15"/>
        <v>566</v>
      </c>
      <c r="BH85" s="31">
        <f t="shared" si="15"/>
        <v>0.7289251158</v>
      </c>
      <c r="BI85" s="31">
        <f t="shared" si="15"/>
        <v>0.9576903315</v>
      </c>
      <c r="BJ85" s="31">
        <f t="shared" si="15"/>
        <v>0.3448741391</v>
      </c>
      <c r="BK85" s="31">
        <f t="shared" si="15"/>
        <v>0.9574849105</v>
      </c>
      <c r="BL85" s="31">
        <f t="shared" si="15"/>
        <v>0.3452404103</v>
      </c>
      <c r="BM85" s="31">
        <f t="shared" si="15"/>
        <v>0.8633213985</v>
      </c>
      <c r="BN85" s="31">
        <f t="shared" si="15"/>
        <v>0.1366786015</v>
      </c>
      <c r="BO85" s="31" t="str">
        <f t="shared" si="15"/>
        <v>#DIV/0!</v>
      </c>
      <c r="BP85" s="31" t="str">
        <f t="shared" si="15"/>
        <v>#DIV/0!</v>
      </c>
      <c r="BQ85" s="31" t="str">
        <f t="shared" si="15"/>
        <v>#DIV/0!</v>
      </c>
      <c r="BR85" s="31" t="str">
        <f t="shared" si="15"/>
        <v>#DIV/0!</v>
      </c>
      <c r="BS85" s="31" t="str">
        <f t="shared" si="15"/>
        <v>#DIV/0!</v>
      </c>
      <c r="BT85" s="31" t="str">
        <f t="shared" si="15"/>
        <v>#DIV/0!</v>
      </c>
      <c r="BU85" s="31" t="str">
        <f t="shared" si="15"/>
        <v>#DIV/0!</v>
      </c>
      <c r="BV85" s="31" t="str">
        <f t="shared" si="15"/>
        <v>#DIV/0!</v>
      </c>
      <c r="BW85" s="31" t="str">
        <f t="shared" si="15"/>
        <v>#DIV/0!</v>
      </c>
      <c r="BX85" s="31" t="str">
        <f t="shared" si="15"/>
        <v>#DIV/0!</v>
      </c>
      <c r="BY85" s="31" t="str">
        <f t="shared" si="15"/>
        <v>#DIV/0!</v>
      </c>
      <c r="BZ85" s="31" t="str">
        <f t="shared" si="15"/>
        <v>#DIV/0!</v>
      </c>
      <c r="CA85" s="31" t="str">
        <f t="shared" si="15"/>
        <v>#DIV/0!</v>
      </c>
      <c r="CB85" s="31" t="str">
        <f t="shared" si="15"/>
        <v>#DIV/0!</v>
      </c>
      <c r="CC85" s="31" t="str">
        <f t="shared" si="15"/>
        <v>#DIV/0!</v>
      </c>
      <c r="CD85" s="31" t="str">
        <f t="shared" si="15"/>
        <v>#DIV/0!</v>
      </c>
      <c r="CE85" s="31" t="str">
        <f t="shared" si="15"/>
        <v>#DIV/0!</v>
      </c>
      <c r="CF85" s="31" t="str">
        <f t="shared" si="15"/>
        <v>#DIV/0!</v>
      </c>
      <c r="CG85" s="31" t="str">
        <f t="shared" si="15"/>
        <v>#DIV/0!</v>
      </c>
      <c r="CH85" s="31" t="str">
        <f t="shared" si="15"/>
        <v>#DIV/0!</v>
      </c>
      <c r="CI85" s="31" t="str">
        <f t="shared" si="15"/>
        <v>#DIV/0!</v>
      </c>
      <c r="CJ85" s="31" t="str">
        <f t="shared" si="15"/>
        <v>#DIV/0!</v>
      </c>
      <c r="CK85" s="31" t="str">
        <f t="shared" si="15"/>
        <v>#DIV/0!</v>
      </c>
      <c r="CL85" s="31" t="str">
        <f t="shared" si="15"/>
        <v>#DIV/0!</v>
      </c>
      <c r="CM85" s="31" t="str">
        <f t="shared" si="15"/>
        <v>#DIV/0!</v>
      </c>
      <c r="CN85" s="31" t="str">
        <f t="shared" si="15"/>
        <v>#DIV/0!</v>
      </c>
      <c r="CO85" s="31" t="str">
        <f t="shared" si="15"/>
        <v>#DIV/0!</v>
      </c>
      <c r="CP85" s="31" t="str">
        <f t="shared" si="15"/>
        <v>#DIV/0!</v>
      </c>
      <c r="CQ85" s="31" t="str">
        <f t="shared" si="15"/>
        <v>#DIV/0!</v>
      </c>
      <c r="CR85" s="31" t="str">
        <f t="shared" si="15"/>
        <v>#DIV/0!</v>
      </c>
      <c r="CS85" s="31" t="str">
        <f t="shared" si="15"/>
        <v>#DIV/0!</v>
      </c>
      <c r="CT85" s="31" t="str">
        <f t="shared" si="15"/>
        <v>#DIV/0!</v>
      </c>
      <c r="CU85" s="31" t="str">
        <f t="shared" si="15"/>
        <v>#DIV/0!</v>
      </c>
      <c r="CV85" s="31" t="str">
        <f t="shared" si="15"/>
        <v>#DIV/0!</v>
      </c>
      <c r="CW85" s="31">
        <f t="shared" si="15"/>
        <v>189.857</v>
      </c>
      <c r="CX85" s="31">
        <f t="shared" si="15"/>
        <v>160.049421</v>
      </c>
      <c r="CY85" s="31">
        <f t="shared" si="15"/>
        <v>0.8429998427</v>
      </c>
      <c r="CZ85" s="31">
        <f t="shared" si="15"/>
        <v>0.1653896965</v>
      </c>
      <c r="DA85" s="31">
        <f t="shared" si="15"/>
        <v>6</v>
      </c>
      <c r="DB85" s="31">
        <f t="shared" si="15"/>
        <v>0.5</v>
      </c>
      <c r="DC85" s="31" t="str">
        <f t="shared" si="15"/>
        <v>#DIV/0!</v>
      </c>
      <c r="DD85" s="31">
        <f t="shared" si="15"/>
        <v>2</v>
      </c>
      <c r="DE85" s="31">
        <f t="shared" si="15"/>
        <v>1754878206</v>
      </c>
      <c r="DF85" s="31">
        <f t="shared" si="15"/>
        <v>451.8185</v>
      </c>
      <c r="DG85" s="31">
        <f t="shared" si="15"/>
        <v>459.892</v>
      </c>
      <c r="DH85" s="31">
        <f t="shared" si="15"/>
        <v>36.5762</v>
      </c>
      <c r="DI85" s="31">
        <f t="shared" si="15"/>
        <v>31.4768</v>
      </c>
      <c r="DJ85" s="31">
        <f t="shared" si="15"/>
        <v>449.429</v>
      </c>
      <c r="DK85" s="31">
        <f t="shared" si="15"/>
        <v>36.0243</v>
      </c>
      <c r="DL85" s="31">
        <f t="shared" si="15"/>
        <v>499.8785</v>
      </c>
      <c r="DM85" s="31">
        <f t="shared" si="15"/>
        <v>100.919</v>
      </c>
      <c r="DN85" s="31">
        <f t="shared" si="15"/>
        <v>0.09983825</v>
      </c>
      <c r="DO85" s="31">
        <f t="shared" si="15"/>
        <v>33.7692</v>
      </c>
      <c r="DP85" s="31">
        <f t="shared" si="15"/>
        <v>32.7759</v>
      </c>
      <c r="DQ85" s="31">
        <f t="shared" si="15"/>
        <v>999.9</v>
      </c>
      <c r="DR85" s="31">
        <f t="shared" si="15"/>
        <v>0</v>
      </c>
      <c r="DS85" s="31">
        <f t="shared" si="15"/>
        <v>0</v>
      </c>
      <c r="DT85" s="31">
        <f t="shared" si="15"/>
        <v>8999.375</v>
      </c>
      <c r="DU85" s="31">
        <f t="shared" si="15"/>
        <v>0</v>
      </c>
      <c r="DV85" s="31">
        <f t="shared" si="15"/>
        <v>1251.035</v>
      </c>
      <c r="DW85" s="31">
        <f t="shared" si="15"/>
        <v>189.857</v>
      </c>
      <c r="DX85" s="31">
        <f t="shared" si="15"/>
        <v>0.8999495</v>
      </c>
      <c r="DY85" s="31">
        <f t="shared" si="15"/>
        <v>0.1000505</v>
      </c>
      <c r="DZ85" s="31">
        <f t="shared" si="15"/>
        <v>0</v>
      </c>
      <c r="EA85" s="31">
        <f t="shared" si="15"/>
        <v>628.2475</v>
      </c>
      <c r="EB85" s="31">
        <f t="shared" si="15"/>
        <v>0.0999973</v>
      </c>
      <c r="EC85" s="31">
        <f t="shared" si="15"/>
        <v>3387</v>
      </c>
      <c r="ED85" s="31">
        <f t="shared" si="15"/>
        <v>1682.77</v>
      </c>
      <c r="EE85" s="31">
        <f t="shared" si="15"/>
        <v>39.531</v>
      </c>
      <c r="EF85" s="31">
        <f t="shared" si="15"/>
        <v>43.4685</v>
      </c>
      <c r="EG85" s="31">
        <f t="shared" si="15"/>
        <v>41.187</v>
      </c>
      <c r="EH85" s="31">
        <f t="shared" si="15"/>
        <v>42.937</v>
      </c>
      <c r="EI85" s="31">
        <f t="shared" si="15"/>
        <v>42.0935</v>
      </c>
      <c r="EJ85" s="31">
        <f t="shared" si="15"/>
        <v>170.775</v>
      </c>
      <c r="EK85" s="31">
        <f t="shared" si="15"/>
        <v>18.985</v>
      </c>
      <c r="EL85" s="31">
        <f t="shared" si="15"/>
        <v>0</v>
      </c>
      <c r="EM85" s="31">
        <f t="shared" si="15"/>
        <v>169.5999999</v>
      </c>
      <c r="EN85" s="31">
        <f t="shared" si="15"/>
        <v>0</v>
      </c>
      <c r="EO85" s="31">
        <f t="shared" si="15"/>
        <v>633.1422423</v>
      </c>
      <c r="EP85" s="31">
        <f t="shared" si="15"/>
        <v>-26.84726497</v>
      </c>
      <c r="EQ85" s="31">
        <f t="shared" si="15"/>
        <v>-615.2393199</v>
      </c>
      <c r="ER85" s="31">
        <f t="shared" si="15"/>
        <v>3335.229592</v>
      </c>
      <c r="ES85" s="31">
        <f t="shared" si="15"/>
        <v>15</v>
      </c>
      <c r="ET85" s="31">
        <f t="shared" si="15"/>
        <v>1754877929</v>
      </c>
      <c r="EU85" s="42">
        <f t="shared" si="15"/>
        <v>0.42046875</v>
      </c>
      <c r="EV85" s="31">
        <f t="shared" si="15"/>
        <v>1754877929</v>
      </c>
      <c r="EW85" s="31">
        <f t="shared" si="15"/>
        <v>1754876535</v>
      </c>
      <c r="EX85" s="31">
        <f t="shared" si="15"/>
        <v>3.5</v>
      </c>
      <c r="EY85" s="31">
        <f t="shared" si="15"/>
        <v>0.227</v>
      </c>
      <c r="EZ85" s="31">
        <f t="shared" si="15"/>
        <v>-0.002</v>
      </c>
      <c r="FA85" s="31">
        <f t="shared" si="15"/>
        <v>2.3885</v>
      </c>
      <c r="FB85" s="31">
        <f t="shared" si="15"/>
        <v>0.297</v>
      </c>
      <c r="FC85" s="31">
        <f t="shared" si="15"/>
        <v>460</v>
      </c>
      <c r="FD85" s="31">
        <f t="shared" si="15"/>
        <v>20</v>
      </c>
      <c r="FE85" s="31">
        <f t="shared" si="15"/>
        <v>0.38</v>
      </c>
      <c r="FF85" s="31">
        <f t="shared" si="15"/>
        <v>0.06</v>
      </c>
      <c r="FG85" s="31">
        <f t="shared" si="15"/>
        <v>100</v>
      </c>
      <c r="FH85" s="31">
        <f t="shared" si="15"/>
        <v>100</v>
      </c>
      <c r="FI85" s="31">
        <f t="shared" si="15"/>
        <v>2.3895</v>
      </c>
      <c r="FJ85" s="31">
        <f t="shared" si="15"/>
        <v>0.5519</v>
      </c>
      <c r="FK85" s="31">
        <f t="shared" si="15"/>
        <v>2.400417723</v>
      </c>
      <c r="FL85" s="31">
        <f t="shared" si="15"/>
        <v>-0.000225954287</v>
      </c>
      <c r="FM85" s="43">
        <f t="shared" si="15"/>
        <v>0.000000005204173011</v>
      </c>
      <c r="FN85" s="43">
        <f t="shared" si="15"/>
        <v>0</v>
      </c>
      <c r="FO85" s="31">
        <f t="shared" si="15"/>
        <v>0.5518733385</v>
      </c>
      <c r="FP85" s="31">
        <f t="shared" si="15"/>
        <v>0</v>
      </c>
      <c r="FQ85" s="31">
        <f t="shared" si="15"/>
        <v>0</v>
      </c>
      <c r="FR85" s="31">
        <f t="shared" si="15"/>
        <v>0</v>
      </c>
      <c r="FS85" s="31">
        <f t="shared" si="15"/>
        <v>1</v>
      </c>
      <c r="FT85" s="31">
        <f t="shared" si="15"/>
        <v>2266</v>
      </c>
      <c r="FU85" s="31">
        <f t="shared" si="15"/>
        <v>1</v>
      </c>
      <c r="FV85" s="31">
        <f t="shared" si="15"/>
        <v>26</v>
      </c>
      <c r="FW85" s="31">
        <f t="shared" si="15"/>
        <v>11.15</v>
      </c>
      <c r="FX85" s="31">
        <f t="shared" si="15"/>
        <v>27.85</v>
      </c>
      <c r="FY85" s="31">
        <f t="shared" si="15"/>
        <v>1.10413</v>
      </c>
      <c r="FZ85" s="31">
        <f t="shared" si="15"/>
        <v>2.504885</v>
      </c>
      <c r="GA85" s="31">
        <f t="shared" si="15"/>
        <v>1.59607</v>
      </c>
      <c r="GB85" s="31">
        <f t="shared" si="15"/>
        <v>2.33337</v>
      </c>
      <c r="GC85" s="31">
        <f t="shared" si="15"/>
        <v>1.5979</v>
      </c>
      <c r="GD85" s="31">
        <f t="shared" si="15"/>
        <v>2.316285</v>
      </c>
      <c r="GE85" s="31">
        <f t="shared" si="15"/>
        <v>38.73625</v>
      </c>
      <c r="GF85" s="31">
        <f t="shared" si="15"/>
        <v>16.04955</v>
      </c>
      <c r="GG85" s="31">
        <f t="shared" si="15"/>
        <v>18</v>
      </c>
      <c r="GH85" s="31">
        <f t="shared" si="15"/>
        <v>505.8735</v>
      </c>
      <c r="GI85" s="31">
        <f t="shared" si="15"/>
        <v>505.5345</v>
      </c>
      <c r="GJ85" s="31">
        <f t="shared" si="15"/>
        <v>33.3673</v>
      </c>
      <c r="GK85" s="31">
        <f t="shared" si="15"/>
        <v>33.79885</v>
      </c>
      <c r="GL85" s="31">
        <f t="shared" si="15"/>
        <v>30.00145</v>
      </c>
      <c r="GM85" s="31">
        <f t="shared" si="15"/>
        <v>33.6243</v>
      </c>
      <c r="GN85" s="31">
        <f t="shared" si="15"/>
        <v>33.53655</v>
      </c>
      <c r="GO85" s="31">
        <f t="shared" si="15"/>
        <v>22.15985</v>
      </c>
      <c r="GP85" s="31">
        <f t="shared" si="15"/>
        <v>100</v>
      </c>
      <c r="GQ85" s="31">
        <f t="shared" si="15"/>
        <v>0</v>
      </c>
      <c r="GR85" s="31">
        <f t="shared" si="15"/>
        <v>-999.9</v>
      </c>
      <c r="GS85" s="31">
        <f t="shared" si="15"/>
        <v>460</v>
      </c>
      <c r="GT85" s="31">
        <f t="shared" si="15"/>
        <v>0</v>
      </c>
      <c r="GU85" s="31">
        <f t="shared" si="15"/>
        <v>102.906</v>
      </c>
      <c r="GV85" s="31">
        <f t="shared" si="15"/>
        <v>99.81415</v>
      </c>
    </row>
    <row r="86" ht="14.25" customHeight="1">
      <c r="A86" s="39"/>
      <c r="B86" s="39"/>
      <c r="C86" s="39"/>
      <c r="D86" s="39"/>
      <c r="E86" s="39"/>
      <c r="F86" s="39"/>
      <c r="G86" s="39"/>
      <c r="H86" s="39"/>
      <c r="I86" s="45" t="s">
        <v>111</v>
      </c>
      <c r="J86" s="31" t="s">
        <v>67</v>
      </c>
      <c r="K86" s="31">
        <f t="shared" ref="K86:GV86" si="16">AVERAGE(K34:K35)</f>
        <v>0.005748085232</v>
      </c>
      <c r="L86" s="44">
        <f t="shared" si="16"/>
        <v>5.748085232</v>
      </c>
      <c r="M86" s="44">
        <f t="shared" si="16"/>
        <v>5.170759685</v>
      </c>
      <c r="N86" s="31">
        <f t="shared" si="16"/>
        <v>450.7239927</v>
      </c>
      <c r="O86" s="44">
        <f t="shared" si="16"/>
        <v>423.0623537</v>
      </c>
      <c r="P86" s="31">
        <f t="shared" si="16"/>
        <v>42.72499617</v>
      </c>
      <c r="Q86" s="31">
        <f t="shared" si="16"/>
        <v>45.51855007</v>
      </c>
      <c r="R86" s="44">
        <f t="shared" si="16"/>
        <v>0.4813904188</v>
      </c>
      <c r="S86" s="31">
        <f t="shared" si="16"/>
        <v>2.7659424</v>
      </c>
      <c r="T86" s="31">
        <f t="shared" si="16"/>
        <v>0.4392031884</v>
      </c>
      <c r="U86" s="31">
        <f t="shared" si="16"/>
        <v>0.2779834276</v>
      </c>
      <c r="V86" s="31">
        <f t="shared" si="16"/>
        <v>31.42295451</v>
      </c>
      <c r="W86" s="31">
        <f t="shared" si="16"/>
        <v>33.91240523</v>
      </c>
      <c r="X86" s="31">
        <f t="shared" si="16"/>
        <v>33.9927</v>
      </c>
      <c r="Y86" s="31">
        <f t="shared" si="16"/>
        <v>5.34084365</v>
      </c>
      <c r="Z86" s="31">
        <f t="shared" si="16"/>
        <v>71.11341077</v>
      </c>
      <c r="AA86" s="31">
        <f t="shared" si="16"/>
        <v>4.080680705</v>
      </c>
      <c r="AB86" s="31">
        <f t="shared" si="16"/>
        <v>5.738252828</v>
      </c>
      <c r="AC86" s="31">
        <f t="shared" si="16"/>
        <v>1.260162946</v>
      </c>
      <c r="AD86" s="31">
        <f t="shared" si="16"/>
        <v>-253.4905587</v>
      </c>
      <c r="AE86" s="31">
        <f t="shared" si="16"/>
        <v>192.7571847</v>
      </c>
      <c r="AF86" s="31">
        <f t="shared" si="16"/>
        <v>16.21826621</v>
      </c>
      <c r="AG86" s="31">
        <f t="shared" si="16"/>
        <v>-13.09215329</v>
      </c>
      <c r="AH86" s="31">
        <f t="shared" si="16"/>
        <v>0</v>
      </c>
      <c r="AI86" s="31">
        <f t="shared" si="16"/>
        <v>0</v>
      </c>
      <c r="AJ86" s="31">
        <f t="shared" si="16"/>
        <v>1</v>
      </c>
      <c r="AK86" s="31">
        <f t="shared" si="16"/>
        <v>0</v>
      </c>
      <c r="AL86" s="31">
        <f t="shared" si="16"/>
        <v>46937.5</v>
      </c>
      <c r="AM86" s="31" t="str">
        <f t="shared" si="16"/>
        <v>#DIV/0!</v>
      </c>
      <c r="AN86" s="31">
        <f t="shared" si="16"/>
        <v>8173.37</v>
      </c>
      <c r="AO86" s="31">
        <f t="shared" si="16"/>
        <v>559.296</v>
      </c>
      <c r="AP86" s="31">
        <f t="shared" si="16"/>
        <v>2893.93</v>
      </c>
      <c r="AQ86" s="31">
        <f t="shared" si="16"/>
        <v>0.8067347863</v>
      </c>
      <c r="AR86" s="31">
        <f t="shared" si="16"/>
        <v>-2.38169763</v>
      </c>
      <c r="AS86" s="31" t="str">
        <f t="shared" si="16"/>
        <v>#DIV/0!</v>
      </c>
      <c r="AT86" s="31">
        <f t="shared" si="16"/>
        <v>8183.87</v>
      </c>
      <c r="AU86" s="31">
        <f t="shared" si="16"/>
        <v>670.7342231</v>
      </c>
      <c r="AV86" s="31">
        <f t="shared" si="16"/>
        <v>2184.085</v>
      </c>
      <c r="AW86" s="31">
        <f t="shared" si="16"/>
        <v>0.6935611144</v>
      </c>
      <c r="AX86" s="31">
        <f t="shared" si="16"/>
        <v>0.5</v>
      </c>
      <c r="AY86" s="31">
        <f t="shared" si="16"/>
        <v>160.1682705</v>
      </c>
      <c r="AZ86" s="31">
        <f t="shared" si="16"/>
        <v>5.170759685</v>
      </c>
      <c r="BA86" s="31">
        <f t="shared" si="16"/>
        <v>55.54315156</v>
      </c>
      <c r="BB86" s="31">
        <f t="shared" si="16"/>
        <v>0.0471533546</v>
      </c>
      <c r="BC86" s="31">
        <f t="shared" si="16"/>
        <v>0.3282289877</v>
      </c>
      <c r="BD86" s="31">
        <f t="shared" si="16"/>
        <v>526.0076193</v>
      </c>
      <c r="BE86" s="31" t="str">
        <f t="shared" si="16"/>
        <v>#DIV/0!</v>
      </c>
      <c r="BF86" s="31">
        <f t="shared" si="16"/>
        <v>-1082.9</v>
      </c>
      <c r="BG86" s="31">
        <f t="shared" si="16"/>
        <v>-1082.9</v>
      </c>
      <c r="BH86" s="31">
        <f t="shared" si="16"/>
        <v>1.504281345</v>
      </c>
      <c r="BI86" s="31">
        <f t="shared" si="16"/>
        <v>0.4661267595</v>
      </c>
      <c r="BJ86" s="31">
        <f t="shared" si="16"/>
        <v>0.1774685309</v>
      </c>
      <c r="BK86" s="31">
        <f t="shared" si="16"/>
        <v>0.9336618558</v>
      </c>
      <c r="BL86" s="31">
        <f t="shared" si="16"/>
        <v>0.3040497997</v>
      </c>
      <c r="BM86" s="31">
        <f t="shared" si="16"/>
        <v>-0.7519026699</v>
      </c>
      <c r="BN86" s="31">
        <f t="shared" si="16"/>
        <v>1.75190267</v>
      </c>
      <c r="BO86" s="31" t="str">
        <f t="shared" si="16"/>
        <v>#DIV/0!</v>
      </c>
      <c r="BP86" s="31" t="str">
        <f t="shared" si="16"/>
        <v>#DIV/0!</v>
      </c>
      <c r="BQ86" s="31" t="str">
        <f t="shared" si="16"/>
        <v>#DIV/0!</v>
      </c>
      <c r="BR86" s="31" t="str">
        <f t="shared" si="16"/>
        <v>#DIV/0!</v>
      </c>
      <c r="BS86" s="31" t="str">
        <f t="shared" si="16"/>
        <v>#DIV/0!</v>
      </c>
      <c r="BT86" s="31" t="str">
        <f t="shared" si="16"/>
        <v>#DIV/0!</v>
      </c>
      <c r="BU86" s="31" t="str">
        <f t="shared" si="16"/>
        <v>#DIV/0!</v>
      </c>
      <c r="BV86" s="31" t="str">
        <f t="shared" si="16"/>
        <v>#DIV/0!</v>
      </c>
      <c r="BW86" s="31" t="str">
        <f t="shared" si="16"/>
        <v>#DIV/0!</v>
      </c>
      <c r="BX86" s="31" t="str">
        <f t="shared" si="16"/>
        <v>#DIV/0!</v>
      </c>
      <c r="BY86" s="31" t="str">
        <f t="shared" si="16"/>
        <v>#DIV/0!</v>
      </c>
      <c r="BZ86" s="31" t="str">
        <f t="shared" si="16"/>
        <v>#DIV/0!</v>
      </c>
      <c r="CA86" s="31" t="str">
        <f t="shared" si="16"/>
        <v>#DIV/0!</v>
      </c>
      <c r="CB86" s="31" t="str">
        <f t="shared" si="16"/>
        <v>#DIV/0!</v>
      </c>
      <c r="CC86" s="31" t="str">
        <f t="shared" si="16"/>
        <v>#DIV/0!</v>
      </c>
      <c r="CD86" s="31" t="str">
        <f t="shared" si="16"/>
        <v>#DIV/0!</v>
      </c>
      <c r="CE86" s="31" t="str">
        <f t="shared" si="16"/>
        <v>#DIV/0!</v>
      </c>
      <c r="CF86" s="31" t="str">
        <f t="shared" si="16"/>
        <v>#DIV/0!</v>
      </c>
      <c r="CG86" s="31" t="str">
        <f t="shared" si="16"/>
        <v>#DIV/0!</v>
      </c>
      <c r="CH86" s="31" t="str">
        <f t="shared" si="16"/>
        <v>#DIV/0!</v>
      </c>
      <c r="CI86" s="31" t="str">
        <f t="shared" si="16"/>
        <v>#DIV/0!</v>
      </c>
      <c r="CJ86" s="31" t="str">
        <f t="shared" si="16"/>
        <v>#DIV/0!</v>
      </c>
      <c r="CK86" s="31" t="str">
        <f t="shared" si="16"/>
        <v>#DIV/0!</v>
      </c>
      <c r="CL86" s="31" t="str">
        <f t="shared" si="16"/>
        <v>#DIV/0!</v>
      </c>
      <c r="CM86" s="31" t="str">
        <f t="shared" si="16"/>
        <v>#DIV/0!</v>
      </c>
      <c r="CN86" s="31" t="str">
        <f t="shared" si="16"/>
        <v>#DIV/0!</v>
      </c>
      <c r="CO86" s="31" t="str">
        <f t="shared" si="16"/>
        <v>#DIV/0!</v>
      </c>
      <c r="CP86" s="31" t="str">
        <f t="shared" si="16"/>
        <v>#DIV/0!</v>
      </c>
      <c r="CQ86" s="31" t="str">
        <f t="shared" si="16"/>
        <v>#DIV/0!</v>
      </c>
      <c r="CR86" s="31" t="str">
        <f t="shared" si="16"/>
        <v>#DIV/0!</v>
      </c>
      <c r="CS86" s="31" t="str">
        <f t="shared" si="16"/>
        <v>#DIV/0!</v>
      </c>
      <c r="CT86" s="31" t="str">
        <f t="shared" si="16"/>
        <v>#DIV/0!</v>
      </c>
      <c r="CU86" s="31" t="str">
        <f t="shared" si="16"/>
        <v>#DIV/0!</v>
      </c>
      <c r="CV86" s="31" t="str">
        <f t="shared" si="16"/>
        <v>#DIV/0!</v>
      </c>
      <c r="CW86" s="31">
        <f t="shared" si="16"/>
        <v>189.9985</v>
      </c>
      <c r="CX86" s="31">
        <f t="shared" si="16"/>
        <v>160.1682705</v>
      </c>
      <c r="CY86" s="31">
        <f t="shared" si="16"/>
        <v>0.8429975526</v>
      </c>
      <c r="CZ86" s="31">
        <f t="shared" si="16"/>
        <v>0.1653852765</v>
      </c>
      <c r="DA86" s="31">
        <f t="shared" si="16"/>
        <v>6</v>
      </c>
      <c r="DB86" s="31">
        <f t="shared" si="16"/>
        <v>0.5</v>
      </c>
      <c r="DC86" s="31" t="str">
        <f t="shared" si="16"/>
        <v>#DIV/0!</v>
      </c>
      <c r="DD86" s="31">
        <f t="shared" si="16"/>
        <v>2</v>
      </c>
      <c r="DE86" s="31">
        <f t="shared" si="16"/>
        <v>1754884001</v>
      </c>
      <c r="DF86" s="31">
        <f t="shared" si="16"/>
        <v>450.724</v>
      </c>
      <c r="DG86" s="31">
        <f t="shared" si="16"/>
        <v>460.038</v>
      </c>
      <c r="DH86" s="31">
        <f t="shared" si="16"/>
        <v>40.40685</v>
      </c>
      <c r="DI86" s="31">
        <f t="shared" si="16"/>
        <v>33.7878</v>
      </c>
      <c r="DJ86" s="31">
        <f t="shared" si="16"/>
        <v>447.745</v>
      </c>
      <c r="DK86" s="31">
        <f t="shared" si="16"/>
        <v>39.855</v>
      </c>
      <c r="DL86" s="31">
        <f t="shared" si="16"/>
        <v>499.994</v>
      </c>
      <c r="DM86" s="31">
        <f t="shared" si="16"/>
        <v>100.89</v>
      </c>
      <c r="DN86" s="31">
        <f t="shared" si="16"/>
        <v>0.0998564</v>
      </c>
      <c r="DO86" s="31">
        <f t="shared" si="16"/>
        <v>35.28535</v>
      </c>
      <c r="DP86" s="31">
        <f t="shared" si="16"/>
        <v>33.9927</v>
      </c>
      <c r="DQ86" s="31">
        <f t="shared" si="16"/>
        <v>999.9</v>
      </c>
      <c r="DR86" s="31">
        <f t="shared" si="16"/>
        <v>0</v>
      </c>
      <c r="DS86" s="31">
        <f t="shared" si="16"/>
        <v>0</v>
      </c>
      <c r="DT86" s="31">
        <f t="shared" si="16"/>
        <v>9015</v>
      </c>
      <c r="DU86" s="31">
        <f t="shared" si="16"/>
        <v>0</v>
      </c>
      <c r="DV86" s="31">
        <f t="shared" si="16"/>
        <v>809.285</v>
      </c>
      <c r="DW86" s="31">
        <f t="shared" si="16"/>
        <v>189.9985</v>
      </c>
      <c r="DX86" s="31">
        <f t="shared" si="16"/>
        <v>0.9000385</v>
      </c>
      <c r="DY86" s="31">
        <f t="shared" si="16"/>
        <v>0.09996175</v>
      </c>
      <c r="DZ86" s="31">
        <f t="shared" si="16"/>
        <v>0</v>
      </c>
      <c r="EA86" s="31">
        <f t="shared" si="16"/>
        <v>669.0575</v>
      </c>
      <c r="EB86" s="31">
        <f t="shared" si="16"/>
        <v>0.0999973</v>
      </c>
      <c r="EC86" s="31">
        <f t="shared" si="16"/>
        <v>3012.71</v>
      </c>
      <c r="ED86" s="31">
        <f t="shared" si="16"/>
        <v>1684.07</v>
      </c>
      <c r="EE86" s="31">
        <f t="shared" si="16"/>
        <v>40.156</v>
      </c>
      <c r="EF86" s="31">
        <f t="shared" si="16"/>
        <v>43.937</v>
      </c>
      <c r="EG86" s="31">
        <f t="shared" si="16"/>
        <v>41.7185</v>
      </c>
      <c r="EH86" s="31">
        <f t="shared" si="16"/>
        <v>43.406</v>
      </c>
      <c r="EI86" s="31">
        <f t="shared" si="16"/>
        <v>42.8125</v>
      </c>
      <c r="EJ86" s="31">
        <f t="shared" si="16"/>
        <v>170.92</v>
      </c>
      <c r="EK86" s="31">
        <f t="shared" si="16"/>
        <v>18.985</v>
      </c>
      <c r="EL86" s="31">
        <f t="shared" si="16"/>
        <v>0</v>
      </c>
      <c r="EM86" s="31">
        <f t="shared" si="16"/>
        <v>143.5</v>
      </c>
      <c r="EN86" s="31">
        <f t="shared" si="16"/>
        <v>0</v>
      </c>
      <c r="EO86" s="31">
        <f t="shared" si="16"/>
        <v>670.7342231</v>
      </c>
      <c r="EP86" s="31">
        <f t="shared" si="16"/>
        <v>-25.59523509</v>
      </c>
      <c r="EQ86" s="31">
        <f t="shared" si="16"/>
        <v>51.62730776</v>
      </c>
      <c r="ER86" s="31">
        <f t="shared" si="16"/>
        <v>3014.645208</v>
      </c>
      <c r="ES86" s="31">
        <f t="shared" si="16"/>
        <v>15</v>
      </c>
      <c r="ET86" s="31">
        <f t="shared" si="16"/>
        <v>1754883664</v>
      </c>
      <c r="EU86" s="42">
        <f t="shared" si="16"/>
        <v>0.4868518519</v>
      </c>
      <c r="EV86" s="31">
        <f t="shared" si="16"/>
        <v>1754883664</v>
      </c>
      <c r="EW86" s="31">
        <f t="shared" si="16"/>
        <v>1754876535</v>
      </c>
      <c r="EX86" s="31">
        <f t="shared" si="16"/>
        <v>13</v>
      </c>
      <c r="EY86" s="31">
        <f t="shared" si="16"/>
        <v>0.084</v>
      </c>
      <c r="EZ86" s="31">
        <f t="shared" si="16"/>
        <v>-0.002</v>
      </c>
      <c r="FA86" s="31">
        <f t="shared" si="16"/>
        <v>2.977</v>
      </c>
      <c r="FB86" s="31">
        <f t="shared" si="16"/>
        <v>0.297</v>
      </c>
      <c r="FC86" s="31">
        <f t="shared" si="16"/>
        <v>460</v>
      </c>
      <c r="FD86" s="31">
        <f t="shared" si="16"/>
        <v>20</v>
      </c>
      <c r="FE86" s="31">
        <f t="shared" si="16"/>
        <v>0.35</v>
      </c>
      <c r="FF86" s="31">
        <f t="shared" si="16"/>
        <v>0.06</v>
      </c>
      <c r="FG86" s="31">
        <f t="shared" si="16"/>
        <v>100</v>
      </c>
      <c r="FH86" s="31">
        <f t="shared" si="16"/>
        <v>100</v>
      </c>
      <c r="FI86" s="31">
        <f t="shared" si="16"/>
        <v>2.979</v>
      </c>
      <c r="FJ86" s="31">
        <f t="shared" si="16"/>
        <v>0.55185</v>
      </c>
      <c r="FK86" s="31">
        <f t="shared" si="16"/>
        <v>3.078633595</v>
      </c>
      <c r="FL86" s="31">
        <f t="shared" si="16"/>
        <v>-0.000225954287</v>
      </c>
      <c r="FM86" s="43">
        <f t="shared" si="16"/>
        <v>0.000000005204173011</v>
      </c>
      <c r="FN86" s="43">
        <f t="shared" si="16"/>
        <v>0</v>
      </c>
      <c r="FO86" s="31">
        <f t="shared" si="16"/>
        <v>0.5518733385</v>
      </c>
      <c r="FP86" s="31">
        <f t="shared" si="16"/>
        <v>0</v>
      </c>
      <c r="FQ86" s="31">
        <f t="shared" si="16"/>
        <v>0</v>
      </c>
      <c r="FR86" s="31">
        <f t="shared" si="16"/>
        <v>0</v>
      </c>
      <c r="FS86" s="31">
        <f t="shared" si="16"/>
        <v>1</v>
      </c>
      <c r="FT86" s="31">
        <f t="shared" si="16"/>
        <v>2266</v>
      </c>
      <c r="FU86" s="31">
        <f t="shared" si="16"/>
        <v>1</v>
      </c>
      <c r="FV86" s="31">
        <f t="shared" si="16"/>
        <v>26</v>
      </c>
      <c r="FW86" s="31">
        <f t="shared" si="16"/>
        <v>5.65</v>
      </c>
      <c r="FX86" s="31">
        <f t="shared" si="16"/>
        <v>124.45</v>
      </c>
      <c r="FY86" s="31">
        <f t="shared" si="16"/>
        <v>1.12427</v>
      </c>
      <c r="FZ86" s="31">
        <f t="shared" si="16"/>
        <v>2.5647</v>
      </c>
      <c r="GA86" s="31">
        <f t="shared" si="16"/>
        <v>1.59668</v>
      </c>
      <c r="GB86" s="31">
        <f t="shared" si="16"/>
        <v>2.31689</v>
      </c>
      <c r="GC86" s="31">
        <f t="shared" si="16"/>
        <v>1.5979</v>
      </c>
      <c r="GD86" s="31">
        <f t="shared" si="16"/>
        <v>2.282715</v>
      </c>
      <c r="GE86" s="31">
        <f t="shared" si="16"/>
        <v>43.20915</v>
      </c>
      <c r="GF86" s="31">
        <f t="shared" si="16"/>
        <v>15.25275</v>
      </c>
      <c r="GG86" s="31">
        <f t="shared" si="16"/>
        <v>18</v>
      </c>
      <c r="GH86" s="31">
        <f t="shared" si="16"/>
        <v>509.8985</v>
      </c>
      <c r="GI86" s="31">
        <f t="shared" si="16"/>
        <v>465.787</v>
      </c>
      <c r="GJ86" s="31">
        <f t="shared" si="16"/>
        <v>35.15515</v>
      </c>
      <c r="GK86" s="31">
        <f t="shared" si="16"/>
        <v>35.04755</v>
      </c>
      <c r="GL86" s="31">
        <f t="shared" si="16"/>
        <v>30.00065</v>
      </c>
      <c r="GM86" s="31">
        <f t="shared" si="16"/>
        <v>35.02135</v>
      </c>
      <c r="GN86" s="31">
        <f t="shared" si="16"/>
        <v>34.96745</v>
      </c>
      <c r="GO86" s="31">
        <f t="shared" si="16"/>
        <v>22.56195</v>
      </c>
      <c r="GP86" s="31">
        <f t="shared" si="16"/>
        <v>100</v>
      </c>
      <c r="GQ86" s="31">
        <f t="shared" si="16"/>
        <v>0</v>
      </c>
      <c r="GR86" s="31">
        <f t="shared" si="16"/>
        <v>-999.9</v>
      </c>
      <c r="GS86" s="31">
        <f t="shared" si="16"/>
        <v>460</v>
      </c>
      <c r="GT86" s="31">
        <f t="shared" si="16"/>
        <v>0</v>
      </c>
      <c r="GU86" s="31">
        <f t="shared" si="16"/>
        <v>102.589</v>
      </c>
      <c r="GV86" s="31">
        <f t="shared" si="16"/>
        <v>99.7745</v>
      </c>
    </row>
    <row r="87" ht="14.25" customHeight="1">
      <c r="A87" s="39"/>
      <c r="B87" s="39"/>
      <c r="C87" s="39"/>
      <c r="D87" s="39"/>
      <c r="E87" s="39"/>
      <c r="F87" s="39"/>
      <c r="G87" s="39"/>
      <c r="H87" s="39"/>
      <c r="I87" s="45" t="s">
        <v>112</v>
      </c>
      <c r="J87" s="31" t="s">
        <v>53</v>
      </c>
      <c r="K87" s="31">
        <f t="shared" ref="K87:GV87" si="17">AVERAGE(K36:K37)</f>
        <v>0.001219970981</v>
      </c>
      <c r="L87" s="44">
        <f t="shared" si="17"/>
        <v>1.219970981</v>
      </c>
      <c r="M87" s="44">
        <f t="shared" si="17"/>
        <v>-0.1551295629</v>
      </c>
      <c r="N87" s="31">
        <f t="shared" si="17"/>
        <v>459.4705002</v>
      </c>
      <c r="O87" s="44">
        <f t="shared" si="17"/>
        <v>448.1692892</v>
      </c>
      <c r="P87" s="31">
        <f t="shared" si="17"/>
        <v>45.28292163</v>
      </c>
      <c r="Q87" s="31">
        <f t="shared" si="17"/>
        <v>46.4247862</v>
      </c>
      <c r="R87" s="44">
        <f t="shared" si="17"/>
        <v>0.05690926749</v>
      </c>
      <c r="S87" s="31">
        <f t="shared" si="17"/>
        <v>2.759423278</v>
      </c>
      <c r="T87" s="31">
        <f t="shared" si="17"/>
        <v>0.05626516478</v>
      </c>
      <c r="U87" s="31">
        <f t="shared" si="17"/>
        <v>0.0352229905</v>
      </c>
      <c r="V87" s="31">
        <f t="shared" si="17"/>
        <v>31.42646495</v>
      </c>
      <c r="W87" s="31">
        <f t="shared" si="17"/>
        <v>35.19277098</v>
      </c>
      <c r="X87" s="31">
        <f t="shared" si="17"/>
        <v>35.3231</v>
      </c>
      <c r="Y87" s="31">
        <f t="shared" si="17"/>
        <v>5.750223407</v>
      </c>
      <c r="Z87" s="31">
        <f t="shared" si="17"/>
        <v>63.64719332</v>
      </c>
      <c r="AA87" s="31">
        <f t="shared" si="17"/>
        <v>3.661478531</v>
      </c>
      <c r="AB87" s="31">
        <f t="shared" si="17"/>
        <v>5.752920379</v>
      </c>
      <c r="AC87" s="31">
        <f t="shared" si="17"/>
        <v>2.088744876</v>
      </c>
      <c r="AD87" s="31">
        <f t="shared" si="17"/>
        <v>-53.80072028</v>
      </c>
      <c r="AE87" s="31">
        <f t="shared" si="17"/>
        <v>1.237958808</v>
      </c>
      <c r="AF87" s="31">
        <f t="shared" si="17"/>
        <v>0.1053166761</v>
      </c>
      <c r="AG87" s="31">
        <f t="shared" si="17"/>
        <v>-21.03097984</v>
      </c>
      <c r="AH87" s="31">
        <f t="shared" si="17"/>
        <v>0</v>
      </c>
      <c r="AI87" s="31">
        <f t="shared" si="17"/>
        <v>0</v>
      </c>
      <c r="AJ87" s="31">
        <f t="shared" si="17"/>
        <v>1</v>
      </c>
      <c r="AK87" s="31">
        <f t="shared" si="17"/>
        <v>0</v>
      </c>
      <c r="AL87" s="31">
        <f t="shared" si="17"/>
        <v>46753.5</v>
      </c>
      <c r="AM87" s="31" t="str">
        <f t="shared" si="17"/>
        <v>#DIV/0!</v>
      </c>
      <c r="AN87" s="31">
        <f t="shared" si="17"/>
        <v>8173.37</v>
      </c>
      <c r="AO87" s="31">
        <f t="shared" si="17"/>
        <v>559.296</v>
      </c>
      <c r="AP87" s="31">
        <f t="shared" si="17"/>
        <v>2893.93</v>
      </c>
      <c r="AQ87" s="31">
        <f t="shared" si="17"/>
        <v>0.8067347863</v>
      </c>
      <c r="AR87" s="31">
        <f t="shared" si="17"/>
        <v>-2.38169763</v>
      </c>
      <c r="AS87" s="31" t="str">
        <f t="shared" si="17"/>
        <v>#DIV/0!</v>
      </c>
      <c r="AT87" s="31">
        <f t="shared" si="17"/>
        <v>8172.94</v>
      </c>
      <c r="AU87" s="31">
        <f t="shared" si="17"/>
        <v>139.7264423</v>
      </c>
      <c r="AV87" s="31">
        <f t="shared" si="17"/>
        <v>261.365</v>
      </c>
      <c r="AW87" s="31">
        <f t="shared" si="17"/>
        <v>0.4536036556</v>
      </c>
      <c r="AX87" s="31">
        <f t="shared" si="17"/>
        <v>0.5</v>
      </c>
      <c r="AY87" s="31">
        <f t="shared" si="17"/>
        <v>160.1852355</v>
      </c>
      <c r="AZ87" s="31">
        <f t="shared" si="17"/>
        <v>-0.1551295629</v>
      </c>
      <c r="BA87" s="31">
        <f t="shared" si="17"/>
        <v>36.33163472</v>
      </c>
      <c r="BB87" s="31">
        <f t="shared" si="17"/>
        <v>0.01389976587</v>
      </c>
      <c r="BC87" s="31">
        <f t="shared" si="17"/>
        <v>11.25605246</v>
      </c>
      <c r="BD87" s="31">
        <f t="shared" si="17"/>
        <v>186.1367806</v>
      </c>
      <c r="BE87" s="31" t="str">
        <f t="shared" si="17"/>
        <v>#DIV/0!</v>
      </c>
      <c r="BF87" s="31">
        <f t="shared" si="17"/>
        <v>-354.465</v>
      </c>
      <c r="BG87" s="31">
        <f t="shared" si="17"/>
        <v>-354.465</v>
      </c>
      <c r="BH87" s="31">
        <f t="shared" si="17"/>
        <v>2.307539484</v>
      </c>
      <c r="BI87" s="31">
        <f t="shared" si="17"/>
        <v>0.1963628874</v>
      </c>
      <c r="BJ87" s="31">
        <f t="shared" si="17"/>
        <v>0.8132212116</v>
      </c>
      <c r="BK87" s="31">
        <f t="shared" si="17"/>
        <v>-0.4872878205</v>
      </c>
      <c r="BL87" s="31">
        <f t="shared" si="17"/>
        <v>1.127613579</v>
      </c>
      <c r="BM87" s="31">
        <f t="shared" si="17"/>
        <v>-0.4775260026</v>
      </c>
      <c r="BN87" s="31">
        <f t="shared" si="17"/>
        <v>1.477526003</v>
      </c>
      <c r="BO87" s="31" t="str">
        <f t="shared" si="17"/>
        <v>#DIV/0!</v>
      </c>
      <c r="BP87" s="31" t="str">
        <f t="shared" si="17"/>
        <v>#DIV/0!</v>
      </c>
      <c r="BQ87" s="31" t="str">
        <f t="shared" si="17"/>
        <v>#DIV/0!</v>
      </c>
      <c r="BR87" s="31" t="str">
        <f t="shared" si="17"/>
        <v>#DIV/0!</v>
      </c>
      <c r="BS87" s="31" t="str">
        <f t="shared" si="17"/>
        <v>#DIV/0!</v>
      </c>
      <c r="BT87" s="31" t="str">
        <f t="shared" si="17"/>
        <v>#DIV/0!</v>
      </c>
      <c r="BU87" s="31" t="str">
        <f t="shared" si="17"/>
        <v>#DIV/0!</v>
      </c>
      <c r="BV87" s="31" t="str">
        <f t="shared" si="17"/>
        <v>#DIV/0!</v>
      </c>
      <c r="BW87" s="31" t="str">
        <f t="shared" si="17"/>
        <v>#DIV/0!</v>
      </c>
      <c r="BX87" s="31" t="str">
        <f t="shared" si="17"/>
        <v>#DIV/0!</v>
      </c>
      <c r="BY87" s="31" t="str">
        <f t="shared" si="17"/>
        <v>#DIV/0!</v>
      </c>
      <c r="BZ87" s="31" t="str">
        <f t="shared" si="17"/>
        <v>#DIV/0!</v>
      </c>
      <c r="CA87" s="31" t="str">
        <f t="shared" si="17"/>
        <v>#DIV/0!</v>
      </c>
      <c r="CB87" s="31" t="str">
        <f t="shared" si="17"/>
        <v>#DIV/0!</v>
      </c>
      <c r="CC87" s="31" t="str">
        <f t="shared" si="17"/>
        <v>#DIV/0!</v>
      </c>
      <c r="CD87" s="31" t="str">
        <f t="shared" si="17"/>
        <v>#DIV/0!</v>
      </c>
      <c r="CE87" s="31" t="str">
        <f t="shared" si="17"/>
        <v>#DIV/0!</v>
      </c>
      <c r="CF87" s="31" t="str">
        <f t="shared" si="17"/>
        <v>#DIV/0!</v>
      </c>
      <c r="CG87" s="31" t="str">
        <f t="shared" si="17"/>
        <v>#DIV/0!</v>
      </c>
      <c r="CH87" s="31" t="str">
        <f t="shared" si="17"/>
        <v>#DIV/0!</v>
      </c>
      <c r="CI87" s="31" t="str">
        <f t="shared" si="17"/>
        <v>#DIV/0!</v>
      </c>
      <c r="CJ87" s="31" t="str">
        <f t="shared" si="17"/>
        <v>#DIV/0!</v>
      </c>
      <c r="CK87" s="31" t="str">
        <f t="shared" si="17"/>
        <v>#DIV/0!</v>
      </c>
      <c r="CL87" s="31" t="str">
        <f t="shared" si="17"/>
        <v>#DIV/0!</v>
      </c>
      <c r="CM87" s="31" t="str">
        <f t="shared" si="17"/>
        <v>#DIV/0!</v>
      </c>
      <c r="CN87" s="31" t="str">
        <f t="shared" si="17"/>
        <v>#DIV/0!</v>
      </c>
      <c r="CO87" s="31" t="str">
        <f t="shared" si="17"/>
        <v>#DIV/0!</v>
      </c>
      <c r="CP87" s="31" t="str">
        <f t="shared" si="17"/>
        <v>#DIV/0!</v>
      </c>
      <c r="CQ87" s="31" t="str">
        <f t="shared" si="17"/>
        <v>#DIV/0!</v>
      </c>
      <c r="CR87" s="31" t="str">
        <f t="shared" si="17"/>
        <v>#DIV/0!</v>
      </c>
      <c r="CS87" s="31" t="str">
        <f t="shared" si="17"/>
        <v>#DIV/0!</v>
      </c>
      <c r="CT87" s="31" t="str">
        <f t="shared" si="17"/>
        <v>#DIV/0!</v>
      </c>
      <c r="CU87" s="31" t="str">
        <f t="shared" si="17"/>
        <v>#DIV/0!</v>
      </c>
      <c r="CV87" s="31" t="str">
        <f t="shared" si="17"/>
        <v>#DIV/0!</v>
      </c>
      <c r="CW87" s="31">
        <f t="shared" si="17"/>
        <v>190.0185</v>
      </c>
      <c r="CX87" s="31">
        <f t="shared" si="17"/>
        <v>160.1852355</v>
      </c>
      <c r="CY87" s="31">
        <f t="shared" si="17"/>
        <v>0.8429981062</v>
      </c>
      <c r="CZ87" s="31">
        <f t="shared" si="17"/>
        <v>0.1653863449</v>
      </c>
      <c r="DA87" s="31">
        <f t="shared" si="17"/>
        <v>6</v>
      </c>
      <c r="DB87" s="31">
        <f t="shared" si="17"/>
        <v>0.5</v>
      </c>
      <c r="DC87" s="31" t="str">
        <f t="shared" si="17"/>
        <v>#DIV/0!</v>
      </c>
      <c r="DD87" s="31">
        <f t="shared" si="17"/>
        <v>2</v>
      </c>
      <c r="DE87" s="31">
        <f t="shared" si="17"/>
        <v>1754880547</v>
      </c>
      <c r="DF87" s="31">
        <f t="shared" si="17"/>
        <v>459.4705</v>
      </c>
      <c r="DG87" s="31">
        <f t="shared" si="17"/>
        <v>459.957</v>
      </c>
      <c r="DH87" s="31">
        <f t="shared" si="17"/>
        <v>36.238</v>
      </c>
      <c r="DI87" s="31">
        <f t="shared" si="17"/>
        <v>34.82705</v>
      </c>
      <c r="DJ87" s="31">
        <f t="shared" si="17"/>
        <v>456.7405</v>
      </c>
      <c r="DK87" s="31">
        <f t="shared" si="17"/>
        <v>35.68615</v>
      </c>
      <c r="DL87" s="31">
        <f t="shared" si="17"/>
        <v>499.987</v>
      </c>
      <c r="DM87" s="31">
        <f t="shared" si="17"/>
        <v>100.9395</v>
      </c>
      <c r="DN87" s="31">
        <f t="shared" si="17"/>
        <v>0.100253</v>
      </c>
      <c r="DO87" s="31">
        <f t="shared" si="17"/>
        <v>35.3314</v>
      </c>
      <c r="DP87" s="31">
        <f t="shared" si="17"/>
        <v>35.3231</v>
      </c>
      <c r="DQ87" s="31">
        <f t="shared" si="17"/>
        <v>999.9</v>
      </c>
      <c r="DR87" s="31">
        <f t="shared" si="17"/>
        <v>0</v>
      </c>
      <c r="DS87" s="31">
        <f t="shared" si="17"/>
        <v>0</v>
      </c>
      <c r="DT87" s="31">
        <f t="shared" si="17"/>
        <v>8975.935</v>
      </c>
      <c r="DU87" s="31">
        <f t="shared" si="17"/>
        <v>0</v>
      </c>
      <c r="DV87" s="31">
        <f t="shared" si="17"/>
        <v>718.7475</v>
      </c>
      <c r="DW87" s="31">
        <f t="shared" si="17"/>
        <v>190.0185</v>
      </c>
      <c r="DX87" s="31">
        <f t="shared" si="17"/>
        <v>0.9000135</v>
      </c>
      <c r="DY87" s="31">
        <f t="shared" si="17"/>
        <v>0.0999866</v>
      </c>
      <c r="DZ87" s="31">
        <f t="shared" si="17"/>
        <v>0</v>
      </c>
      <c r="EA87" s="31">
        <f t="shared" si="17"/>
        <v>136.78</v>
      </c>
      <c r="EB87" s="31">
        <f t="shared" si="17"/>
        <v>0.0999973</v>
      </c>
      <c r="EC87" s="31">
        <f t="shared" si="17"/>
        <v>866.8725</v>
      </c>
      <c r="ED87" s="31">
        <f t="shared" si="17"/>
        <v>1684.23</v>
      </c>
      <c r="EE87" s="31">
        <f t="shared" si="17"/>
        <v>40.437</v>
      </c>
      <c r="EF87" s="31">
        <f t="shared" si="17"/>
        <v>43.9685</v>
      </c>
      <c r="EG87" s="31">
        <f t="shared" si="17"/>
        <v>41.937</v>
      </c>
      <c r="EH87" s="31">
        <f t="shared" si="17"/>
        <v>43.6245</v>
      </c>
      <c r="EI87" s="31">
        <f t="shared" si="17"/>
        <v>43.031</v>
      </c>
      <c r="EJ87" s="31">
        <f t="shared" si="17"/>
        <v>170.93</v>
      </c>
      <c r="EK87" s="31">
        <f t="shared" si="17"/>
        <v>18.99</v>
      </c>
      <c r="EL87" s="31">
        <f t="shared" si="17"/>
        <v>0</v>
      </c>
      <c r="EM87" s="31">
        <f t="shared" si="17"/>
        <v>142</v>
      </c>
      <c r="EN87" s="31">
        <f t="shared" si="17"/>
        <v>0</v>
      </c>
      <c r="EO87" s="31">
        <f t="shared" si="17"/>
        <v>139.7264423</v>
      </c>
      <c r="EP87" s="31">
        <f t="shared" si="17"/>
        <v>-2.230341917</v>
      </c>
      <c r="EQ87" s="31">
        <f t="shared" si="17"/>
        <v>-392.9370091</v>
      </c>
      <c r="ER87" s="31">
        <f t="shared" si="17"/>
        <v>911.0420192</v>
      </c>
      <c r="ES87" s="31">
        <f t="shared" si="17"/>
        <v>15</v>
      </c>
      <c r="ET87" s="31">
        <f t="shared" si="17"/>
        <v>1754880568</v>
      </c>
      <c r="EU87" s="42">
        <f t="shared" si="17"/>
        <v>0.4510127315</v>
      </c>
      <c r="EV87" s="31">
        <f t="shared" si="17"/>
        <v>1754880568</v>
      </c>
      <c r="EW87" s="31">
        <f t="shared" si="17"/>
        <v>1754876535</v>
      </c>
      <c r="EX87" s="31">
        <f t="shared" si="17"/>
        <v>7.5</v>
      </c>
      <c r="EY87" s="31">
        <f t="shared" si="17"/>
        <v>0.051</v>
      </c>
      <c r="EZ87" s="31">
        <f t="shared" si="17"/>
        <v>-0.002</v>
      </c>
      <c r="FA87" s="31">
        <f t="shared" si="17"/>
        <v>2.73</v>
      </c>
      <c r="FB87" s="31">
        <f t="shared" si="17"/>
        <v>0.297</v>
      </c>
      <c r="FC87" s="31">
        <f t="shared" si="17"/>
        <v>460</v>
      </c>
      <c r="FD87" s="31">
        <f t="shared" si="17"/>
        <v>20</v>
      </c>
      <c r="FE87" s="31">
        <f t="shared" si="17"/>
        <v>0.495</v>
      </c>
      <c r="FF87" s="31">
        <f t="shared" si="17"/>
        <v>0.06</v>
      </c>
      <c r="FG87" s="31">
        <f t="shared" si="17"/>
        <v>100</v>
      </c>
      <c r="FH87" s="31">
        <f t="shared" si="17"/>
        <v>100</v>
      </c>
      <c r="FI87" s="31">
        <f t="shared" si="17"/>
        <v>2.73</v>
      </c>
      <c r="FJ87" s="31">
        <f t="shared" si="17"/>
        <v>0.55185</v>
      </c>
      <c r="FK87" s="31">
        <f t="shared" si="17"/>
        <v>2.78118246</v>
      </c>
      <c r="FL87" s="31">
        <f t="shared" si="17"/>
        <v>-0.000225954287</v>
      </c>
      <c r="FM87" s="43">
        <f t="shared" si="17"/>
        <v>0.000000005204173011</v>
      </c>
      <c r="FN87" s="43">
        <f t="shared" si="17"/>
        <v>0</v>
      </c>
      <c r="FO87" s="31">
        <f t="shared" si="17"/>
        <v>0.5518733385</v>
      </c>
      <c r="FP87" s="31">
        <f t="shared" si="17"/>
        <v>0</v>
      </c>
      <c r="FQ87" s="31">
        <f t="shared" si="17"/>
        <v>0</v>
      </c>
      <c r="FR87" s="31">
        <f t="shared" si="17"/>
        <v>0</v>
      </c>
      <c r="FS87" s="31">
        <f t="shared" si="17"/>
        <v>1</v>
      </c>
      <c r="FT87" s="31">
        <f t="shared" si="17"/>
        <v>2266</v>
      </c>
      <c r="FU87" s="31">
        <f t="shared" si="17"/>
        <v>1</v>
      </c>
      <c r="FV87" s="31">
        <f t="shared" si="17"/>
        <v>26</v>
      </c>
      <c r="FW87" s="31">
        <f t="shared" si="17"/>
        <v>6.95</v>
      </c>
      <c r="FX87" s="31">
        <f t="shared" si="17"/>
        <v>66.85</v>
      </c>
      <c r="FY87" s="31">
        <f t="shared" si="17"/>
        <v>1.11816</v>
      </c>
      <c r="FZ87" s="31">
        <f t="shared" si="17"/>
        <v>2.53845</v>
      </c>
      <c r="GA87" s="31">
        <f t="shared" si="17"/>
        <v>1.59668</v>
      </c>
      <c r="GB87" s="31">
        <f t="shared" si="17"/>
        <v>2.31934</v>
      </c>
      <c r="GC87" s="31">
        <f t="shared" si="17"/>
        <v>1.5979</v>
      </c>
      <c r="GD87" s="31">
        <f t="shared" si="17"/>
        <v>2.387695</v>
      </c>
      <c r="GE87" s="31">
        <f t="shared" si="17"/>
        <v>42.8718</v>
      </c>
      <c r="GF87" s="31">
        <f t="shared" si="17"/>
        <v>15.765</v>
      </c>
      <c r="GG87" s="31">
        <f t="shared" si="17"/>
        <v>18</v>
      </c>
      <c r="GH87" s="31">
        <f t="shared" si="17"/>
        <v>506.5795</v>
      </c>
      <c r="GI87" s="31">
        <f t="shared" si="17"/>
        <v>475.2535</v>
      </c>
      <c r="GJ87" s="31">
        <f t="shared" si="17"/>
        <v>35.1088</v>
      </c>
      <c r="GK87" s="31">
        <f t="shared" si="17"/>
        <v>35.0184</v>
      </c>
      <c r="GL87" s="31">
        <f t="shared" si="17"/>
        <v>30.00065</v>
      </c>
      <c r="GM87" s="31">
        <f t="shared" si="17"/>
        <v>34.9753</v>
      </c>
      <c r="GN87" s="31">
        <f t="shared" si="17"/>
        <v>34.9138</v>
      </c>
      <c r="GO87" s="31">
        <f t="shared" si="17"/>
        <v>22.44805</v>
      </c>
      <c r="GP87" s="31">
        <f t="shared" si="17"/>
        <v>100</v>
      </c>
      <c r="GQ87" s="31">
        <f t="shared" si="17"/>
        <v>0</v>
      </c>
      <c r="GR87" s="31">
        <f t="shared" si="17"/>
        <v>-999.9</v>
      </c>
      <c r="GS87" s="31">
        <f t="shared" si="17"/>
        <v>460</v>
      </c>
      <c r="GT87" s="31">
        <f t="shared" si="17"/>
        <v>0</v>
      </c>
      <c r="GU87" s="31">
        <f t="shared" si="17"/>
        <v>102.6745</v>
      </c>
      <c r="GV87" s="31">
        <f t="shared" si="17"/>
        <v>99.71525</v>
      </c>
    </row>
    <row r="88" ht="14.25" customHeight="1">
      <c r="A88" s="39"/>
      <c r="B88" s="39"/>
      <c r="C88" s="39"/>
      <c r="D88" s="39"/>
      <c r="E88" s="39"/>
      <c r="F88" s="39"/>
      <c r="G88" s="39"/>
      <c r="H88" s="39"/>
      <c r="I88" s="46" t="s">
        <v>112</v>
      </c>
      <c r="J88" s="47" t="s">
        <v>57</v>
      </c>
      <c r="K88" s="31">
        <f t="shared" ref="K88:GV88" si="18">AVERAGE(K38:K39)</f>
        <v>0.003940818273</v>
      </c>
      <c r="L88" s="44">
        <f t="shared" si="18"/>
        <v>3.940818273</v>
      </c>
      <c r="M88" s="44">
        <f t="shared" si="18"/>
        <v>2.567110252</v>
      </c>
      <c r="N88" s="31">
        <f t="shared" si="18"/>
        <v>454.7639964</v>
      </c>
      <c r="O88" s="44">
        <f t="shared" si="18"/>
        <v>424.6298853</v>
      </c>
      <c r="P88" s="31">
        <f t="shared" si="18"/>
        <v>42.88381824</v>
      </c>
      <c r="Q88" s="31">
        <f t="shared" si="18"/>
        <v>45.92709407</v>
      </c>
      <c r="R88" s="44">
        <f t="shared" si="18"/>
        <v>0.2375673944</v>
      </c>
      <c r="S88" s="31">
        <f t="shared" si="18"/>
        <v>2.764197451</v>
      </c>
      <c r="T88" s="31">
        <f t="shared" si="18"/>
        <v>0.2267722806</v>
      </c>
      <c r="U88" s="31">
        <f t="shared" si="18"/>
        <v>0.1426616646</v>
      </c>
      <c r="V88" s="31">
        <f t="shared" si="18"/>
        <v>31.42433119</v>
      </c>
      <c r="W88" s="31">
        <f t="shared" si="18"/>
        <v>34.47343601</v>
      </c>
      <c r="X88" s="31">
        <f t="shared" si="18"/>
        <v>34.822</v>
      </c>
      <c r="Y88" s="31">
        <f t="shared" si="18"/>
        <v>5.596338177</v>
      </c>
      <c r="Z88" s="31">
        <f t="shared" si="18"/>
        <v>68.04752323</v>
      </c>
      <c r="AA88" s="31">
        <f t="shared" si="18"/>
        <v>3.919619011</v>
      </c>
      <c r="AB88" s="31">
        <f t="shared" si="18"/>
        <v>5.760070096</v>
      </c>
      <c r="AC88" s="31">
        <f t="shared" si="18"/>
        <v>1.676719166</v>
      </c>
      <c r="AD88" s="31">
        <f t="shared" si="18"/>
        <v>-173.7900858</v>
      </c>
      <c r="AE88" s="31">
        <f t="shared" si="18"/>
        <v>79.23558084</v>
      </c>
      <c r="AF88" s="31">
        <f t="shared" si="18"/>
        <v>6.676774779</v>
      </c>
      <c r="AG88" s="31">
        <f t="shared" si="18"/>
        <v>-56.45339902</v>
      </c>
      <c r="AH88" s="31">
        <f t="shared" si="18"/>
        <v>0</v>
      </c>
      <c r="AI88" s="31">
        <f t="shared" si="18"/>
        <v>0</v>
      </c>
      <c r="AJ88" s="31">
        <f t="shared" si="18"/>
        <v>1</v>
      </c>
      <c r="AK88" s="31">
        <f t="shared" si="18"/>
        <v>0</v>
      </c>
      <c r="AL88" s="31">
        <f t="shared" si="18"/>
        <v>46880</v>
      </c>
      <c r="AM88" s="31" t="str">
        <f t="shared" si="18"/>
        <v>#DIV/0!</v>
      </c>
      <c r="AN88" s="31">
        <f t="shared" si="18"/>
        <v>8173.37</v>
      </c>
      <c r="AO88" s="31">
        <f t="shared" si="18"/>
        <v>559.296</v>
      </c>
      <c r="AP88" s="31">
        <f t="shared" si="18"/>
        <v>2893.93</v>
      </c>
      <c r="AQ88" s="31">
        <f t="shared" si="18"/>
        <v>0.8067347863</v>
      </c>
      <c r="AR88" s="31">
        <f t="shared" si="18"/>
        <v>-2.38169763</v>
      </c>
      <c r="AS88" s="31" t="str">
        <f t="shared" si="18"/>
        <v>#DIV/0!</v>
      </c>
      <c r="AT88" s="31">
        <f t="shared" si="18"/>
        <v>8204.745</v>
      </c>
      <c r="AU88" s="31">
        <f t="shared" si="18"/>
        <v>431.3871115</v>
      </c>
      <c r="AV88" s="31">
        <f t="shared" si="18"/>
        <v>1246.125</v>
      </c>
      <c r="AW88" s="31">
        <f t="shared" si="18"/>
        <v>0.6542916742</v>
      </c>
      <c r="AX88" s="31">
        <f t="shared" si="18"/>
        <v>0.5</v>
      </c>
      <c r="AY88" s="31">
        <f t="shared" si="18"/>
        <v>160.1780715</v>
      </c>
      <c r="AZ88" s="31">
        <f t="shared" si="18"/>
        <v>2.567110252</v>
      </c>
      <c r="BA88" s="31">
        <f t="shared" si="18"/>
        <v>52.40165425</v>
      </c>
      <c r="BB88" s="31">
        <f t="shared" si="18"/>
        <v>0.03089578101</v>
      </c>
      <c r="BC88" s="31">
        <f t="shared" si="18"/>
        <v>1.325481216</v>
      </c>
      <c r="BD88" s="31">
        <f t="shared" si="18"/>
        <v>445.3162286</v>
      </c>
      <c r="BE88" s="31" t="str">
        <f t="shared" si="18"/>
        <v>#DIV/0!</v>
      </c>
      <c r="BF88" s="31">
        <f t="shared" si="18"/>
        <v>-1235.465</v>
      </c>
      <c r="BG88" s="31">
        <f t="shared" si="18"/>
        <v>-1235.465</v>
      </c>
      <c r="BH88" s="31">
        <f t="shared" si="18"/>
        <v>1.995319713</v>
      </c>
      <c r="BI88" s="31">
        <f t="shared" si="18"/>
        <v>0.3284887611</v>
      </c>
      <c r="BJ88" s="31">
        <f t="shared" si="18"/>
        <v>0.3989847271</v>
      </c>
      <c r="BK88" s="31">
        <f t="shared" si="18"/>
        <v>1.190173367</v>
      </c>
      <c r="BL88" s="31">
        <f t="shared" si="18"/>
        <v>0.7058087049</v>
      </c>
      <c r="BM88" s="31">
        <f t="shared" si="18"/>
        <v>-0.9463159428</v>
      </c>
      <c r="BN88" s="31">
        <f t="shared" si="18"/>
        <v>1.946315943</v>
      </c>
      <c r="BO88" s="31" t="str">
        <f t="shared" si="18"/>
        <v>#DIV/0!</v>
      </c>
      <c r="BP88" s="31" t="str">
        <f t="shared" si="18"/>
        <v>#DIV/0!</v>
      </c>
      <c r="BQ88" s="31" t="str">
        <f t="shared" si="18"/>
        <v>#DIV/0!</v>
      </c>
      <c r="BR88" s="31" t="str">
        <f t="shared" si="18"/>
        <v>#DIV/0!</v>
      </c>
      <c r="BS88" s="31" t="str">
        <f t="shared" si="18"/>
        <v>#DIV/0!</v>
      </c>
      <c r="BT88" s="31" t="str">
        <f t="shared" si="18"/>
        <v>#DIV/0!</v>
      </c>
      <c r="BU88" s="31" t="str">
        <f t="shared" si="18"/>
        <v>#DIV/0!</v>
      </c>
      <c r="BV88" s="31" t="str">
        <f t="shared" si="18"/>
        <v>#DIV/0!</v>
      </c>
      <c r="BW88" s="31" t="str">
        <f t="shared" si="18"/>
        <v>#DIV/0!</v>
      </c>
      <c r="BX88" s="31" t="str">
        <f t="shared" si="18"/>
        <v>#DIV/0!</v>
      </c>
      <c r="BY88" s="31" t="str">
        <f t="shared" si="18"/>
        <v>#DIV/0!</v>
      </c>
      <c r="BZ88" s="31" t="str">
        <f t="shared" si="18"/>
        <v>#DIV/0!</v>
      </c>
      <c r="CA88" s="31" t="str">
        <f t="shared" si="18"/>
        <v>#DIV/0!</v>
      </c>
      <c r="CB88" s="31" t="str">
        <f t="shared" si="18"/>
        <v>#DIV/0!</v>
      </c>
      <c r="CC88" s="31" t="str">
        <f t="shared" si="18"/>
        <v>#DIV/0!</v>
      </c>
      <c r="CD88" s="31" t="str">
        <f t="shared" si="18"/>
        <v>#DIV/0!</v>
      </c>
      <c r="CE88" s="31" t="str">
        <f t="shared" si="18"/>
        <v>#DIV/0!</v>
      </c>
      <c r="CF88" s="31" t="str">
        <f t="shared" si="18"/>
        <v>#DIV/0!</v>
      </c>
      <c r="CG88" s="31" t="str">
        <f t="shared" si="18"/>
        <v>#DIV/0!</v>
      </c>
      <c r="CH88" s="31" t="str">
        <f t="shared" si="18"/>
        <v>#DIV/0!</v>
      </c>
      <c r="CI88" s="31" t="str">
        <f t="shared" si="18"/>
        <v>#DIV/0!</v>
      </c>
      <c r="CJ88" s="31" t="str">
        <f t="shared" si="18"/>
        <v>#DIV/0!</v>
      </c>
      <c r="CK88" s="31" t="str">
        <f t="shared" si="18"/>
        <v>#DIV/0!</v>
      </c>
      <c r="CL88" s="31" t="str">
        <f t="shared" si="18"/>
        <v>#DIV/0!</v>
      </c>
      <c r="CM88" s="31" t="str">
        <f t="shared" si="18"/>
        <v>#DIV/0!</v>
      </c>
      <c r="CN88" s="31" t="str">
        <f t="shared" si="18"/>
        <v>#DIV/0!</v>
      </c>
      <c r="CO88" s="31" t="str">
        <f t="shared" si="18"/>
        <v>#DIV/0!</v>
      </c>
      <c r="CP88" s="31" t="str">
        <f t="shared" si="18"/>
        <v>#DIV/0!</v>
      </c>
      <c r="CQ88" s="31" t="str">
        <f t="shared" si="18"/>
        <v>#DIV/0!</v>
      </c>
      <c r="CR88" s="31" t="str">
        <f t="shared" si="18"/>
        <v>#DIV/0!</v>
      </c>
      <c r="CS88" s="31" t="str">
        <f t="shared" si="18"/>
        <v>#DIV/0!</v>
      </c>
      <c r="CT88" s="31" t="str">
        <f t="shared" si="18"/>
        <v>#DIV/0!</v>
      </c>
      <c r="CU88" s="31" t="str">
        <f t="shared" si="18"/>
        <v>#DIV/0!</v>
      </c>
      <c r="CV88" s="31" t="str">
        <f t="shared" si="18"/>
        <v>#DIV/0!</v>
      </c>
      <c r="CW88" s="31">
        <f t="shared" si="18"/>
        <v>190.0105</v>
      </c>
      <c r="CX88" s="31">
        <f t="shared" si="18"/>
        <v>160.1780715</v>
      </c>
      <c r="CY88" s="31">
        <f t="shared" si="18"/>
        <v>0.8429958951</v>
      </c>
      <c r="CZ88" s="31">
        <f t="shared" si="18"/>
        <v>0.1653820776</v>
      </c>
      <c r="DA88" s="31">
        <f t="shared" si="18"/>
        <v>6</v>
      </c>
      <c r="DB88" s="31">
        <f t="shared" si="18"/>
        <v>0.5</v>
      </c>
      <c r="DC88" s="31" t="str">
        <f t="shared" si="18"/>
        <v>#DIV/0!</v>
      </c>
      <c r="DD88" s="31">
        <f t="shared" si="18"/>
        <v>2</v>
      </c>
      <c r="DE88" s="31">
        <f t="shared" si="18"/>
        <v>1754882612</v>
      </c>
      <c r="DF88" s="31">
        <f t="shared" si="18"/>
        <v>454.764</v>
      </c>
      <c r="DG88" s="31">
        <f t="shared" si="18"/>
        <v>459.9945</v>
      </c>
      <c r="DH88" s="31">
        <f t="shared" si="18"/>
        <v>38.81155</v>
      </c>
      <c r="DI88" s="31">
        <f t="shared" si="18"/>
        <v>34.26685</v>
      </c>
      <c r="DJ88" s="31">
        <f t="shared" si="18"/>
        <v>451.994</v>
      </c>
      <c r="DK88" s="31">
        <f t="shared" si="18"/>
        <v>38.25965</v>
      </c>
      <c r="DL88" s="31">
        <f t="shared" si="18"/>
        <v>500.0665</v>
      </c>
      <c r="DM88" s="31">
        <f t="shared" si="18"/>
        <v>100.891</v>
      </c>
      <c r="DN88" s="31">
        <f t="shared" si="18"/>
        <v>0.10005165</v>
      </c>
      <c r="DO88" s="31">
        <f t="shared" si="18"/>
        <v>35.35405</v>
      </c>
      <c r="DP88" s="31">
        <f t="shared" si="18"/>
        <v>34.822</v>
      </c>
      <c r="DQ88" s="31">
        <f t="shared" si="18"/>
        <v>999.9</v>
      </c>
      <c r="DR88" s="31">
        <f t="shared" si="18"/>
        <v>0</v>
      </c>
      <c r="DS88" s="31">
        <f t="shared" si="18"/>
        <v>0</v>
      </c>
      <c r="DT88" s="31">
        <f t="shared" si="18"/>
        <v>9005.625</v>
      </c>
      <c r="DU88" s="31">
        <f t="shared" si="18"/>
        <v>0</v>
      </c>
      <c r="DV88" s="31">
        <f t="shared" si="18"/>
        <v>1715.31</v>
      </c>
      <c r="DW88" s="31">
        <f t="shared" si="18"/>
        <v>190.0105</v>
      </c>
      <c r="DX88" s="31">
        <f t="shared" si="18"/>
        <v>0.9000735</v>
      </c>
      <c r="DY88" s="31">
        <f t="shared" si="18"/>
        <v>0.09992655</v>
      </c>
      <c r="DZ88" s="31">
        <f t="shared" si="18"/>
        <v>0</v>
      </c>
      <c r="EA88" s="31">
        <f t="shared" si="18"/>
        <v>431.68</v>
      </c>
      <c r="EB88" s="31">
        <f t="shared" si="18"/>
        <v>0.0999973</v>
      </c>
      <c r="EC88" s="31">
        <f t="shared" si="18"/>
        <v>2981.385</v>
      </c>
      <c r="ED88" s="31">
        <f t="shared" si="18"/>
        <v>1684.2</v>
      </c>
      <c r="EE88" s="31">
        <f t="shared" si="18"/>
        <v>40.187</v>
      </c>
      <c r="EF88" s="31">
        <f t="shared" si="18"/>
        <v>43.5935</v>
      </c>
      <c r="EG88" s="31">
        <f t="shared" si="18"/>
        <v>41.687</v>
      </c>
      <c r="EH88" s="31">
        <f t="shared" si="18"/>
        <v>43.281</v>
      </c>
      <c r="EI88" s="31">
        <f t="shared" si="18"/>
        <v>42.812</v>
      </c>
      <c r="EJ88" s="31">
        <f t="shared" si="18"/>
        <v>170.935</v>
      </c>
      <c r="EK88" s="31">
        <f t="shared" si="18"/>
        <v>18.975</v>
      </c>
      <c r="EL88" s="31">
        <f t="shared" si="18"/>
        <v>0</v>
      </c>
      <c r="EM88" s="31">
        <f t="shared" si="18"/>
        <v>134.7</v>
      </c>
      <c r="EN88" s="31">
        <f t="shared" si="18"/>
        <v>0</v>
      </c>
      <c r="EO88" s="31">
        <f t="shared" si="18"/>
        <v>431.3871115</v>
      </c>
      <c r="EP88" s="31">
        <f t="shared" si="18"/>
        <v>1.009935791</v>
      </c>
      <c r="EQ88" s="31">
        <f t="shared" si="18"/>
        <v>-961.0759832</v>
      </c>
      <c r="ER88" s="31">
        <f t="shared" si="18"/>
        <v>3114.807023</v>
      </c>
      <c r="ES88" s="31">
        <f t="shared" si="18"/>
        <v>15</v>
      </c>
      <c r="ET88" s="31">
        <f t="shared" si="18"/>
        <v>1754882285</v>
      </c>
      <c r="EU88" s="42">
        <f t="shared" si="18"/>
        <v>0.4708796296</v>
      </c>
      <c r="EV88" s="31">
        <f t="shared" si="18"/>
        <v>1754882285</v>
      </c>
      <c r="EW88" s="31">
        <f t="shared" si="18"/>
        <v>1754876535</v>
      </c>
      <c r="EX88" s="31">
        <f t="shared" si="18"/>
        <v>11</v>
      </c>
      <c r="EY88" s="31">
        <f t="shared" si="18"/>
        <v>-0.02</v>
      </c>
      <c r="EZ88" s="31">
        <f t="shared" si="18"/>
        <v>-0.002</v>
      </c>
      <c r="FA88" s="31">
        <f t="shared" si="18"/>
        <v>2.768</v>
      </c>
      <c r="FB88" s="31">
        <f t="shared" si="18"/>
        <v>0.297</v>
      </c>
      <c r="FC88" s="31">
        <f t="shared" si="18"/>
        <v>460</v>
      </c>
      <c r="FD88" s="31">
        <f t="shared" si="18"/>
        <v>20</v>
      </c>
      <c r="FE88" s="31">
        <f t="shared" si="18"/>
        <v>0.23</v>
      </c>
      <c r="FF88" s="31">
        <f t="shared" si="18"/>
        <v>0.06</v>
      </c>
      <c r="FG88" s="31">
        <f t="shared" si="18"/>
        <v>100</v>
      </c>
      <c r="FH88" s="31">
        <f t="shared" si="18"/>
        <v>100</v>
      </c>
      <c r="FI88" s="31">
        <f t="shared" si="18"/>
        <v>2.77</v>
      </c>
      <c r="FJ88" s="31">
        <f t="shared" si="18"/>
        <v>0.5519</v>
      </c>
      <c r="FK88" s="31">
        <f t="shared" si="18"/>
        <v>2.870614184</v>
      </c>
      <c r="FL88" s="31">
        <f t="shared" si="18"/>
        <v>-0.000225954287</v>
      </c>
      <c r="FM88" s="43">
        <f t="shared" si="18"/>
        <v>0.000000005204173011</v>
      </c>
      <c r="FN88" s="43">
        <f t="shared" si="18"/>
        <v>0</v>
      </c>
      <c r="FO88" s="31">
        <f t="shared" si="18"/>
        <v>0.5518733385</v>
      </c>
      <c r="FP88" s="31">
        <f t="shared" si="18"/>
        <v>0</v>
      </c>
      <c r="FQ88" s="31">
        <f t="shared" si="18"/>
        <v>0</v>
      </c>
      <c r="FR88" s="31">
        <f t="shared" si="18"/>
        <v>0</v>
      </c>
      <c r="FS88" s="31">
        <f t="shared" si="18"/>
        <v>1</v>
      </c>
      <c r="FT88" s="31">
        <f t="shared" si="18"/>
        <v>2266</v>
      </c>
      <c r="FU88" s="31">
        <f t="shared" si="18"/>
        <v>1</v>
      </c>
      <c r="FV88" s="31">
        <f t="shared" si="18"/>
        <v>26</v>
      </c>
      <c r="FW88" s="31">
        <f t="shared" si="18"/>
        <v>5.45</v>
      </c>
      <c r="FX88" s="31">
        <f t="shared" si="18"/>
        <v>101.3</v>
      </c>
      <c r="FY88" s="31">
        <f t="shared" si="18"/>
        <v>1.12427</v>
      </c>
      <c r="FZ88" s="31">
        <f t="shared" si="18"/>
        <v>2.558595</v>
      </c>
      <c r="GA88" s="31">
        <f t="shared" si="18"/>
        <v>1.59607</v>
      </c>
      <c r="GB88" s="31">
        <f t="shared" si="18"/>
        <v>2.31689</v>
      </c>
      <c r="GC88" s="31">
        <f t="shared" si="18"/>
        <v>1.5979</v>
      </c>
      <c r="GD88" s="31">
        <f t="shared" si="18"/>
        <v>2.321775</v>
      </c>
      <c r="GE88" s="31">
        <f t="shared" si="18"/>
        <v>43.4809</v>
      </c>
      <c r="GF88" s="31">
        <f t="shared" si="18"/>
        <v>15.4454</v>
      </c>
      <c r="GG88" s="31">
        <f t="shared" si="18"/>
        <v>18</v>
      </c>
      <c r="GH88" s="31">
        <f t="shared" si="18"/>
        <v>509.1575</v>
      </c>
      <c r="GI88" s="31">
        <f t="shared" si="18"/>
        <v>462.401</v>
      </c>
      <c r="GJ88" s="31">
        <f t="shared" si="18"/>
        <v>35.5343</v>
      </c>
      <c r="GK88" s="31">
        <f t="shared" si="18"/>
        <v>36.13</v>
      </c>
      <c r="GL88" s="31">
        <f t="shared" si="18"/>
        <v>30.0004</v>
      </c>
      <c r="GM88" s="31">
        <f t="shared" si="18"/>
        <v>36.10365</v>
      </c>
      <c r="GN88" s="31">
        <f t="shared" si="18"/>
        <v>36.04425</v>
      </c>
      <c r="GO88" s="31">
        <f t="shared" si="18"/>
        <v>22.57005</v>
      </c>
      <c r="GP88" s="31">
        <f t="shared" si="18"/>
        <v>100</v>
      </c>
      <c r="GQ88" s="31">
        <f t="shared" si="18"/>
        <v>0</v>
      </c>
      <c r="GR88" s="31">
        <f t="shared" si="18"/>
        <v>-999.9</v>
      </c>
      <c r="GS88" s="31">
        <f t="shared" si="18"/>
        <v>460</v>
      </c>
      <c r="GT88" s="31">
        <f t="shared" si="18"/>
        <v>0</v>
      </c>
      <c r="GU88" s="31">
        <f t="shared" si="18"/>
        <v>102.461</v>
      </c>
      <c r="GV88" s="31">
        <f t="shared" si="18"/>
        <v>99.5754</v>
      </c>
    </row>
    <row r="89" ht="14.25" customHeight="1">
      <c r="A89" s="39"/>
      <c r="B89" s="39"/>
      <c r="C89" s="39"/>
      <c r="D89" s="39"/>
      <c r="E89" s="39"/>
      <c r="F89" s="39"/>
      <c r="G89" s="39"/>
      <c r="H89" s="39"/>
      <c r="I89" s="45" t="s">
        <v>112</v>
      </c>
      <c r="J89" s="31" t="s">
        <v>59</v>
      </c>
      <c r="K89" s="31">
        <f t="shared" ref="K89:GV89" si="19">AVERAGE(K40:K41)</f>
        <v>0.004320245424</v>
      </c>
      <c r="L89" s="44">
        <f t="shared" si="19"/>
        <v>4.320245424</v>
      </c>
      <c r="M89" s="44">
        <f t="shared" si="19"/>
        <v>3.943240762</v>
      </c>
      <c r="N89" s="31">
        <f t="shared" si="19"/>
        <v>452.9219944</v>
      </c>
      <c r="O89" s="44">
        <f t="shared" si="19"/>
        <v>420.1956449</v>
      </c>
      <c r="P89" s="31">
        <f t="shared" si="19"/>
        <v>42.45611414</v>
      </c>
      <c r="Q89" s="31">
        <f t="shared" si="19"/>
        <v>45.76275825</v>
      </c>
      <c r="R89" s="44">
        <f t="shared" si="19"/>
        <v>0.3003802775</v>
      </c>
      <c r="S89" s="31">
        <f t="shared" si="19"/>
        <v>2.761887498</v>
      </c>
      <c r="T89" s="31">
        <f t="shared" si="19"/>
        <v>0.2833285766</v>
      </c>
      <c r="U89" s="31">
        <f t="shared" si="19"/>
        <v>0.1785316222</v>
      </c>
      <c r="V89" s="31">
        <f t="shared" si="19"/>
        <v>31.42938432</v>
      </c>
      <c r="W89" s="31">
        <f t="shared" si="19"/>
        <v>34.45299704</v>
      </c>
      <c r="X89" s="31">
        <f t="shared" si="19"/>
        <v>34.5721</v>
      </c>
      <c r="Y89" s="31">
        <f t="shared" si="19"/>
        <v>5.516609248</v>
      </c>
      <c r="Z89" s="31">
        <f t="shared" si="19"/>
        <v>69.987835</v>
      </c>
      <c r="AA89" s="31">
        <f t="shared" si="19"/>
        <v>4.050169963</v>
      </c>
      <c r="AB89" s="31">
        <f t="shared" si="19"/>
        <v>5.786806012</v>
      </c>
      <c r="AC89" s="31">
        <f t="shared" si="19"/>
        <v>1.466439285</v>
      </c>
      <c r="AD89" s="31">
        <f t="shared" si="19"/>
        <v>-190.5228232</v>
      </c>
      <c r="AE89" s="31">
        <f t="shared" si="19"/>
        <v>128.9216857</v>
      </c>
      <c r="AF89" s="31">
        <f t="shared" si="19"/>
        <v>10.89528778</v>
      </c>
      <c r="AG89" s="31">
        <f t="shared" si="19"/>
        <v>-19.27646538</v>
      </c>
      <c r="AH89" s="31">
        <f t="shared" si="19"/>
        <v>0</v>
      </c>
      <c r="AI89" s="31">
        <f t="shared" si="19"/>
        <v>0</v>
      </c>
      <c r="AJ89" s="31">
        <f t="shared" si="19"/>
        <v>1</v>
      </c>
      <c r="AK89" s="31">
        <f t="shared" si="19"/>
        <v>0</v>
      </c>
      <c r="AL89" s="31">
        <f t="shared" si="19"/>
        <v>46804.5</v>
      </c>
      <c r="AM89" s="31" t="str">
        <f t="shared" si="19"/>
        <v>#DIV/0!</v>
      </c>
      <c r="AN89" s="31">
        <f t="shared" si="19"/>
        <v>8173.37</v>
      </c>
      <c r="AO89" s="31">
        <f t="shared" si="19"/>
        <v>559.296</v>
      </c>
      <c r="AP89" s="31">
        <f t="shared" si="19"/>
        <v>2893.93</v>
      </c>
      <c r="AQ89" s="31">
        <f t="shared" si="19"/>
        <v>0.8067347863</v>
      </c>
      <c r="AR89" s="31">
        <f t="shared" si="19"/>
        <v>-2.38169763</v>
      </c>
      <c r="AS89" s="31" t="str">
        <f t="shared" si="19"/>
        <v>#DIV/0!</v>
      </c>
      <c r="AT89" s="31">
        <f t="shared" si="19"/>
        <v>8156.315</v>
      </c>
      <c r="AU89" s="31">
        <f t="shared" si="19"/>
        <v>712.1538885</v>
      </c>
      <c r="AV89" s="31">
        <f t="shared" si="19"/>
        <v>1901.89</v>
      </c>
      <c r="AW89" s="31">
        <f t="shared" si="19"/>
        <v>0.6251969221</v>
      </c>
      <c r="AX89" s="31">
        <f t="shared" si="19"/>
        <v>0.5</v>
      </c>
      <c r="AY89" s="31">
        <f t="shared" si="19"/>
        <v>160.1950785</v>
      </c>
      <c r="AZ89" s="31">
        <f t="shared" si="19"/>
        <v>3.943240762</v>
      </c>
      <c r="BA89" s="31">
        <f t="shared" si="19"/>
        <v>50.07669997</v>
      </c>
      <c r="BB89" s="31">
        <f t="shared" si="19"/>
        <v>0.03948268608</v>
      </c>
      <c r="BC89" s="31">
        <f t="shared" si="19"/>
        <v>0.5217835674</v>
      </c>
      <c r="BD89" s="31">
        <f t="shared" si="19"/>
        <v>508.0659248</v>
      </c>
      <c r="BE89" s="31" t="str">
        <f t="shared" si="19"/>
        <v>#DIV/0!</v>
      </c>
      <c r="BF89" s="31">
        <f t="shared" si="19"/>
        <v>-1929.935</v>
      </c>
      <c r="BG89" s="31">
        <f t="shared" si="19"/>
        <v>-1929.935</v>
      </c>
      <c r="BH89" s="31">
        <f t="shared" si="19"/>
        <v>2.016064483</v>
      </c>
      <c r="BI89" s="31">
        <f t="shared" si="19"/>
        <v>0.3122646868</v>
      </c>
      <c r="BJ89" s="31">
        <f t="shared" si="19"/>
        <v>0.2058646977</v>
      </c>
      <c r="BK89" s="31">
        <f t="shared" si="19"/>
        <v>0.8854899677</v>
      </c>
      <c r="BL89" s="31">
        <f t="shared" si="19"/>
        <v>0.4249231357</v>
      </c>
      <c r="BM89" s="31">
        <f t="shared" si="19"/>
        <v>-0.8410169461</v>
      </c>
      <c r="BN89" s="31">
        <f t="shared" si="19"/>
        <v>1.841016946</v>
      </c>
      <c r="BO89" s="31" t="str">
        <f t="shared" si="19"/>
        <v>#DIV/0!</v>
      </c>
      <c r="BP89" s="31" t="str">
        <f t="shared" si="19"/>
        <v>#DIV/0!</v>
      </c>
      <c r="BQ89" s="31" t="str">
        <f t="shared" si="19"/>
        <v>#DIV/0!</v>
      </c>
      <c r="BR89" s="31" t="str">
        <f t="shared" si="19"/>
        <v>#DIV/0!</v>
      </c>
      <c r="BS89" s="31" t="str">
        <f t="shared" si="19"/>
        <v>#DIV/0!</v>
      </c>
      <c r="BT89" s="31" t="str">
        <f t="shared" si="19"/>
        <v>#DIV/0!</v>
      </c>
      <c r="BU89" s="31" t="str">
        <f t="shared" si="19"/>
        <v>#DIV/0!</v>
      </c>
      <c r="BV89" s="31" t="str">
        <f t="shared" si="19"/>
        <v>#DIV/0!</v>
      </c>
      <c r="BW89" s="31" t="str">
        <f t="shared" si="19"/>
        <v>#DIV/0!</v>
      </c>
      <c r="BX89" s="31" t="str">
        <f t="shared" si="19"/>
        <v>#DIV/0!</v>
      </c>
      <c r="BY89" s="31" t="str">
        <f t="shared" si="19"/>
        <v>#DIV/0!</v>
      </c>
      <c r="BZ89" s="31" t="str">
        <f t="shared" si="19"/>
        <v>#DIV/0!</v>
      </c>
      <c r="CA89" s="31" t="str">
        <f t="shared" si="19"/>
        <v>#DIV/0!</v>
      </c>
      <c r="CB89" s="31" t="str">
        <f t="shared" si="19"/>
        <v>#DIV/0!</v>
      </c>
      <c r="CC89" s="31" t="str">
        <f t="shared" si="19"/>
        <v>#DIV/0!</v>
      </c>
      <c r="CD89" s="31" t="str">
        <f t="shared" si="19"/>
        <v>#DIV/0!</v>
      </c>
      <c r="CE89" s="31" t="str">
        <f t="shared" si="19"/>
        <v>#DIV/0!</v>
      </c>
      <c r="CF89" s="31" t="str">
        <f t="shared" si="19"/>
        <v>#DIV/0!</v>
      </c>
      <c r="CG89" s="31" t="str">
        <f t="shared" si="19"/>
        <v>#DIV/0!</v>
      </c>
      <c r="CH89" s="31" t="str">
        <f t="shared" si="19"/>
        <v>#DIV/0!</v>
      </c>
      <c r="CI89" s="31" t="str">
        <f t="shared" si="19"/>
        <v>#DIV/0!</v>
      </c>
      <c r="CJ89" s="31" t="str">
        <f t="shared" si="19"/>
        <v>#DIV/0!</v>
      </c>
      <c r="CK89" s="31" t="str">
        <f t="shared" si="19"/>
        <v>#DIV/0!</v>
      </c>
      <c r="CL89" s="31" t="str">
        <f t="shared" si="19"/>
        <v>#DIV/0!</v>
      </c>
      <c r="CM89" s="31" t="str">
        <f t="shared" si="19"/>
        <v>#DIV/0!</v>
      </c>
      <c r="CN89" s="31" t="str">
        <f t="shared" si="19"/>
        <v>#DIV/0!</v>
      </c>
      <c r="CO89" s="31" t="str">
        <f t="shared" si="19"/>
        <v>#DIV/0!</v>
      </c>
      <c r="CP89" s="31" t="str">
        <f t="shared" si="19"/>
        <v>#DIV/0!</v>
      </c>
      <c r="CQ89" s="31" t="str">
        <f t="shared" si="19"/>
        <v>#DIV/0!</v>
      </c>
      <c r="CR89" s="31" t="str">
        <f t="shared" si="19"/>
        <v>#DIV/0!</v>
      </c>
      <c r="CS89" s="31" t="str">
        <f t="shared" si="19"/>
        <v>#DIV/0!</v>
      </c>
      <c r="CT89" s="31" t="str">
        <f t="shared" si="19"/>
        <v>#DIV/0!</v>
      </c>
      <c r="CU89" s="31" t="str">
        <f t="shared" si="19"/>
        <v>#DIV/0!</v>
      </c>
      <c r="CV89" s="31" t="str">
        <f t="shared" si="19"/>
        <v>#DIV/0!</v>
      </c>
      <c r="CW89" s="31">
        <f t="shared" si="19"/>
        <v>190.0295</v>
      </c>
      <c r="CX89" s="31">
        <f t="shared" si="19"/>
        <v>160.1950785</v>
      </c>
      <c r="CY89" s="31">
        <f t="shared" si="19"/>
        <v>0.8430011051</v>
      </c>
      <c r="CZ89" s="31">
        <f t="shared" si="19"/>
        <v>0.1653921329</v>
      </c>
      <c r="DA89" s="31">
        <f t="shared" si="19"/>
        <v>6</v>
      </c>
      <c r="DB89" s="31">
        <f t="shared" si="19"/>
        <v>0.5</v>
      </c>
      <c r="DC89" s="31" t="str">
        <f t="shared" si="19"/>
        <v>#DIV/0!</v>
      </c>
      <c r="DD89" s="31">
        <f t="shared" si="19"/>
        <v>2</v>
      </c>
      <c r="DE89" s="31">
        <f t="shared" si="19"/>
        <v>1754880836</v>
      </c>
      <c r="DF89" s="31">
        <f t="shared" si="19"/>
        <v>452.922</v>
      </c>
      <c r="DG89" s="31">
        <f t="shared" si="19"/>
        <v>460.003</v>
      </c>
      <c r="DH89" s="31">
        <f t="shared" si="19"/>
        <v>40.08525</v>
      </c>
      <c r="DI89" s="31">
        <f t="shared" si="19"/>
        <v>35.1083</v>
      </c>
      <c r="DJ89" s="31">
        <f t="shared" si="19"/>
        <v>450.1905</v>
      </c>
      <c r="DK89" s="31">
        <f t="shared" si="19"/>
        <v>39.5334</v>
      </c>
      <c r="DL89" s="31">
        <f t="shared" si="19"/>
        <v>499.938</v>
      </c>
      <c r="DM89" s="31">
        <f t="shared" si="19"/>
        <v>100.939</v>
      </c>
      <c r="DN89" s="31">
        <f t="shared" si="19"/>
        <v>0.099943</v>
      </c>
      <c r="DO89" s="31">
        <f t="shared" si="19"/>
        <v>35.43785</v>
      </c>
      <c r="DP89" s="31">
        <f t="shared" si="19"/>
        <v>34.5721</v>
      </c>
      <c r="DQ89" s="31">
        <f t="shared" si="19"/>
        <v>999.9</v>
      </c>
      <c r="DR89" s="31">
        <f t="shared" si="19"/>
        <v>0</v>
      </c>
      <c r="DS89" s="31">
        <f t="shared" si="19"/>
        <v>0</v>
      </c>
      <c r="DT89" s="31">
        <f t="shared" si="19"/>
        <v>8989.065</v>
      </c>
      <c r="DU89" s="31">
        <f t="shared" si="19"/>
        <v>0</v>
      </c>
      <c r="DV89" s="31">
        <f t="shared" si="19"/>
        <v>1432.77</v>
      </c>
      <c r="DW89" s="31">
        <f t="shared" si="19"/>
        <v>190.0295</v>
      </c>
      <c r="DX89" s="31">
        <f t="shared" si="19"/>
        <v>0.899915</v>
      </c>
      <c r="DY89" s="31">
        <f t="shared" si="19"/>
        <v>0.100085</v>
      </c>
      <c r="DZ89" s="31">
        <f t="shared" si="19"/>
        <v>0</v>
      </c>
      <c r="EA89" s="31">
        <f t="shared" si="19"/>
        <v>708.99</v>
      </c>
      <c r="EB89" s="31">
        <f t="shared" si="19"/>
        <v>0.0999973</v>
      </c>
      <c r="EC89" s="31">
        <f t="shared" si="19"/>
        <v>3197.35</v>
      </c>
      <c r="ED89" s="31">
        <f t="shared" si="19"/>
        <v>1684.28</v>
      </c>
      <c r="EE89" s="31">
        <f t="shared" si="19"/>
        <v>40.656</v>
      </c>
      <c r="EF89" s="31">
        <f t="shared" si="19"/>
        <v>44.406</v>
      </c>
      <c r="EG89" s="31">
        <f t="shared" si="19"/>
        <v>42.2185</v>
      </c>
      <c r="EH89" s="31">
        <f t="shared" si="19"/>
        <v>43.937</v>
      </c>
      <c r="EI89" s="31">
        <f t="shared" si="19"/>
        <v>43.3125</v>
      </c>
      <c r="EJ89" s="31">
        <f t="shared" si="19"/>
        <v>170.92</v>
      </c>
      <c r="EK89" s="31">
        <f t="shared" si="19"/>
        <v>19.01</v>
      </c>
      <c r="EL89" s="31">
        <f t="shared" si="19"/>
        <v>0</v>
      </c>
      <c r="EM89" s="31">
        <f t="shared" si="19"/>
        <v>141.3000001</v>
      </c>
      <c r="EN89" s="31">
        <f t="shared" si="19"/>
        <v>0</v>
      </c>
      <c r="EO89" s="31">
        <f t="shared" si="19"/>
        <v>712.1538885</v>
      </c>
      <c r="EP89" s="31">
        <f t="shared" si="19"/>
        <v>-24.24076928</v>
      </c>
      <c r="EQ89" s="31">
        <f t="shared" si="19"/>
        <v>11.41106834</v>
      </c>
      <c r="ER89" s="31">
        <f t="shared" si="19"/>
        <v>3177.126946</v>
      </c>
      <c r="ES89" s="31">
        <f t="shared" si="19"/>
        <v>15</v>
      </c>
      <c r="ET89" s="31">
        <f t="shared" si="19"/>
        <v>1754880641</v>
      </c>
      <c r="EU89" s="42">
        <f t="shared" si="19"/>
        <v>0.4518518519</v>
      </c>
      <c r="EV89" s="31">
        <f t="shared" si="19"/>
        <v>1754880641</v>
      </c>
      <c r="EW89" s="31">
        <f t="shared" si="19"/>
        <v>1754876535</v>
      </c>
      <c r="EX89" s="31">
        <f t="shared" si="19"/>
        <v>8</v>
      </c>
      <c r="EY89" s="31">
        <f t="shared" si="19"/>
        <v>0</v>
      </c>
      <c r="EZ89" s="31">
        <f t="shared" si="19"/>
        <v>-0.002</v>
      </c>
      <c r="FA89" s="31">
        <f t="shared" si="19"/>
        <v>2.73</v>
      </c>
      <c r="FB89" s="31">
        <f t="shared" si="19"/>
        <v>0.297</v>
      </c>
      <c r="FC89" s="31">
        <f t="shared" si="19"/>
        <v>460</v>
      </c>
      <c r="FD89" s="31">
        <f t="shared" si="19"/>
        <v>20</v>
      </c>
      <c r="FE89" s="31">
        <f t="shared" si="19"/>
        <v>0.53</v>
      </c>
      <c r="FF89" s="31">
        <f t="shared" si="19"/>
        <v>0.06</v>
      </c>
      <c r="FG89" s="31">
        <f t="shared" si="19"/>
        <v>100</v>
      </c>
      <c r="FH89" s="31">
        <f t="shared" si="19"/>
        <v>100</v>
      </c>
      <c r="FI89" s="31">
        <f t="shared" si="19"/>
        <v>2.7315</v>
      </c>
      <c r="FJ89" s="31">
        <f t="shared" si="19"/>
        <v>0.55185</v>
      </c>
      <c r="FK89" s="31">
        <f t="shared" si="19"/>
        <v>2.831884611</v>
      </c>
      <c r="FL89" s="31">
        <f t="shared" si="19"/>
        <v>-0.000225954287</v>
      </c>
      <c r="FM89" s="43">
        <f t="shared" si="19"/>
        <v>0.000000005204173011</v>
      </c>
      <c r="FN89" s="43">
        <f t="shared" si="19"/>
        <v>0</v>
      </c>
      <c r="FO89" s="31">
        <f t="shared" si="19"/>
        <v>0.5518733385</v>
      </c>
      <c r="FP89" s="31">
        <f t="shared" si="19"/>
        <v>0</v>
      </c>
      <c r="FQ89" s="31">
        <f t="shared" si="19"/>
        <v>0</v>
      </c>
      <c r="FR89" s="31">
        <f t="shared" si="19"/>
        <v>0</v>
      </c>
      <c r="FS89" s="31">
        <f t="shared" si="19"/>
        <v>1</v>
      </c>
      <c r="FT89" s="31">
        <f t="shared" si="19"/>
        <v>2266</v>
      </c>
      <c r="FU89" s="31">
        <f t="shared" si="19"/>
        <v>1</v>
      </c>
      <c r="FV89" s="31">
        <f t="shared" si="19"/>
        <v>26</v>
      </c>
      <c r="FW89" s="31">
        <f t="shared" si="19"/>
        <v>3.25</v>
      </c>
      <c r="FX89" s="31">
        <f t="shared" si="19"/>
        <v>71.65</v>
      </c>
      <c r="FY89" s="31">
        <f t="shared" si="19"/>
        <v>1.11938</v>
      </c>
      <c r="FZ89" s="31">
        <f t="shared" si="19"/>
        <v>2.54211</v>
      </c>
      <c r="GA89" s="31">
        <f t="shared" si="19"/>
        <v>1.59668</v>
      </c>
      <c r="GB89" s="31">
        <f t="shared" si="19"/>
        <v>2.31812</v>
      </c>
      <c r="GC89" s="31">
        <f t="shared" si="19"/>
        <v>1.5979</v>
      </c>
      <c r="GD89" s="31">
        <f t="shared" si="19"/>
        <v>2.368775</v>
      </c>
      <c r="GE89" s="31">
        <f t="shared" si="19"/>
        <v>43.10095</v>
      </c>
      <c r="GF89" s="31">
        <f t="shared" si="19"/>
        <v>15.71245</v>
      </c>
      <c r="GG89" s="31">
        <f t="shared" si="19"/>
        <v>18</v>
      </c>
      <c r="GH89" s="31">
        <f t="shared" si="19"/>
        <v>508.031</v>
      </c>
      <c r="GI89" s="31">
        <f t="shared" si="19"/>
        <v>473.158</v>
      </c>
      <c r="GJ89" s="31">
        <f t="shared" si="19"/>
        <v>35.3553</v>
      </c>
      <c r="GK89" s="31">
        <f t="shared" si="19"/>
        <v>35.26825</v>
      </c>
      <c r="GL89" s="31">
        <f t="shared" si="19"/>
        <v>30.00035</v>
      </c>
      <c r="GM89" s="31">
        <f t="shared" si="19"/>
        <v>35.2163</v>
      </c>
      <c r="GN89" s="31">
        <f t="shared" si="19"/>
        <v>35.14905</v>
      </c>
      <c r="GO89" s="31">
        <f t="shared" si="19"/>
        <v>22.4576</v>
      </c>
      <c r="GP89" s="31">
        <f t="shared" si="19"/>
        <v>100</v>
      </c>
      <c r="GQ89" s="31">
        <f t="shared" si="19"/>
        <v>0</v>
      </c>
      <c r="GR89" s="31">
        <f t="shared" si="19"/>
        <v>-999.9</v>
      </c>
      <c r="GS89" s="31">
        <f t="shared" si="19"/>
        <v>460</v>
      </c>
      <c r="GT89" s="31">
        <f t="shared" si="19"/>
        <v>0</v>
      </c>
      <c r="GU89" s="31">
        <f t="shared" si="19"/>
        <v>102.6305</v>
      </c>
      <c r="GV89" s="31">
        <f t="shared" si="19"/>
        <v>99.68755</v>
      </c>
    </row>
    <row r="90" ht="14.25" customHeight="1">
      <c r="A90" s="39"/>
      <c r="B90" s="39"/>
      <c r="C90" s="39"/>
      <c r="D90" s="39"/>
      <c r="E90" s="39"/>
      <c r="F90" s="39"/>
      <c r="G90" s="39"/>
      <c r="H90" s="39"/>
      <c r="I90" s="46" t="s">
        <v>112</v>
      </c>
      <c r="J90" s="31" t="s">
        <v>61</v>
      </c>
      <c r="K90" s="31">
        <f t="shared" ref="K90:GV90" si="20">AVERAGE(K42:K43)</f>
        <v>0.003760278359</v>
      </c>
      <c r="L90" s="44">
        <f t="shared" si="20"/>
        <v>3.760278359</v>
      </c>
      <c r="M90" s="44">
        <f t="shared" si="20"/>
        <v>1.718469605</v>
      </c>
      <c r="N90" s="31">
        <f t="shared" si="20"/>
        <v>455.8564976</v>
      </c>
      <c r="O90" s="44">
        <f t="shared" si="20"/>
        <v>432.2668267</v>
      </c>
      <c r="P90" s="31">
        <f t="shared" si="20"/>
        <v>43.67707096</v>
      </c>
      <c r="Q90" s="31">
        <f t="shared" si="20"/>
        <v>46.06070043</v>
      </c>
      <c r="R90" s="44">
        <f t="shared" si="20"/>
        <v>0.3381641767</v>
      </c>
      <c r="S90" s="31">
        <f t="shared" si="20"/>
        <v>2.765706377</v>
      </c>
      <c r="T90" s="31">
        <f t="shared" si="20"/>
        <v>0.3100310391</v>
      </c>
      <c r="U90" s="31">
        <f t="shared" si="20"/>
        <v>0.1960786842</v>
      </c>
      <c r="V90" s="31">
        <f t="shared" si="20"/>
        <v>31.42708488</v>
      </c>
      <c r="W90" s="31">
        <f t="shared" si="20"/>
        <v>34.41046519</v>
      </c>
      <c r="X90" s="31">
        <f t="shared" si="20"/>
        <v>34.0825</v>
      </c>
      <c r="Y90" s="31">
        <f t="shared" si="20"/>
        <v>5.367728776</v>
      </c>
      <c r="Z90" s="31">
        <f t="shared" si="20"/>
        <v>71.14029307</v>
      </c>
      <c r="AA90" s="31">
        <f t="shared" si="20"/>
        <v>4.072988008</v>
      </c>
      <c r="AB90" s="31">
        <f t="shared" si="20"/>
        <v>5.724561234</v>
      </c>
      <c r="AC90" s="31">
        <f t="shared" si="20"/>
        <v>1.294740768</v>
      </c>
      <c r="AD90" s="31">
        <f t="shared" si="20"/>
        <v>-165.8282756</v>
      </c>
      <c r="AE90" s="31">
        <f t="shared" si="20"/>
        <v>172.8680647</v>
      </c>
      <c r="AF90" s="31">
        <f t="shared" si="20"/>
        <v>14.55170555</v>
      </c>
      <c r="AG90" s="31">
        <f t="shared" si="20"/>
        <v>53.01857951</v>
      </c>
      <c r="AH90" s="31">
        <f t="shared" si="20"/>
        <v>0</v>
      </c>
      <c r="AI90" s="31">
        <f t="shared" si="20"/>
        <v>0</v>
      </c>
      <c r="AJ90" s="31">
        <f t="shared" si="20"/>
        <v>1</v>
      </c>
      <c r="AK90" s="31">
        <f t="shared" si="20"/>
        <v>0</v>
      </c>
      <c r="AL90" s="31">
        <f t="shared" si="20"/>
        <v>46938.5</v>
      </c>
      <c r="AM90" s="31" t="str">
        <f t="shared" si="20"/>
        <v>#DIV/0!</v>
      </c>
      <c r="AN90" s="31">
        <f t="shared" si="20"/>
        <v>8173.37</v>
      </c>
      <c r="AO90" s="31">
        <f t="shared" si="20"/>
        <v>559.296</v>
      </c>
      <c r="AP90" s="31">
        <f t="shared" si="20"/>
        <v>2893.93</v>
      </c>
      <c r="AQ90" s="31">
        <f t="shared" si="20"/>
        <v>0.8067347863</v>
      </c>
      <c r="AR90" s="31">
        <f t="shared" si="20"/>
        <v>-2.38169763</v>
      </c>
      <c r="AS90" s="31" t="str">
        <f t="shared" si="20"/>
        <v>#DIV/0!</v>
      </c>
      <c r="AT90" s="31">
        <f t="shared" si="20"/>
        <v>8165.585</v>
      </c>
      <c r="AU90" s="31">
        <f t="shared" si="20"/>
        <v>494.1089077</v>
      </c>
      <c r="AV90" s="31">
        <f t="shared" si="20"/>
        <v>1498.375</v>
      </c>
      <c r="AW90" s="31">
        <f t="shared" si="20"/>
        <v>0.6652561659</v>
      </c>
      <c r="AX90" s="31">
        <f t="shared" si="20"/>
        <v>0.5</v>
      </c>
      <c r="AY90" s="31">
        <f t="shared" si="20"/>
        <v>160.1923725</v>
      </c>
      <c r="AZ90" s="31">
        <f t="shared" si="20"/>
        <v>1.718469605</v>
      </c>
      <c r="BA90" s="31">
        <f t="shared" si="20"/>
        <v>53.28454531</v>
      </c>
      <c r="BB90" s="31">
        <f t="shared" si="20"/>
        <v>0.02559533372</v>
      </c>
      <c r="BC90" s="31">
        <f t="shared" si="20"/>
        <v>1.102758486</v>
      </c>
      <c r="BD90" s="31">
        <f t="shared" si="20"/>
        <v>465.2931615</v>
      </c>
      <c r="BE90" s="31" t="str">
        <f t="shared" si="20"/>
        <v>#DIV/0!</v>
      </c>
      <c r="BF90" s="31">
        <f t="shared" si="20"/>
        <v>-24.13</v>
      </c>
      <c r="BG90" s="31">
        <f t="shared" si="20"/>
        <v>-24.13</v>
      </c>
      <c r="BH90" s="31">
        <f t="shared" si="20"/>
        <v>1.134486047</v>
      </c>
      <c r="BI90" s="31">
        <f t="shared" si="20"/>
        <v>0.6833038766</v>
      </c>
      <c r="BJ90" s="31">
        <f t="shared" si="20"/>
        <v>0.4673714898</v>
      </c>
      <c r="BK90" s="31">
        <f t="shared" si="20"/>
        <v>1.159233337</v>
      </c>
      <c r="BL90" s="31">
        <f t="shared" si="20"/>
        <v>0.5977617905</v>
      </c>
      <c r="BM90" s="31">
        <f t="shared" si="20"/>
        <v>0.09273073867</v>
      </c>
      <c r="BN90" s="31">
        <f t="shared" si="20"/>
        <v>0.9072692613</v>
      </c>
      <c r="BO90" s="31" t="str">
        <f t="shared" si="20"/>
        <v>#DIV/0!</v>
      </c>
      <c r="BP90" s="31" t="str">
        <f t="shared" si="20"/>
        <v>#DIV/0!</v>
      </c>
      <c r="BQ90" s="31" t="str">
        <f t="shared" si="20"/>
        <v>#DIV/0!</v>
      </c>
      <c r="BR90" s="31" t="str">
        <f t="shared" si="20"/>
        <v>#DIV/0!</v>
      </c>
      <c r="BS90" s="31" t="str">
        <f t="shared" si="20"/>
        <v>#DIV/0!</v>
      </c>
      <c r="BT90" s="31" t="str">
        <f t="shared" si="20"/>
        <v>#DIV/0!</v>
      </c>
      <c r="BU90" s="31" t="str">
        <f t="shared" si="20"/>
        <v>#DIV/0!</v>
      </c>
      <c r="BV90" s="31" t="str">
        <f t="shared" si="20"/>
        <v>#DIV/0!</v>
      </c>
      <c r="BW90" s="31" t="str">
        <f t="shared" si="20"/>
        <v>#DIV/0!</v>
      </c>
      <c r="BX90" s="31" t="str">
        <f t="shared" si="20"/>
        <v>#DIV/0!</v>
      </c>
      <c r="BY90" s="31" t="str">
        <f t="shared" si="20"/>
        <v>#DIV/0!</v>
      </c>
      <c r="BZ90" s="31" t="str">
        <f t="shared" si="20"/>
        <v>#DIV/0!</v>
      </c>
      <c r="CA90" s="31" t="str">
        <f t="shared" si="20"/>
        <v>#DIV/0!</v>
      </c>
      <c r="CB90" s="31" t="str">
        <f t="shared" si="20"/>
        <v>#DIV/0!</v>
      </c>
      <c r="CC90" s="31" t="str">
        <f t="shared" si="20"/>
        <v>#DIV/0!</v>
      </c>
      <c r="CD90" s="31" t="str">
        <f t="shared" si="20"/>
        <v>#DIV/0!</v>
      </c>
      <c r="CE90" s="31" t="str">
        <f t="shared" si="20"/>
        <v>#DIV/0!</v>
      </c>
      <c r="CF90" s="31" t="str">
        <f t="shared" si="20"/>
        <v>#DIV/0!</v>
      </c>
      <c r="CG90" s="31" t="str">
        <f t="shared" si="20"/>
        <v>#DIV/0!</v>
      </c>
      <c r="CH90" s="31" t="str">
        <f t="shared" si="20"/>
        <v>#DIV/0!</v>
      </c>
      <c r="CI90" s="31" t="str">
        <f t="shared" si="20"/>
        <v>#DIV/0!</v>
      </c>
      <c r="CJ90" s="31" t="str">
        <f t="shared" si="20"/>
        <v>#DIV/0!</v>
      </c>
      <c r="CK90" s="31" t="str">
        <f t="shared" si="20"/>
        <v>#DIV/0!</v>
      </c>
      <c r="CL90" s="31" t="str">
        <f t="shared" si="20"/>
        <v>#DIV/0!</v>
      </c>
      <c r="CM90" s="31" t="str">
        <f t="shared" si="20"/>
        <v>#DIV/0!</v>
      </c>
      <c r="CN90" s="31" t="str">
        <f t="shared" si="20"/>
        <v>#DIV/0!</v>
      </c>
      <c r="CO90" s="31" t="str">
        <f t="shared" si="20"/>
        <v>#DIV/0!</v>
      </c>
      <c r="CP90" s="31" t="str">
        <f t="shared" si="20"/>
        <v>#DIV/0!</v>
      </c>
      <c r="CQ90" s="31" t="str">
        <f t="shared" si="20"/>
        <v>#DIV/0!</v>
      </c>
      <c r="CR90" s="31" t="str">
        <f t="shared" si="20"/>
        <v>#DIV/0!</v>
      </c>
      <c r="CS90" s="31" t="str">
        <f t="shared" si="20"/>
        <v>#DIV/0!</v>
      </c>
      <c r="CT90" s="31" t="str">
        <f t="shared" si="20"/>
        <v>#DIV/0!</v>
      </c>
      <c r="CU90" s="31" t="str">
        <f t="shared" si="20"/>
        <v>#DIV/0!</v>
      </c>
      <c r="CV90" s="31" t="str">
        <f t="shared" si="20"/>
        <v>#DIV/0!</v>
      </c>
      <c r="CW90" s="31">
        <f t="shared" si="20"/>
        <v>190.0275</v>
      </c>
      <c r="CX90" s="31">
        <f t="shared" si="20"/>
        <v>160.1923725</v>
      </c>
      <c r="CY90" s="31">
        <f t="shared" si="20"/>
        <v>0.8429957373</v>
      </c>
      <c r="CZ90" s="31">
        <f t="shared" si="20"/>
        <v>0.165381773</v>
      </c>
      <c r="DA90" s="31">
        <f t="shared" si="20"/>
        <v>6</v>
      </c>
      <c r="DB90" s="31">
        <f t="shared" si="20"/>
        <v>0.5</v>
      </c>
      <c r="DC90" s="31" t="str">
        <f t="shared" si="20"/>
        <v>#DIV/0!</v>
      </c>
      <c r="DD90" s="31">
        <f t="shared" si="20"/>
        <v>2</v>
      </c>
      <c r="DE90" s="31">
        <f t="shared" si="20"/>
        <v>1754879215</v>
      </c>
      <c r="DF90" s="31">
        <f t="shared" si="20"/>
        <v>455.8565</v>
      </c>
      <c r="DG90" s="31">
        <f t="shared" si="20"/>
        <v>459.9745</v>
      </c>
      <c r="DH90" s="31">
        <f t="shared" si="20"/>
        <v>40.30995</v>
      </c>
      <c r="DI90" s="31">
        <f t="shared" si="20"/>
        <v>35.98315</v>
      </c>
      <c r="DJ90" s="31">
        <f t="shared" si="20"/>
        <v>453.2335</v>
      </c>
      <c r="DK90" s="31">
        <f t="shared" si="20"/>
        <v>39.75815</v>
      </c>
      <c r="DL90" s="31">
        <f t="shared" si="20"/>
        <v>499.967</v>
      </c>
      <c r="DM90" s="31">
        <f t="shared" si="20"/>
        <v>100.9425</v>
      </c>
      <c r="DN90" s="31">
        <f t="shared" si="20"/>
        <v>0.09959485</v>
      </c>
      <c r="DO90" s="31">
        <f t="shared" si="20"/>
        <v>35.2421</v>
      </c>
      <c r="DP90" s="31">
        <f t="shared" si="20"/>
        <v>34.0825</v>
      </c>
      <c r="DQ90" s="31">
        <f t="shared" si="20"/>
        <v>999.9</v>
      </c>
      <c r="DR90" s="31">
        <f t="shared" si="20"/>
        <v>0</v>
      </c>
      <c r="DS90" s="31">
        <f t="shared" si="20"/>
        <v>0</v>
      </c>
      <c r="DT90" s="31">
        <f t="shared" si="20"/>
        <v>9009.065</v>
      </c>
      <c r="DU90" s="31">
        <f t="shared" si="20"/>
        <v>0</v>
      </c>
      <c r="DV90" s="31">
        <f t="shared" si="20"/>
        <v>593.1865</v>
      </c>
      <c r="DW90" s="31">
        <f t="shared" si="20"/>
        <v>190.0275</v>
      </c>
      <c r="DX90" s="31">
        <f t="shared" si="20"/>
        <v>0.900071</v>
      </c>
      <c r="DY90" s="31">
        <f t="shared" si="20"/>
        <v>0.09992925</v>
      </c>
      <c r="DZ90" s="31">
        <f t="shared" si="20"/>
        <v>0</v>
      </c>
      <c r="EA90" s="31">
        <f t="shared" si="20"/>
        <v>495.7025</v>
      </c>
      <c r="EB90" s="31">
        <f t="shared" si="20"/>
        <v>0.0999973</v>
      </c>
      <c r="EC90" s="31">
        <f t="shared" si="20"/>
        <v>2266.995</v>
      </c>
      <c r="ED90" s="31">
        <f t="shared" si="20"/>
        <v>1684.345</v>
      </c>
      <c r="EE90" s="31">
        <f t="shared" si="20"/>
        <v>40.3435</v>
      </c>
      <c r="EF90" s="31">
        <f t="shared" si="20"/>
        <v>43.781</v>
      </c>
      <c r="EG90" s="31">
        <f t="shared" si="20"/>
        <v>41.906</v>
      </c>
      <c r="EH90" s="31">
        <f t="shared" si="20"/>
        <v>43.406</v>
      </c>
      <c r="EI90" s="31">
        <f t="shared" si="20"/>
        <v>42.9685</v>
      </c>
      <c r="EJ90" s="31">
        <f t="shared" si="20"/>
        <v>170.945</v>
      </c>
      <c r="EK90" s="31">
        <f t="shared" si="20"/>
        <v>18.975</v>
      </c>
      <c r="EL90" s="31">
        <f t="shared" si="20"/>
        <v>0</v>
      </c>
      <c r="EM90" s="31">
        <f t="shared" si="20"/>
        <v>150.8</v>
      </c>
      <c r="EN90" s="31">
        <f t="shared" si="20"/>
        <v>0</v>
      </c>
      <c r="EO90" s="31">
        <f t="shared" si="20"/>
        <v>494.1089077</v>
      </c>
      <c r="EP90" s="31">
        <f t="shared" si="20"/>
        <v>-14.6885684</v>
      </c>
      <c r="EQ90" s="31">
        <f t="shared" si="20"/>
        <v>-0.9758539368</v>
      </c>
      <c r="ER90" s="31">
        <f t="shared" si="20"/>
        <v>2268.305631</v>
      </c>
      <c r="ES90" s="31">
        <f t="shared" si="20"/>
        <v>15</v>
      </c>
      <c r="ET90" s="31">
        <f t="shared" si="20"/>
        <v>1754879003</v>
      </c>
      <c r="EU90" s="42">
        <f t="shared" si="20"/>
        <v>0.4328935185</v>
      </c>
      <c r="EV90" s="31">
        <f t="shared" si="20"/>
        <v>1754879003</v>
      </c>
      <c r="EW90" s="31">
        <f t="shared" si="20"/>
        <v>1754876535</v>
      </c>
      <c r="EX90" s="31">
        <f t="shared" si="20"/>
        <v>5</v>
      </c>
      <c r="EY90" s="31">
        <f t="shared" si="20"/>
        <v>0.143</v>
      </c>
      <c r="EZ90" s="31">
        <f t="shared" si="20"/>
        <v>-0.002</v>
      </c>
      <c r="FA90" s="31">
        <f t="shared" si="20"/>
        <v>2.622</v>
      </c>
      <c r="FB90" s="31">
        <f t="shared" si="20"/>
        <v>0.297</v>
      </c>
      <c r="FC90" s="31">
        <f t="shared" si="20"/>
        <v>460</v>
      </c>
      <c r="FD90" s="31">
        <f t="shared" si="20"/>
        <v>20</v>
      </c>
      <c r="FE90" s="31">
        <f t="shared" si="20"/>
        <v>0.62</v>
      </c>
      <c r="FF90" s="31">
        <f t="shared" si="20"/>
        <v>0.06</v>
      </c>
      <c r="FG90" s="31">
        <f t="shared" si="20"/>
        <v>100</v>
      </c>
      <c r="FH90" s="31">
        <f t="shared" si="20"/>
        <v>100</v>
      </c>
      <c r="FI90" s="31">
        <f t="shared" si="20"/>
        <v>2.623</v>
      </c>
      <c r="FJ90" s="31">
        <f t="shared" si="20"/>
        <v>0.5518</v>
      </c>
      <c r="FK90" s="31">
        <f t="shared" si="20"/>
        <v>2.724200174</v>
      </c>
      <c r="FL90" s="31">
        <f t="shared" si="20"/>
        <v>-0.000225954287</v>
      </c>
      <c r="FM90" s="43">
        <f t="shared" si="20"/>
        <v>0.000000005204173011</v>
      </c>
      <c r="FN90" s="43">
        <f t="shared" si="20"/>
        <v>0</v>
      </c>
      <c r="FO90" s="31">
        <f t="shared" si="20"/>
        <v>0.5518733385</v>
      </c>
      <c r="FP90" s="31">
        <f t="shared" si="20"/>
        <v>0</v>
      </c>
      <c r="FQ90" s="31">
        <f t="shared" si="20"/>
        <v>0</v>
      </c>
      <c r="FR90" s="31">
        <f t="shared" si="20"/>
        <v>0</v>
      </c>
      <c r="FS90" s="31">
        <f t="shared" si="20"/>
        <v>1</v>
      </c>
      <c r="FT90" s="31">
        <f t="shared" si="20"/>
        <v>2266</v>
      </c>
      <c r="FU90" s="31">
        <f t="shared" si="20"/>
        <v>1</v>
      </c>
      <c r="FV90" s="31">
        <f t="shared" si="20"/>
        <v>26</v>
      </c>
      <c r="FW90" s="31">
        <f t="shared" si="20"/>
        <v>3.5</v>
      </c>
      <c r="FX90" s="31">
        <f t="shared" si="20"/>
        <v>44.7</v>
      </c>
      <c r="FY90" s="31">
        <f t="shared" si="20"/>
        <v>1.11084</v>
      </c>
      <c r="FZ90" s="31">
        <f t="shared" si="20"/>
        <v>2.527465</v>
      </c>
      <c r="GA90" s="31">
        <f t="shared" si="20"/>
        <v>1.59607</v>
      </c>
      <c r="GB90" s="31">
        <f t="shared" si="20"/>
        <v>2.32239</v>
      </c>
      <c r="GC90" s="31">
        <f t="shared" si="20"/>
        <v>1.5979</v>
      </c>
      <c r="GD90" s="31">
        <f t="shared" si="20"/>
        <v>2.319945</v>
      </c>
      <c r="GE90" s="31">
        <f t="shared" si="20"/>
        <v>42.17835</v>
      </c>
      <c r="GF90" s="31">
        <f t="shared" si="20"/>
        <v>15.94455</v>
      </c>
      <c r="GG90" s="31">
        <f t="shared" si="20"/>
        <v>18</v>
      </c>
      <c r="GH90" s="31">
        <f t="shared" si="20"/>
        <v>505.2015</v>
      </c>
      <c r="GI90" s="31">
        <f t="shared" si="20"/>
        <v>486.5695</v>
      </c>
      <c r="GJ90" s="31">
        <f t="shared" si="20"/>
        <v>35.2363</v>
      </c>
      <c r="GK90" s="31">
        <f t="shared" si="20"/>
        <v>35.46475</v>
      </c>
      <c r="GL90" s="31">
        <f t="shared" si="20"/>
        <v>29.9997</v>
      </c>
      <c r="GM90" s="31">
        <f t="shared" si="20"/>
        <v>35.4739</v>
      </c>
      <c r="GN90" s="31">
        <f t="shared" si="20"/>
        <v>35.4081</v>
      </c>
      <c r="GO90" s="31">
        <f t="shared" si="20"/>
        <v>22.28875</v>
      </c>
      <c r="GP90" s="31">
        <f t="shared" si="20"/>
        <v>100</v>
      </c>
      <c r="GQ90" s="31">
        <f t="shared" si="20"/>
        <v>0</v>
      </c>
      <c r="GR90" s="31">
        <f t="shared" si="20"/>
        <v>-999.9</v>
      </c>
      <c r="GS90" s="31">
        <f t="shared" si="20"/>
        <v>460</v>
      </c>
      <c r="GT90" s="31">
        <f t="shared" si="20"/>
        <v>0</v>
      </c>
      <c r="GU90" s="31">
        <f t="shared" si="20"/>
        <v>102.673</v>
      </c>
      <c r="GV90" s="31">
        <f t="shared" si="20"/>
        <v>99.628</v>
      </c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45" t="s">
        <v>112</v>
      </c>
      <c r="J91" s="31" t="s">
        <v>62</v>
      </c>
      <c r="K91" s="31">
        <f t="shared" ref="K91:GV91" si="21">AVERAGE(K44:K45)</f>
        <v>0.003239474868</v>
      </c>
      <c r="L91" s="44">
        <f t="shared" si="21"/>
        <v>3.239474868</v>
      </c>
      <c r="M91" s="44">
        <f t="shared" si="21"/>
        <v>4.098033375</v>
      </c>
      <c r="N91" s="31">
        <f t="shared" si="21"/>
        <v>453.6969943</v>
      </c>
      <c r="O91" s="44">
        <f t="shared" si="21"/>
        <v>416.0673788</v>
      </c>
      <c r="P91" s="31">
        <f t="shared" si="21"/>
        <v>42.01745851</v>
      </c>
      <c r="Q91" s="31">
        <f t="shared" si="21"/>
        <v>45.81754633</v>
      </c>
      <c r="R91" s="44">
        <f t="shared" si="21"/>
        <v>0.2425142706</v>
      </c>
      <c r="S91" s="31">
        <f t="shared" si="21"/>
        <v>2.767124755</v>
      </c>
      <c r="T91" s="31">
        <f t="shared" si="21"/>
        <v>0.2312223373</v>
      </c>
      <c r="U91" s="31">
        <f t="shared" si="21"/>
        <v>0.1454843956</v>
      </c>
      <c r="V91" s="31">
        <f t="shared" si="21"/>
        <v>31.41343637</v>
      </c>
      <c r="W91" s="31">
        <f t="shared" si="21"/>
        <v>30.22027275</v>
      </c>
      <c r="X91" s="31">
        <f t="shared" si="21"/>
        <v>30.08655</v>
      </c>
      <c r="Y91" s="31">
        <f t="shared" si="21"/>
        <v>4.281964223</v>
      </c>
      <c r="Z91" s="31">
        <f t="shared" si="21"/>
        <v>64.97927928</v>
      </c>
      <c r="AA91" s="31">
        <f t="shared" si="21"/>
        <v>2.916959655</v>
      </c>
      <c r="AB91" s="31">
        <f t="shared" si="21"/>
        <v>4.489359357</v>
      </c>
      <c r="AC91" s="31">
        <f t="shared" si="21"/>
        <v>1.365004568</v>
      </c>
      <c r="AD91" s="31">
        <f t="shared" si="21"/>
        <v>-142.8608417</v>
      </c>
      <c r="AE91" s="31">
        <f t="shared" si="21"/>
        <v>123.0536349</v>
      </c>
      <c r="AF91" s="31">
        <f t="shared" si="21"/>
        <v>9.940242387</v>
      </c>
      <c r="AG91" s="31">
        <f t="shared" si="21"/>
        <v>21.54647196</v>
      </c>
      <c r="AH91" s="31">
        <f t="shared" si="21"/>
        <v>0.5</v>
      </c>
      <c r="AI91" s="31">
        <f t="shared" si="21"/>
        <v>0</v>
      </c>
      <c r="AJ91" s="31">
        <f t="shared" si="21"/>
        <v>1</v>
      </c>
      <c r="AK91" s="31">
        <f t="shared" si="21"/>
        <v>0</v>
      </c>
      <c r="AL91" s="31">
        <f t="shared" si="21"/>
        <v>47646</v>
      </c>
      <c r="AM91" s="31" t="str">
        <f t="shared" si="21"/>
        <v>#DIV/0!</v>
      </c>
      <c r="AN91" s="31">
        <f t="shared" si="21"/>
        <v>8173.37</v>
      </c>
      <c r="AO91" s="31">
        <f t="shared" si="21"/>
        <v>559.296</v>
      </c>
      <c r="AP91" s="31">
        <f t="shared" si="21"/>
        <v>2893.93</v>
      </c>
      <c r="AQ91" s="31">
        <f t="shared" si="21"/>
        <v>0.8067347863</v>
      </c>
      <c r="AR91" s="31">
        <f t="shared" si="21"/>
        <v>-2.38169763</v>
      </c>
      <c r="AS91" s="31" t="str">
        <f t="shared" si="21"/>
        <v>#DIV/0!</v>
      </c>
      <c r="AT91" s="31">
        <f t="shared" si="21"/>
        <v>8198.73</v>
      </c>
      <c r="AU91" s="31">
        <f t="shared" si="21"/>
        <v>617.0123077</v>
      </c>
      <c r="AV91" s="31">
        <f t="shared" si="21"/>
        <v>1748.7</v>
      </c>
      <c r="AW91" s="31">
        <f t="shared" si="21"/>
        <v>0.645060703</v>
      </c>
      <c r="AX91" s="31">
        <f t="shared" si="21"/>
        <v>0.5</v>
      </c>
      <c r="AY91" s="31">
        <f t="shared" si="21"/>
        <v>160.1179005</v>
      </c>
      <c r="AZ91" s="31">
        <f t="shared" si="21"/>
        <v>4.098033375</v>
      </c>
      <c r="BA91" s="31">
        <f t="shared" si="21"/>
        <v>51.64336192</v>
      </c>
      <c r="BB91" s="31">
        <f t="shared" si="21"/>
        <v>0.04046684481</v>
      </c>
      <c r="BC91" s="31">
        <f t="shared" si="21"/>
        <v>0.6817545719</v>
      </c>
      <c r="BD91" s="31">
        <f t="shared" si="21"/>
        <v>494.8343551</v>
      </c>
      <c r="BE91" s="31" t="str">
        <f t="shared" si="21"/>
        <v>#DIV/0!</v>
      </c>
      <c r="BF91" s="31">
        <f t="shared" si="21"/>
        <v>60.5</v>
      </c>
      <c r="BG91" s="31">
        <f t="shared" si="21"/>
        <v>60.5</v>
      </c>
      <c r="BH91" s="31">
        <f t="shared" si="21"/>
        <v>0.9984452557</v>
      </c>
      <c r="BI91" s="31">
        <f t="shared" si="21"/>
        <v>0.6983242233</v>
      </c>
      <c r="BJ91" s="31">
        <f t="shared" si="21"/>
        <v>0.4020784221</v>
      </c>
      <c r="BK91" s="31">
        <f t="shared" si="21"/>
        <v>0.9577287909</v>
      </c>
      <c r="BL91" s="31">
        <f t="shared" si="21"/>
        <v>0.4905394165</v>
      </c>
      <c r="BM91" s="31">
        <f t="shared" si="21"/>
        <v>0.1745626211</v>
      </c>
      <c r="BN91" s="31">
        <f t="shared" si="21"/>
        <v>0.8254373789</v>
      </c>
      <c r="BO91" s="31" t="str">
        <f t="shared" si="21"/>
        <v>#DIV/0!</v>
      </c>
      <c r="BP91" s="31" t="str">
        <f t="shared" si="21"/>
        <v>#DIV/0!</v>
      </c>
      <c r="BQ91" s="31" t="str">
        <f t="shared" si="21"/>
        <v>#DIV/0!</v>
      </c>
      <c r="BR91" s="31" t="str">
        <f t="shared" si="21"/>
        <v>#DIV/0!</v>
      </c>
      <c r="BS91" s="31" t="str">
        <f t="shared" si="21"/>
        <v>#DIV/0!</v>
      </c>
      <c r="BT91" s="31" t="str">
        <f t="shared" si="21"/>
        <v>#DIV/0!</v>
      </c>
      <c r="BU91" s="31" t="str">
        <f t="shared" si="21"/>
        <v>#DIV/0!</v>
      </c>
      <c r="BV91" s="31" t="str">
        <f t="shared" si="21"/>
        <v>#DIV/0!</v>
      </c>
      <c r="BW91" s="31" t="str">
        <f t="shared" si="21"/>
        <v>#DIV/0!</v>
      </c>
      <c r="BX91" s="31" t="str">
        <f t="shared" si="21"/>
        <v>#DIV/0!</v>
      </c>
      <c r="BY91" s="31" t="str">
        <f t="shared" si="21"/>
        <v>#DIV/0!</v>
      </c>
      <c r="BZ91" s="31" t="str">
        <f t="shared" si="21"/>
        <v>#DIV/0!</v>
      </c>
      <c r="CA91" s="31" t="str">
        <f t="shared" si="21"/>
        <v>#DIV/0!</v>
      </c>
      <c r="CB91" s="31" t="str">
        <f t="shared" si="21"/>
        <v>#DIV/0!</v>
      </c>
      <c r="CC91" s="31" t="str">
        <f t="shared" si="21"/>
        <v>#DIV/0!</v>
      </c>
      <c r="CD91" s="31" t="str">
        <f t="shared" si="21"/>
        <v>#DIV/0!</v>
      </c>
      <c r="CE91" s="31" t="str">
        <f t="shared" si="21"/>
        <v>#DIV/0!</v>
      </c>
      <c r="CF91" s="31" t="str">
        <f t="shared" si="21"/>
        <v>#DIV/0!</v>
      </c>
      <c r="CG91" s="31" t="str">
        <f t="shared" si="21"/>
        <v>#DIV/0!</v>
      </c>
      <c r="CH91" s="31" t="str">
        <f t="shared" si="21"/>
        <v>#DIV/0!</v>
      </c>
      <c r="CI91" s="31" t="str">
        <f t="shared" si="21"/>
        <v>#DIV/0!</v>
      </c>
      <c r="CJ91" s="31" t="str">
        <f t="shared" si="21"/>
        <v>#DIV/0!</v>
      </c>
      <c r="CK91" s="31" t="str">
        <f t="shared" si="21"/>
        <v>#DIV/0!</v>
      </c>
      <c r="CL91" s="31" t="str">
        <f t="shared" si="21"/>
        <v>#DIV/0!</v>
      </c>
      <c r="CM91" s="31" t="str">
        <f t="shared" si="21"/>
        <v>#DIV/0!</v>
      </c>
      <c r="CN91" s="31" t="str">
        <f t="shared" si="21"/>
        <v>#DIV/0!</v>
      </c>
      <c r="CO91" s="31" t="str">
        <f t="shared" si="21"/>
        <v>#DIV/0!</v>
      </c>
      <c r="CP91" s="31" t="str">
        <f t="shared" si="21"/>
        <v>#DIV/0!</v>
      </c>
      <c r="CQ91" s="31" t="str">
        <f t="shared" si="21"/>
        <v>#DIV/0!</v>
      </c>
      <c r="CR91" s="31" t="str">
        <f t="shared" si="21"/>
        <v>#DIV/0!</v>
      </c>
      <c r="CS91" s="31" t="str">
        <f t="shared" si="21"/>
        <v>#DIV/0!</v>
      </c>
      <c r="CT91" s="31" t="str">
        <f t="shared" si="21"/>
        <v>#DIV/0!</v>
      </c>
      <c r="CU91" s="31" t="str">
        <f t="shared" si="21"/>
        <v>#DIV/0!</v>
      </c>
      <c r="CV91" s="31" t="str">
        <f t="shared" si="21"/>
        <v>#DIV/0!</v>
      </c>
      <c r="CW91" s="31">
        <f t="shared" si="21"/>
        <v>189.9385</v>
      </c>
      <c r="CX91" s="31">
        <f t="shared" si="21"/>
        <v>160.1179005</v>
      </c>
      <c r="CY91" s="31">
        <f t="shared" si="21"/>
        <v>0.8429986576</v>
      </c>
      <c r="CZ91" s="31">
        <f t="shared" si="21"/>
        <v>0.1653874091</v>
      </c>
      <c r="DA91" s="31">
        <f t="shared" si="21"/>
        <v>6</v>
      </c>
      <c r="DB91" s="31">
        <f t="shared" si="21"/>
        <v>0.5</v>
      </c>
      <c r="DC91" s="31" t="str">
        <f t="shared" si="21"/>
        <v>#DIV/0!</v>
      </c>
      <c r="DD91" s="31">
        <f t="shared" si="21"/>
        <v>2</v>
      </c>
      <c r="DE91" s="31">
        <f t="shared" si="21"/>
        <v>1754877585</v>
      </c>
      <c r="DF91" s="31">
        <f t="shared" si="21"/>
        <v>453.697</v>
      </c>
      <c r="DG91" s="31">
        <f t="shared" si="21"/>
        <v>460.3785</v>
      </c>
      <c r="DH91" s="31">
        <f t="shared" si="21"/>
        <v>28.88445</v>
      </c>
      <c r="DI91" s="31">
        <f t="shared" si="21"/>
        <v>25.109</v>
      </c>
      <c r="DJ91" s="31">
        <f t="shared" si="21"/>
        <v>451.398</v>
      </c>
      <c r="DK91" s="31">
        <f t="shared" si="21"/>
        <v>28.33255</v>
      </c>
      <c r="DL91" s="31">
        <f t="shared" si="21"/>
        <v>499.97</v>
      </c>
      <c r="DM91" s="31">
        <f t="shared" si="21"/>
        <v>100.887</v>
      </c>
      <c r="DN91" s="31">
        <f t="shared" si="21"/>
        <v>0.1000936</v>
      </c>
      <c r="DO91" s="31">
        <f t="shared" si="21"/>
        <v>30.91135</v>
      </c>
      <c r="DP91" s="31">
        <f t="shared" si="21"/>
        <v>30.08655</v>
      </c>
      <c r="DQ91" s="31">
        <f t="shared" si="21"/>
        <v>999.9</v>
      </c>
      <c r="DR91" s="31">
        <f t="shared" si="21"/>
        <v>0</v>
      </c>
      <c r="DS91" s="31">
        <f t="shared" si="21"/>
        <v>0</v>
      </c>
      <c r="DT91" s="31">
        <f t="shared" si="21"/>
        <v>9021.56</v>
      </c>
      <c r="DU91" s="31">
        <f t="shared" si="21"/>
        <v>0</v>
      </c>
      <c r="DV91" s="31">
        <f t="shared" si="21"/>
        <v>1092.5525</v>
      </c>
      <c r="DW91" s="31">
        <f t="shared" si="21"/>
        <v>189.9385</v>
      </c>
      <c r="DX91" s="31">
        <f t="shared" si="21"/>
        <v>0.899984</v>
      </c>
      <c r="DY91" s="31">
        <f t="shared" si="21"/>
        <v>0.100016</v>
      </c>
      <c r="DZ91" s="31">
        <f t="shared" si="21"/>
        <v>0</v>
      </c>
      <c r="EA91" s="31">
        <f t="shared" si="21"/>
        <v>612.51</v>
      </c>
      <c r="EB91" s="31">
        <f t="shared" si="21"/>
        <v>0.0999973</v>
      </c>
      <c r="EC91" s="31">
        <f t="shared" si="21"/>
        <v>3778.43</v>
      </c>
      <c r="ED91" s="31">
        <f t="shared" si="21"/>
        <v>1683.505</v>
      </c>
      <c r="EE91" s="31">
        <f t="shared" si="21"/>
        <v>37.0625</v>
      </c>
      <c r="EF91" s="31">
        <f t="shared" si="21"/>
        <v>40.531</v>
      </c>
      <c r="EG91" s="31">
        <f t="shared" si="21"/>
        <v>38.6245</v>
      </c>
      <c r="EH91" s="31">
        <f t="shared" si="21"/>
        <v>40.187</v>
      </c>
      <c r="EI91" s="31">
        <f t="shared" si="21"/>
        <v>39.4995</v>
      </c>
      <c r="EJ91" s="31">
        <f t="shared" si="21"/>
        <v>170.85</v>
      </c>
      <c r="EK91" s="31">
        <f t="shared" si="21"/>
        <v>18.985</v>
      </c>
      <c r="EL91" s="31">
        <f t="shared" si="21"/>
        <v>0</v>
      </c>
      <c r="EM91" s="31">
        <f t="shared" si="21"/>
        <v>877438824.3</v>
      </c>
      <c r="EN91" s="31">
        <f t="shared" si="21"/>
        <v>0</v>
      </c>
      <c r="EO91" s="31">
        <f t="shared" si="21"/>
        <v>617.0123077</v>
      </c>
      <c r="EP91" s="31">
        <f t="shared" si="21"/>
        <v>-20.65760688</v>
      </c>
      <c r="EQ91" s="31">
        <f t="shared" si="21"/>
        <v>1294.900043</v>
      </c>
      <c r="ER91" s="31">
        <f t="shared" si="21"/>
        <v>3634.609362</v>
      </c>
      <c r="ES91" s="31">
        <f t="shared" si="21"/>
        <v>15</v>
      </c>
      <c r="ET91" s="31">
        <f t="shared" si="21"/>
        <v>1754877537</v>
      </c>
      <c r="EU91" s="42">
        <f t="shared" si="21"/>
        <v>0.4159375</v>
      </c>
      <c r="EV91" s="31">
        <f t="shared" si="21"/>
        <v>1754877537</v>
      </c>
      <c r="EW91" s="31">
        <f t="shared" si="21"/>
        <v>1754876535</v>
      </c>
      <c r="EX91" s="31">
        <f t="shared" si="21"/>
        <v>3</v>
      </c>
      <c r="EY91" s="31">
        <f t="shared" si="21"/>
        <v>0.273</v>
      </c>
      <c r="EZ91" s="31">
        <f t="shared" si="21"/>
        <v>-0.002</v>
      </c>
      <c r="FA91" s="31">
        <f t="shared" si="21"/>
        <v>2.298</v>
      </c>
      <c r="FB91" s="31">
        <f t="shared" si="21"/>
        <v>0.297</v>
      </c>
      <c r="FC91" s="31">
        <f t="shared" si="21"/>
        <v>460</v>
      </c>
      <c r="FD91" s="31">
        <f t="shared" si="21"/>
        <v>20</v>
      </c>
      <c r="FE91" s="31">
        <f t="shared" si="21"/>
        <v>0.39</v>
      </c>
      <c r="FF91" s="31">
        <f t="shared" si="21"/>
        <v>0.06</v>
      </c>
      <c r="FG91" s="31">
        <f t="shared" si="21"/>
        <v>100</v>
      </c>
      <c r="FH91" s="31">
        <f t="shared" si="21"/>
        <v>100</v>
      </c>
      <c r="FI91" s="31">
        <f t="shared" si="21"/>
        <v>2.299</v>
      </c>
      <c r="FJ91" s="31">
        <f t="shared" si="21"/>
        <v>0.5519</v>
      </c>
      <c r="FK91" s="31">
        <f t="shared" si="21"/>
        <v>2.263770709</v>
      </c>
      <c r="FL91" s="31">
        <f t="shared" si="21"/>
        <v>-0.000225954287</v>
      </c>
      <c r="FM91" s="43">
        <f t="shared" si="21"/>
        <v>0.000000005204173011</v>
      </c>
      <c r="FN91" s="43">
        <f t="shared" si="21"/>
        <v>0</v>
      </c>
      <c r="FO91" s="31">
        <f t="shared" si="21"/>
        <v>0.5518733385</v>
      </c>
      <c r="FP91" s="31">
        <f t="shared" si="21"/>
        <v>0</v>
      </c>
      <c r="FQ91" s="31">
        <f t="shared" si="21"/>
        <v>0</v>
      </c>
      <c r="FR91" s="31">
        <f t="shared" si="21"/>
        <v>0</v>
      </c>
      <c r="FS91" s="31">
        <f t="shared" si="21"/>
        <v>1</v>
      </c>
      <c r="FT91" s="31">
        <f t="shared" si="21"/>
        <v>2266</v>
      </c>
      <c r="FU91" s="31">
        <f t="shared" si="21"/>
        <v>1</v>
      </c>
      <c r="FV91" s="31">
        <f t="shared" si="21"/>
        <v>26</v>
      </c>
      <c r="FW91" s="31">
        <f t="shared" si="21"/>
        <v>9.1</v>
      </c>
      <c r="FX91" s="31">
        <f t="shared" si="21"/>
        <v>17.5</v>
      </c>
      <c r="FY91" s="31">
        <f t="shared" si="21"/>
        <v>1.102905</v>
      </c>
      <c r="FZ91" s="31">
        <f t="shared" si="21"/>
        <v>2.48718</v>
      </c>
      <c r="GA91" s="31">
        <f t="shared" si="21"/>
        <v>1.59668</v>
      </c>
      <c r="GB91" s="31">
        <f t="shared" si="21"/>
        <v>2.34009</v>
      </c>
      <c r="GC91" s="31">
        <f t="shared" si="21"/>
        <v>1.5979</v>
      </c>
      <c r="GD91" s="31">
        <f t="shared" si="21"/>
        <v>2.365725</v>
      </c>
      <c r="GE91" s="31">
        <f t="shared" si="21"/>
        <v>35.6856</v>
      </c>
      <c r="GF91" s="31">
        <f t="shared" si="21"/>
        <v>16.09775</v>
      </c>
      <c r="GG91" s="31">
        <f t="shared" si="21"/>
        <v>18</v>
      </c>
      <c r="GH91" s="31">
        <f t="shared" si="21"/>
        <v>502.2945</v>
      </c>
      <c r="GI91" s="31">
        <f t="shared" si="21"/>
        <v>522.0255</v>
      </c>
      <c r="GJ91" s="31">
        <f t="shared" si="21"/>
        <v>30.3357</v>
      </c>
      <c r="GK91" s="31">
        <f t="shared" si="21"/>
        <v>30.9552</v>
      </c>
      <c r="GL91" s="31">
        <f t="shared" si="21"/>
        <v>30.00195</v>
      </c>
      <c r="GM91" s="31">
        <f t="shared" si="21"/>
        <v>30.6837</v>
      </c>
      <c r="GN91" s="31">
        <f t="shared" si="21"/>
        <v>30.56835</v>
      </c>
      <c r="GO91" s="31">
        <f t="shared" si="21"/>
        <v>22.1284</v>
      </c>
      <c r="GP91" s="31">
        <f t="shared" si="21"/>
        <v>100</v>
      </c>
      <c r="GQ91" s="31">
        <f t="shared" si="21"/>
        <v>77.6127</v>
      </c>
      <c r="GR91" s="31">
        <f t="shared" si="21"/>
        <v>-999.9</v>
      </c>
      <c r="GS91" s="31">
        <f t="shared" si="21"/>
        <v>460</v>
      </c>
      <c r="GT91" s="31">
        <f t="shared" si="21"/>
        <v>0</v>
      </c>
      <c r="GU91" s="31">
        <f t="shared" si="21"/>
        <v>103.2765</v>
      </c>
      <c r="GV91" s="31">
        <f t="shared" si="21"/>
        <v>100.1935</v>
      </c>
    </row>
    <row r="92" ht="14.25" customHeight="1">
      <c r="A92" s="39"/>
      <c r="B92" s="39"/>
      <c r="C92" s="39"/>
      <c r="D92" s="39"/>
      <c r="E92" s="39"/>
      <c r="F92" s="39"/>
      <c r="G92" s="39"/>
      <c r="H92" s="39"/>
      <c r="I92" s="46" t="s">
        <v>112</v>
      </c>
      <c r="J92" s="31" t="s">
        <v>64</v>
      </c>
      <c r="K92" s="31">
        <f t="shared" ref="K92:GV92" si="22">AVERAGE(K46:K47)</f>
        <v>0.003338489122</v>
      </c>
      <c r="L92" s="44">
        <f t="shared" si="22"/>
        <v>3.338489122</v>
      </c>
      <c r="M92" s="44">
        <f t="shared" si="22"/>
        <v>3.189980101</v>
      </c>
      <c r="N92" s="31">
        <f t="shared" si="22"/>
        <v>454.3149955</v>
      </c>
      <c r="O92" s="44">
        <f t="shared" si="22"/>
        <v>423.6605516</v>
      </c>
      <c r="P92" s="31">
        <f t="shared" si="22"/>
        <v>42.80685108</v>
      </c>
      <c r="Q92" s="31">
        <f t="shared" si="22"/>
        <v>45.90416588</v>
      </c>
      <c r="R92" s="44">
        <f t="shared" si="22"/>
        <v>0.2584116378</v>
      </c>
      <c r="S92" s="31">
        <f t="shared" si="22"/>
        <v>2.768207309</v>
      </c>
      <c r="T92" s="31">
        <f t="shared" si="22"/>
        <v>0.2456080562</v>
      </c>
      <c r="U92" s="31">
        <f t="shared" si="22"/>
        <v>0.1546020528</v>
      </c>
      <c r="V92" s="31">
        <f t="shared" si="22"/>
        <v>31.41061657</v>
      </c>
      <c r="W92" s="31">
        <f t="shared" si="22"/>
        <v>34.2954017</v>
      </c>
      <c r="X92" s="31">
        <f t="shared" si="22"/>
        <v>33.99305</v>
      </c>
      <c r="Y92" s="31">
        <f t="shared" si="22"/>
        <v>5.340962676</v>
      </c>
      <c r="Z92" s="31">
        <f t="shared" si="22"/>
        <v>71.2448445</v>
      </c>
      <c r="AA92" s="31">
        <f t="shared" si="22"/>
        <v>4.026743588</v>
      </c>
      <c r="AB92" s="31">
        <f t="shared" si="22"/>
        <v>5.651900182</v>
      </c>
      <c r="AC92" s="31">
        <f t="shared" si="22"/>
        <v>1.314219088</v>
      </c>
      <c r="AD92" s="31">
        <f t="shared" si="22"/>
        <v>-147.2273703</v>
      </c>
      <c r="AE92" s="31">
        <f t="shared" si="22"/>
        <v>151.9157403</v>
      </c>
      <c r="AF92" s="31">
        <f t="shared" si="22"/>
        <v>12.75615656</v>
      </c>
      <c r="AG92" s="31">
        <f t="shared" si="22"/>
        <v>48.85514321</v>
      </c>
      <c r="AH92" s="31">
        <f t="shared" si="22"/>
        <v>0</v>
      </c>
      <c r="AI92" s="31">
        <f t="shared" si="22"/>
        <v>0</v>
      </c>
      <c r="AJ92" s="31">
        <f t="shared" si="22"/>
        <v>1</v>
      </c>
      <c r="AK92" s="31">
        <f t="shared" si="22"/>
        <v>0</v>
      </c>
      <c r="AL92" s="31">
        <f t="shared" si="22"/>
        <v>47042</v>
      </c>
      <c r="AM92" s="31" t="str">
        <f t="shared" si="22"/>
        <v>#DIV/0!</v>
      </c>
      <c r="AN92" s="31">
        <f t="shared" si="22"/>
        <v>8173.37</v>
      </c>
      <c r="AO92" s="31">
        <f t="shared" si="22"/>
        <v>559.296</v>
      </c>
      <c r="AP92" s="31">
        <f t="shared" si="22"/>
        <v>2893.93</v>
      </c>
      <c r="AQ92" s="31">
        <f t="shared" si="22"/>
        <v>0.8067347863</v>
      </c>
      <c r="AR92" s="31">
        <f t="shared" si="22"/>
        <v>-2.38169763</v>
      </c>
      <c r="AS92" s="31" t="str">
        <f t="shared" si="22"/>
        <v>#DIV/0!</v>
      </c>
      <c r="AT92" s="31">
        <f t="shared" si="22"/>
        <v>8181.19</v>
      </c>
      <c r="AU92" s="31">
        <f t="shared" si="22"/>
        <v>528.5515192</v>
      </c>
      <c r="AV92" s="31">
        <f t="shared" si="22"/>
        <v>1548.045</v>
      </c>
      <c r="AW92" s="31">
        <f t="shared" si="22"/>
        <v>0.6573844978</v>
      </c>
      <c r="AX92" s="31">
        <f t="shared" si="22"/>
        <v>0.5</v>
      </c>
      <c r="AY92" s="31">
        <f t="shared" si="22"/>
        <v>160.101672</v>
      </c>
      <c r="AZ92" s="31">
        <f t="shared" si="22"/>
        <v>3.189980101</v>
      </c>
      <c r="BA92" s="31">
        <f t="shared" si="22"/>
        <v>52.62410572</v>
      </c>
      <c r="BB92" s="31">
        <f t="shared" si="22"/>
        <v>0.0348013816</v>
      </c>
      <c r="BC92" s="31">
        <f t="shared" si="22"/>
        <v>0.945580582</v>
      </c>
      <c r="BD92" s="31">
        <f t="shared" si="22"/>
        <v>474.7570805</v>
      </c>
      <c r="BE92" s="31" t="str">
        <f t="shared" si="22"/>
        <v>#DIV/0!</v>
      </c>
      <c r="BF92" s="31">
        <f t="shared" si="22"/>
        <v>-769.37</v>
      </c>
      <c r="BG92" s="31">
        <f t="shared" si="22"/>
        <v>-769.37</v>
      </c>
      <c r="BH92" s="31">
        <f t="shared" si="22"/>
        <v>1.468385269</v>
      </c>
      <c r="BI92" s="31">
        <f t="shared" si="22"/>
        <v>0.4516702905</v>
      </c>
      <c r="BJ92" s="31">
        <f t="shared" si="22"/>
        <v>0.3795965677</v>
      </c>
      <c r="BK92" s="31">
        <f t="shared" si="22"/>
        <v>1.067556557</v>
      </c>
      <c r="BL92" s="31">
        <f t="shared" si="22"/>
        <v>0.5764865071</v>
      </c>
      <c r="BM92" s="31">
        <f t="shared" si="22"/>
        <v>-0.6029710537</v>
      </c>
      <c r="BN92" s="31">
        <f t="shared" si="22"/>
        <v>1.602971054</v>
      </c>
      <c r="BO92" s="31" t="str">
        <f t="shared" si="22"/>
        <v>#DIV/0!</v>
      </c>
      <c r="BP92" s="31" t="str">
        <f t="shared" si="22"/>
        <v>#DIV/0!</v>
      </c>
      <c r="BQ92" s="31" t="str">
        <f t="shared" si="22"/>
        <v>#DIV/0!</v>
      </c>
      <c r="BR92" s="31" t="str">
        <f t="shared" si="22"/>
        <v>#DIV/0!</v>
      </c>
      <c r="BS92" s="31" t="str">
        <f t="shared" si="22"/>
        <v>#DIV/0!</v>
      </c>
      <c r="BT92" s="31" t="str">
        <f t="shared" si="22"/>
        <v>#DIV/0!</v>
      </c>
      <c r="BU92" s="31" t="str">
        <f t="shared" si="22"/>
        <v>#DIV/0!</v>
      </c>
      <c r="BV92" s="31" t="str">
        <f t="shared" si="22"/>
        <v>#DIV/0!</v>
      </c>
      <c r="BW92" s="31" t="str">
        <f t="shared" si="22"/>
        <v>#DIV/0!</v>
      </c>
      <c r="BX92" s="31" t="str">
        <f t="shared" si="22"/>
        <v>#DIV/0!</v>
      </c>
      <c r="BY92" s="31" t="str">
        <f t="shared" si="22"/>
        <v>#DIV/0!</v>
      </c>
      <c r="BZ92" s="31" t="str">
        <f t="shared" si="22"/>
        <v>#DIV/0!</v>
      </c>
      <c r="CA92" s="31" t="str">
        <f t="shared" si="22"/>
        <v>#DIV/0!</v>
      </c>
      <c r="CB92" s="31" t="str">
        <f t="shared" si="22"/>
        <v>#DIV/0!</v>
      </c>
      <c r="CC92" s="31" t="str">
        <f t="shared" si="22"/>
        <v>#DIV/0!</v>
      </c>
      <c r="CD92" s="31" t="str">
        <f t="shared" si="22"/>
        <v>#DIV/0!</v>
      </c>
      <c r="CE92" s="31" t="str">
        <f t="shared" si="22"/>
        <v>#DIV/0!</v>
      </c>
      <c r="CF92" s="31" t="str">
        <f t="shared" si="22"/>
        <v>#DIV/0!</v>
      </c>
      <c r="CG92" s="31" t="str">
        <f t="shared" si="22"/>
        <v>#DIV/0!</v>
      </c>
      <c r="CH92" s="31" t="str">
        <f t="shared" si="22"/>
        <v>#DIV/0!</v>
      </c>
      <c r="CI92" s="31" t="str">
        <f t="shared" si="22"/>
        <v>#DIV/0!</v>
      </c>
      <c r="CJ92" s="31" t="str">
        <f t="shared" si="22"/>
        <v>#DIV/0!</v>
      </c>
      <c r="CK92" s="31" t="str">
        <f t="shared" si="22"/>
        <v>#DIV/0!</v>
      </c>
      <c r="CL92" s="31" t="str">
        <f t="shared" si="22"/>
        <v>#DIV/0!</v>
      </c>
      <c r="CM92" s="31" t="str">
        <f t="shared" si="22"/>
        <v>#DIV/0!</v>
      </c>
      <c r="CN92" s="31" t="str">
        <f t="shared" si="22"/>
        <v>#DIV/0!</v>
      </c>
      <c r="CO92" s="31" t="str">
        <f t="shared" si="22"/>
        <v>#DIV/0!</v>
      </c>
      <c r="CP92" s="31" t="str">
        <f t="shared" si="22"/>
        <v>#DIV/0!</v>
      </c>
      <c r="CQ92" s="31" t="str">
        <f t="shared" si="22"/>
        <v>#DIV/0!</v>
      </c>
      <c r="CR92" s="31" t="str">
        <f t="shared" si="22"/>
        <v>#DIV/0!</v>
      </c>
      <c r="CS92" s="31" t="str">
        <f t="shared" si="22"/>
        <v>#DIV/0!</v>
      </c>
      <c r="CT92" s="31" t="str">
        <f t="shared" si="22"/>
        <v>#DIV/0!</v>
      </c>
      <c r="CU92" s="31" t="str">
        <f t="shared" si="22"/>
        <v>#DIV/0!</v>
      </c>
      <c r="CV92" s="31" t="str">
        <f t="shared" si="22"/>
        <v>#DIV/0!</v>
      </c>
      <c r="CW92" s="31">
        <f t="shared" si="22"/>
        <v>189.919</v>
      </c>
      <c r="CX92" s="31">
        <f t="shared" si="22"/>
        <v>160.101672</v>
      </c>
      <c r="CY92" s="31">
        <f t="shared" si="22"/>
        <v>0.8429997631</v>
      </c>
      <c r="CZ92" s="31">
        <f t="shared" si="22"/>
        <v>0.1653895429</v>
      </c>
      <c r="DA92" s="31">
        <f t="shared" si="22"/>
        <v>6</v>
      </c>
      <c r="DB92" s="31">
        <f t="shared" si="22"/>
        <v>0.5</v>
      </c>
      <c r="DC92" s="31" t="str">
        <f t="shared" si="22"/>
        <v>#DIV/0!</v>
      </c>
      <c r="DD92" s="31">
        <f t="shared" si="22"/>
        <v>2</v>
      </c>
      <c r="DE92" s="31">
        <f t="shared" si="22"/>
        <v>1754879509</v>
      </c>
      <c r="DF92" s="31">
        <f t="shared" si="22"/>
        <v>454.315</v>
      </c>
      <c r="DG92" s="31">
        <f t="shared" si="22"/>
        <v>459.9625</v>
      </c>
      <c r="DH92" s="31">
        <f t="shared" si="22"/>
        <v>39.8528</v>
      </c>
      <c r="DI92" s="31">
        <f t="shared" si="22"/>
        <v>36.00675</v>
      </c>
      <c r="DJ92" s="31">
        <f t="shared" si="22"/>
        <v>451.692</v>
      </c>
      <c r="DK92" s="31">
        <f t="shared" si="22"/>
        <v>39.30095</v>
      </c>
      <c r="DL92" s="31">
        <f t="shared" si="22"/>
        <v>500.0555</v>
      </c>
      <c r="DM92" s="31">
        <f t="shared" si="22"/>
        <v>100.941</v>
      </c>
      <c r="DN92" s="31">
        <f t="shared" si="22"/>
        <v>0.09938885</v>
      </c>
      <c r="DO92" s="31">
        <f t="shared" si="22"/>
        <v>35.0111</v>
      </c>
      <c r="DP92" s="31">
        <f t="shared" si="22"/>
        <v>33.99305</v>
      </c>
      <c r="DQ92" s="31">
        <f t="shared" si="22"/>
        <v>999.9</v>
      </c>
      <c r="DR92" s="31">
        <f t="shared" si="22"/>
        <v>0</v>
      </c>
      <c r="DS92" s="31">
        <f t="shared" si="22"/>
        <v>0</v>
      </c>
      <c r="DT92" s="31">
        <f t="shared" si="22"/>
        <v>9022.5</v>
      </c>
      <c r="DU92" s="31">
        <f t="shared" si="22"/>
        <v>0</v>
      </c>
      <c r="DV92" s="31">
        <f t="shared" si="22"/>
        <v>540.153</v>
      </c>
      <c r="DW92" s="31">
        <f t="shared" si="22"/>
        <v>189.919</v>
      </c>
      <c r="DX92" s="31">
        <f t="shared" si="22"/>
        <v>0.89995</v>
      </c>
      <c r="DY92" s="31">
        <f t="shared" si="22"/>
        <v>0.10005</v>
      </c>
      <c r="DZ92" s="31">
        <f t="shared" si="22"/>
        <v>0</v>
      </c>
      <c r="EA92" s="31">
        <f t="shared" si="22"/>
        <v>527.395</v>
      </c>
      <c r="EB92" s="31">
        <f t="shared" si="22"/>
        <v>0.0999973</v>
      </c>
      <c r="EC92" s="31">
        <f t="shared" si="22"/>
        <v>2251.775</v>
      </c>
      <c r="ED92" s="31">
        <f t="shared" si="22"/>
        <v>1683.315</v>
      </c>
      <c r="EE92" s="31">
        <f t="shared" si="22"/>
        <v>39.937</v>
      </c>
      <c r="EF92" s="31">
        <f t="shared" si="22"/>
        <v>43.156</v>
      </c>
      <c r="EG92" s="31">
        <f t="shared" si="22"/>
        <v>41.5</v>
      </c>
      <c r="EH92" s="31">
        <f t="shared" si="22"/>
        <v>42.906</v>
      </c>
      <c r="EI92" s="31">
        <f t="shared" si="22"/>
        <v>42.5935</v>
      </c>
      <c r="EJ92" s="31">
        <f t="shared" si="22"/>
        <v>170.825</v>
      </c>
      <c r="EK92" s="31">
        <f t="shared" si="22"/>
        <v>18.99</v>
      </c>
      <c r="EL92" s="31">
        <f t="shared" si="22"/>
        <v>0</v>
      </c>
      <c r="EM92" s="31">
        <f t="shared" si="22"/>
        <v>142.2</v>
      </c>
      <c r="EN92" s="31">
        <f t="shared" si="22"/>
        <v>0</v>
      </c>
      <c r="EO92" s="31">
        <f t="shared" si="22"/>
        <v>528.5515192</v>
      </c>
      <c r="EP92" s="31">
        <f t="shared" si="22"/>
        <v>-9.590448621</v>
      </c>
      <c r="EQ92" s="31">
        <f t="shared" si="22"/>
        <v>-150.7026068</v>
      </c>
      <c r="ER92" s="31">
        <f t="shared" si="22"/>
        <v>2278.252792</v>
      </c>
      <c r="ES92" s="31">
        <f t="shared" si="22"/>
        <v>15</v>
      </c>
      <c r="ET92" s="31">
        <f t="shared" si="22"/>
        <v>1754879003</v>
      </c>
      <c r="EU92" s="42">
        <f t="shared" si="22"/>
        <v>0.4328935185</v>
      </c>
      <c r="EV92" s="31">
        <f t="shared" si="22"/>
        <v>1754879003</v>
      </c>
      <c r="EW92" s="31">
        <f t="shared" si="22"/>
        <v>1754876535</v>
      </c>
      <c r="EX92" s="31">
        <f t="shared" si="22"/>
        <v>5</v>
      </c>
      <c r="EY92" s="31">
        <f t="shared" si="22"/>
        <v>0.143</v>
      </c>
      <c r="EZ92" s="31">
        <f t="shared" si="22"/>
        <v>-0.002</v>
      </c>
      <c r="FA92" s="31">
        <f t="shared" si="22"/>
        <v>2.622</v>
      </c>
      <c r="FB92" s="31">
        <f t="shared" si="22"/>
        <v>0.297</v>
      </c>
      <c r="FC92" s="31">
        <f t="shared" si="22"/>
        <v>460</v>
      </c>
      <c r="FD92" s="31">
        <f t="shared" si="22"/>
        <v>20</v>
      </c>
      <c r="FE92" s="31">
        <f t="shared" si="22"/>
        <v>0.62</v>
      </c>
      <c r="FF92" s="31">
        <f t="shared" si="22"/>
        <v>0.06</v>
      </c>
      <c r="FG92" s="31">
        <f t="shared" si="22"/>
        <v>100</v>
      </c>
      <c r="FH92" s="31">
        <f t="shared" si="22"/>
        <v>100</v>
      </c>
      <c r="FI92" s="31">
        <f t="shared" si="22"/>
        <v>2.623</v>
      </c>
      <c r="FJ92" s="31">
        <f t="shared" si="22"/>
        <v>0.55185</v>
      </c>
      <c r="FK92" s="31">
        <f t="shared" si="22"/>
        <v>2.724200174</v>
      </c>
      <c r="FL92" s="31">
        <f t="shared" si="22"/>
        <v>-0.000225954287</v>
      </c>
      <c r="FM92" s="43">
        <f t="shared" si="22"/>
        <v>0.000000005204173011</v>
      </c>
      <c r="FN92" s="43">
        <f t="shared" si="22"/>
        <v>0</v>
      </c>
      <c r="FO92" s="31">
        <f t="shared" si="22"/>
        <v>0.5518733385</v>
      </c>
      <c r="FP92" s="31">
        <f t="shared" si="22"/>
        <v>0</v>
      </c>
      <c r="FQ92" s="31">
        <f t="shared" si="22"/>
        <v>0</v>
      </c>
      <c r="FR92" s="31">
        <f t="shared" si="22"/>
        <v>0</v>
      </c>
      <c r="FS92" s="31">
        <f t="shared" si="22"/>
        <v>1</v>
      </c>
      <c r="FT92" s="31">
        <f t="shared" si="22"/>
        <v>2266</v>
      </c>
      <c r="FU92" s="31">
        <f t="shared" si="22"/>
        <v>1</v>
      </c>
      <c r="FV92" s="31">
        <f t="shared" si="22"/>
        <v>26</v>
      </c>
      <c r="FW92" s="31">
        <f t="shared" si="22"/>
        <v>8.4</v>
      </c>
      <c r="FX92" s="31">
        <f t="shared" si="22"/>
        <v>49.6</v>
      </c>
      <c r="FY92" s="31">
        <f t="shared" si="22"/>
        <v>1.11389</v>
      </c>
      <c r="FZ92" s="31">
        <f t="shared" si="22"/>
        <v>2.53418</v>
      </c>
      <c r="GA92" s="31">
        <f t="shared" si="22"/>
        <v>1.59607</v>
      </c>
      <c r="GB92" s="31">
        <f t="shared" si="22"/>
        <v>2.32056</v>
      </c>
      <c r="GC92" s="31">
        <f t="shared" si="22"/>
        <v>1.5979</v>
      </c>
      <c r="GD92" s="31">
        <f t="shared" si="22"/>
        <v>2.317505</v>
      </c>
      <c r="GE92" s="31">
        <f t="shared" si="22"/>
        <v>42.3905</v>
      </c>
      <c r="GF92" s="31">
        <f t="shared" si="22"/>
        <v>15.9051</v>
      </c>
      <c r="GG92" s="31">
        <f t="shared" si="22"/>
        <v>18</v>
      </c>
      <c r="GH92" s="31">
        <f t="shared" si="22"/>
        <v>508.3505</v>
      </c>
      <c r="GI92" s="31">
        <f t="shared" si="22"/>
        <v>484.3145</v>
      </c>
      <c r="GJ92" s="31">
        <f t="shared" si="22"/>
        <v>35.04395</v>
      </c>
      <c r="GK92" s="31">
        <f t="shared" si="22"/>
        <v>35.0948</v>
      </c>
      <c r="GL92" s="31">
        <f t="shared" si="22"/>
        <v>29.99945</v>
      </c>
      <c r="GM92" s="31">
        <f t="shared" si="22"/>
        <v>35.1459</v>
      </c>
      <c r="GN92" s="31">
        <f t="shared" si="22"/>
        <v>35.09165</v>
      </c>
      <c r="GO92" s="31">
        <f t="shared" si="22"/>
        <v>22.34545</v>
      </c>
      <c r="GP92" s="31">
        <f t="shared" si="22"/>
        <v>100</v>
      </c>
      <c r="GQ92" s="31">
        <f t="shared" si="22"/>
        <v>0</v>
      </c>
      <c r="GR92" s="31">
        <f t="shared" si="22"/>
        <v>-999.9</v>
      </c>
      <c r="GS92" s="31">
        <f t="shared" si="22"/>
        <v>460</v>
      </c>
      <c r="GT92" s="31">
        <f t="shared" si="22"/>
        <v>0</v>
      </c>
      <c r="GU92" s="31">
        <f t="shared" si="22"/>
        <v>102.7145</v>
      </c>
      <c r="GV92" s="31">
        <f t="shared" si="22"/>
        <v>99.70255</v>
      </c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45" t="s">
        <v>112</v>
      </c>
      <c r="J93" s="31" t="s">
        <v>66</v>
      </c>
      <c r="K93" s="31">
        <f t="shared" ref="K93:GV93" si="23">AVERAGE(K48:K49)</f>
        <v>0.00466922247</v>
      </c>
      <c r="L93" s="44">
        <f t="shared" si="23"/>
        <v>4.66922247</v>
      </c>
      <c r="M93" s="44">
        <f t="shared" si="23"/>
        <v>5.074699058</v>
      </c>
      <c r="N93" s="31">
        <f t="shared" si="23"/>
        <v>451.3859928</v>
      </c>
      <c r="O93" s="44">
        <f t="shared" si="23"/>
        <v>419.1678668</v>
      </c>
      <c r="P93" s="31">
        <f t="shared" si="23"/>
        <v>42.32800574</v>
      </c>
      <c r="Q93" s="31">
        <f t="shared" si="23"/>
        <v>45.58141891</v>
      </c>
      <c r="R93" s="44">
        <f t="shared" si="23"/>
        <v>0.40295534</v>
      </c>
      <c r="S93" s="31">
        <f t="shared" si="23"/>
        <v>2.76038227</v>
      </c>
      <c r="T93" s="31">
        <f t="shared" si="23"/>
        <v>0.3713099114</v>
      </c>
      <c r="U93" s="31">
        <f t="shared" si="23"/>
        <v>0.2346951281</v>
      </c>
      <c r="V93" s="31">
        <f t="shared" si="23"/>
        <v>31.42873466</v>
      </c>
      <c r="W93" s="31">
        <f t="shared" si="23"/>
        <v>33.0470926</v>
      </c>
      <c r="X93" s="31">
        <f t="shared" si="23"/>
        <v>33.2067</v>
      </c>
      <c r="Y93" s="31">
        <f t="shared" si="23"/>
        <v>5.111081787</v>
      </c>
      <c r="Z93" s="31">
        <f t="shared" si="23"/>
        <v>71.96742545</v>
      </c>
      <c r="AA93" s="31">
        <f t="shared" si="23"/>
        <v>3.872683541</v>
      </c>
      <c r="AB93" s="31">
        <f t="shared" si="23"/>
        <v>5.381450334</v>
      </c>
      <c r="AC93" s="31">
        <f t="shared" si="23"/>
        <v>1.238398247</v>
      </c>
      <c r="AD93" s="31">
        <f t="shared" si="23"/>
        <v>-205.9127109</v>
      </c>
      <c r="AE93" s="31">
        <f t="shared" si="23"/>
        <v>137.1836233</v>
      </c>
      <c r="AF93" s="31">
        <f t="shared" si="23"/>
        <v>11.45681003</v>
      </c>
      <c r="AG93" s="31">
        <f t="shared" si="23"/>
        <v>-25.84354293</v>
      </c>
      <c r="AH93" s="31">
        <f t="shared" si="23"/>
        <v>0</v>
      </c>
      <c r="AI93" s="31">
        <f t="shared" si="23"/>
        <v>0</v>
      </c>
      <c r="AJ93" s="31">
        <f t="shared" si="23"/>
        <v>1</v>
      </c>
      <c r="AK93" s="31">
        <f t="shared" si="23"/>
        <v>0</v>
      </c>
      <c r="AL93" s="31">
        <f t="shared" si="23"/>
        <v>46962.5</v>
      </c>
      <c r="AM93" s="31" t="str">
        <f t="shared" si="23"/>
        <v>#DIV/0!</v>
      </c>
      <c r="AN93" s="31">
        <f t="shared" si="23"/>
        <v>8173.37</v>
      </c>
      <c r="AO93" s="31">
        <f t="shared" si="23"/>
        <v>559.296</v>
      </c>
      <c r="AP93" s="31">
        <f t="shared" si="23"/>
        <v>2893.93</v>
      </c>
      <c r="AQ93" s="31">
        <f t="shared" si="23"/>
        <v>0.8067347863</v>
      </c>
      <c r="AR93" s="31">
        <f t="shared" si="23"/>
        <v>-2.38169763</v>
      </c>
      <c r="AS93" s="31" t="str">
        <f t="shared" si="23"/>
        <v>#DIV/0!</v>
      </c>
      <c r="AT93" s="31">
        <f t="shared" si="23"/>
        <v>8162.3</v>
      </c>
      <c r="AU93" s="31">
        <f t="shared" si="23"/>
        <v>683.2542308</v>
      </c>
      <c r="AV93" s="31">
        <f t="shared" si="23"/>
        <v>2088.92</v>
      </c>
      <c r="AW93" s="31">
        <f t="shared" si="23"/>
        <v>0.674092871</v>
      </c>
      <c r="AX93" s="31">
        <f t="shared" si="23"/>
        <v>0.5</v>
      </c>
      <c r="AY93" s="31">
        <f t="shared" si="23"/>
        <v>160.201179</v>
      </c>
      <c r="AZ93" s="31">
        <f t="shared" si="23"/>
        <v>5.074699058</v>
      </c>
      <c r="BA93" s="31">
        <f t="shared" si="23"/>
        <v>53.99527067</v>
      </c>
      <c r="BB93" s="31">
        <f t="shared" si="23"/>
        <v>0.04654406259</v>
      </c>
      <c r="BC93" s="31">
        <f t="shared" si="23"/>
        <v>0.4003931251</v>
      </c>
      <c r="BD93" s="31">
        <f t="shared" si="23"/>
        <v>519.4766787</v>
      </c>
      <c r="BE93" s="31" t="str">
        <f t="shared" si="23"/>
        <v>#DIV/0!</v>
      </c>
      <c r="BF93" s="31">
        <f t="shared" si="23"/>
        <v>-483</v>
      </c>
      <c r="BG93" s="31">
        <f t="shared" si="23"/>
        <v>-483</v>
      </c>
      <c r="BH93" s="31">
        <f t="shared" si="23"/>
        <v>1.211093643</v>
      </c>
      <c r="BI93" s="31">
        <f t="shared" si="23"/>
        <v>0.5728535606</v>
      </c>
      <c r="BJ93" s="31">
        <f t="shared" si="23"/>
        <v>0.2514498284</v>
      </c>
      <c r="BK93" s="31">
        <f t="shared" si="23"/>
        <v>0.9262016951</v>
      </c>
      <c r="BL93" s="31">
        <f t="shared" si="23"/>
        <v>0.3448120776</v>
      </c>
      <c r="BM93" s="31">
        <f t="shared" si="23"/>
        <v>-0.3013766473</v>
      </c>
      <c r="BN93" s="31">
        <f t="shared" si="23"/>
        <v>1.301376647</v>
      </c>
      <c r="BO93" s="31" t="str">
        <f t="shared" si="23"/>
        <v>#DIV/0!</v>
      </c>
      <c r="BP93" s="31" t="str">
        <f t="shared" si="23"/>
        <v>#DIV/0!</v>
      </c>
      <c r="BQ93" s="31" t="str">
        <f t="shared" si="23"/>
        <v>#DIV/0!</v>
      </c>
      <c r="BR93" s="31" t="str">
        <f t="shared" si="23"/>
        <v>#DIV/0!</v>
      </c>
      <c r="BS93" s="31" t="str">
        <f t="shared" si="23"/>
        <v>#DIV/0!</v>
      </c>
      <c r="BT93" s="31" t="str">
        <f t="shared" si="23"/>
        <v>#DIV/0!</v>
      </c>
      <c r="BU93" s="31" t="str">
        <f t="shared" si="23"/>
        <v>#DIV/0!</v>
      </c>
      <c r="BV93" s="31" t="str">
        <f t="shared" si="23"/>
        <v>#DIV/0!</v>
      </c>
      <c r="BW93" s="31" t="str">
        <f t="shared" si="23"/>
        <v>#DIV/0!</v>
      </c>
      <c r="BX93" s="31" t="str">
        <f t="shared" si="23"/>
        <v>#DIV/0!</v>
      </c>
      <c r="BY93" s="31" t="str">
        <f t="shared" si="23"/>
        <v>#DIV/0!</v>
      </c>
      <c r="BZ93" s="31" t="str">
        <f t="shared" si="23"/>
        <v>#DIV/0!</v>
      </c>
      <c r="CA93" s="31" t="str">
        <f t="shared" si="23"/>
        <v>#DIV/0!</v>
      </c>
      <c r="CB93" s="31" t="str">
        <f t="shared" si="23"/>
        <v>#DIV/0!</v>
      </c>
      <c r="CC93" s="31" t="str">
        <f t="shared" si="23"/>
        <v>#DIV/0!</v>
      </c>
      <c r="CD93" s="31" t="str">
        <f t="shared" si="23"/>
        <v>#DIV/0!</v>
      </c>
      <c r="CE93" s="31" t="str">
        <f t="shared" si="23"/>
        <v>#DIV/0!</v>
      </c>
      <c r="CF93" s="31" t="str">
        <f t="shared" si="23"/>
        <v>#DIV/0!</v>
      </c>
      <c r="CG93" s="31" t="str">
        <f t="shared" si="23"/>
        <v>#DIV/0!</v>
      </c>
      <c r="CH93" s="31" t="str">
        <f t="shared" si="23"/>
        <v>#DIV/0!</v>
      </c>
      <c r="CI93" s="31" t="str">
        <f t="shared" si="23"/>
        <v>#DIV/0!</v>
      </c>
      <c r="CJ93" s="31" t="str">
        <f t="shared" si="23"/>
        <v>#DIV/0!</v>
      </c>
      <c r="CK93" s="31" t="str">
        <f t="shared" si="23"/>
        <v>#DIV/0!</v>
      </c>
      <c r="CL93" s="31" t="str">
        <f t="shared" si="23"/>
        <v>#DIV/0!</v>
      </c>
      <c r="CM93" s="31" t="str">
        <f t="shared" si="23"/>
        <v>#DIV/0!</v>
      </c>
      <c r="CN93" s="31" t="str">
        <f t="shared" si="23"/>
        <v>#DIV/0!</v>
      </c>
      <c r="CO93" s="31" t="str">
        <f t="shared" si="23"/>
        <v>#DIV/0!</v>
      </c>
      <c r="CP93" s="31" t="str">
        <f t="shared" si="23"/>
        <v>#DIV/0!</v>
      </c>
      <c r="CQ93" s="31" t="str">
        <f t="shared" si="23"/>
        <v>#DIV/0!</v>
      </c>
      <c r="CR93" s="31" t="str">
        <f t="shared" si="23"/>
        <v>#DIV/0!</v>
      </c>
      <c r="CS93" s="31" t="str">
        <f t="shared" si="23"/>
        <v>#DIV/0!</v>
      </c>
      <c r="CT93" s="31" t="str">
        <f t="shared" si="23"/>
        <v>#DIV/0!</v>
      </c>
      <c r="CU93" s="31" t="str">
        <f t="shared" si="23"/>
        <v>#DIV/0!</v>
      </c>
      <c r="CV93" s="31" t="str">
        <f t="shared" si="23"/>
        <v>#DIV/0!</v>
      </c>
      <c r="CW93" s="31">
        <f t="shared" si="23"/>
        <v>190.038</v>
      </c>
      <c r="CX93" s="31">
        <f t="shared" si="23"/>
        <v>160.201179</v>
      </c>
      <c r="CY93" s="31">
        <f t="shared" si="23"/>
        <v>0.8429955009</v>
      </c>
      <c r="CZ93" s="31">
        <f t="shared" si="23"/>
        <v>0.1653813166</v>
      </c>
      <c r="DA93" s="31">
        <f t="shared" si="23"/>
        <v>6</v>
      </c>
      <c r="DB93" s="31">
        <f t="shared" si="23"/>
        <v>0.5</v>
      </c>
      <c r="DC93" s="31" t="str">
        <f t="shared" si="23"/>
        <v>#DIV/0!</v>
      </c>
      <c r="DD93" s="31">
        <f t="shared" si="23"/>
        <v>2</v>
      </c>
      <c r="DE93" s="31">
        <f t="shared" si="23"/>
        <v>1754886522</v>
      </c>
      <c r="DF93" s="31">
        <f t="shared" si="23"/>
        <v>451.386</v>
      </c>
      <c r="DG93" s="31">
        <f t="shared" si="23"/>
        <v>460.004</v>
      </c>
      <c r="DH93" s="31">
        <f t="shared" si="23"/>
        <v>38.3506</v>
      </c>
      <c r="DI93" s="31">
        <f t="shared" si="23"/>
        <v>32.96385</v>
      </c>
      <c r="DJ93" s="31">
        <f t="shared" si="23"/>
        <v>448.407</v>
      </c>
      <c r="DK93" s="31">
        <f t="shared" si="23"/>
        <v>37.79875</v>
      </c>
      <c r="DL93" s="31">
        <f t="shared" si="23"/>
        <v>500.053</v>
      </c>
      <c r="DM93" s="31">
        <f t="shared" si="23"/>
        <v>100.881</v>
      </c>
      <c r="DN93" s="31">
        <f t="shared" si="23"/>
        <v>0.10002185</v>
      </c>
      <c r="DO93" s="31">
        <f t="shared" si="23"/>
        <v>34.12855</v>
      </c>
      <c r="DP93" s="31">
        <f t="shared" si="23"/>
        <v>33.2067</v>
      </c>
      <c r="DQ93" s="31">
        <f t="shared" si="23"/>
        <v>999.9</v>
      </c>
      <c r="DR93" s="31">
        <f t="shared" si="23"/>
        <v>0</v>
      </c>
      <c r="DS93" s="31">
        <f t="shared" si="23"/>
        <v>0</v>
      </c>
      <c r="DT93" s="31">
        <f t="shared" si="23"/>
        <v>8986.25</v>
      </c>
      <c r="DU93" s="31">
        <f t="shared" si="23"/>
        <v>0</v>
      </c>
      <c r="DV93" s="31">
        <f t="shared" si="23"/>
        <v>483.2435</v>
      </c>
      <c r="DW93" s="31">
        <f t="shared" si="23"/>
        <v>190.038</v>
      </c>
      <c r="DX93" s="31">
        <f t="shared" si="23"/>
        <v>0.9000835</v>
      </c>
      <c r="DY93" s="31">
        <f t="shared" si="23"/>
        <v>0.0999168</v>
      </c>
      <c r="DZ93" s="31">
        <f t="shared" si="23"/>
        <v>0</v>
      </c>
      <c r="EA93" s="31">
        <f t="shared" si="23"/>
        <v>678.8875</v>
      </c>
      <c r="EB93" s="31">
        <f t="shared" si="23"/>
        <v>0.0999973</v>
      </c>
      <c r="EC93" s="31">
        <f t="shared" si="23"/>
        <v>2110.065</v>
      </c>
      <c r="ED93" s="31">
        <f t="shared" si="23"/>
        <v>1684.445</v>
      </c>
      <c r="EE93" s="31">
        <f t="shared" si="23"/>
        <v>39.7495</v>
      </c>
      <c r="EF93" s="31">
        <f t="shared" si="23"/>
        <v>42.9375</v>
      </c>
      <c r="EG93" s="31">
        <f t="shared" si="23"/>
        <v>41.2495</v>
      </c>
      <c r="EH93" s="31">
        <f t="shared" si="23"/>
        <v>42.7185</v>
      </c>
      <c r="EI93" s="31">
        <f t="shared" si="23"/>
        <v>42.281</v>
      </c>
      <c r="EJ93" s="31">
        <f t="shared" si="23"/>
        <v>170.96</v>
      </c>
      <c r="EK93" s="31">
        <f t="shared" si="23"/>
        <v>18.975</v>
      </c>
      <c r="EL93" s="31">
        <f t="shared" si="23"/>
        <v>0</v>
      </c>
      <c r="EM93" s="31">
        <f t="shared" si="23"/>
        <v>140.5</v>
      </c>
      <c r="EN93" s="31">
        <f t="shared" si="23"/>
        <v>0</v>
      </c>
      <c r="EO93" s="31">
        <f t="shared" si="23"/>
        <v>683.2542308</v>
      </c>
      <c r="EP93" s="31">
        <f t="shared" si="23"/>
        <v>-16.21829057</v>
      </c>
      <c r="EQ93" s="31">
        <f t="shared" si="23"/>
        <v>-833.8210258</v>
      </c>
      <c r="ER93" s="31">
        <f t="shared" si="23"/>
        <v>2189.120962</v>
      </c>
      <c r="ES93" s="31">
        <f t="shared" si="23"/>
        <v>15</v>
      </c>
      <c r="ET93" s="31">
        <f t="shared" si="23"/>
        <v>1754886474</v>
      </c>
      <c r="EU93" s="42">
        <f t="shared" si="23"/>
        <v>0.519375</v>
      </c>
      <c r="EV93" s="31">
        <f t="shared" si="23"/>
        <v>1754886474</v>
      </c>
      <c r="EW93" s="31">
        <f t="shared" si="23"/>
        <v>1754876535</v>
      </c>
      <c r="EX93" s="31">
        <f t="shared" si="23"/>
        <v>17</v>
      </c>
      <c r="EY93" s="31">
        <f t="shared" si="23"/>
        <v>0.036</v>
      </c>
      <c r="EZ93" s="31">
        <f t="shared" si="23"/>
        <v>-0.002</v>
      </c>
      <c r="FA93" s="31">
        <f t="shared" si="23"/>
        <v>2.978</v>
      </c>
      <c r="FB93" s="31">
        <f t="shared" si="23"/>
        <v>0.297</v>
      </c>
      <c r="FC93" s="31">
        <f t="shared" si="23"/>
        <v>460</v>
      </c>
      <c r="FD93" s="31">
        <f t="shared" si="23"/>
        <v>20</v>
      </c>
      <c r="FE93" s="31">
        <f t="shared" si="23"/>
        <v>0.17</v>
      </c>
      <c r="FF93" s="31">
        <f t="shared" si="23"/>
        <v>0.06</v>
      </c>
      <c r="FG93" s="31">
        <f t="shared" si="23"/>
        <v>100</v>
      </c>
      <c r="FH93" s="31">
        <f t="shared" si="23"/>
        <v>100</v>
      </c>
      <c r="FI93" s="31">
        <f t="shared" si="23"/>
        <v>2.979</v>
      </c>
      <c r="FJ93" s="31">
        <f t="shared" si="23"/>
        <v>0.55185</v>
      </c>
      <c r="FK93" s="31">
        <f t="shared" si="23"/>
        <v>3.061900383</v>
      </c>
      <c r="FL93" s="31">
        <f t="shared" si="23"/>
        <v>-0.000225954287</v>
      </c>
      <c r="FM93" s="43">
        <f t="shared" si="23"/>
        <v>0.000000005204173011</v>
      </c>
      <c r="FN93" s="43">
        <f t="shared" si="23"/>
        <v>0</v>
      </c>
      <c r="FO93" s="31">
        <f t="shared" si="23"/>
        <v>0.5518733385</v>
      </c>
      <c r="FP93" s="31">
        <f t="shared" si="23"/>
        <v>0</v>
      </c>
      <c r="FQ93" s="31">
        <f t="shared" si="23"/>
        <v>0</v>
      </c>
      <c r="FR93" s="31">
        <f t="shared" si="23"/>
        <v>0</v>
      </c>
      <c r="FS93" s="31">
        <f t="shared" si="23"/>
        <v>1</v>
      </c>
      <c r="FT93" s="31">
        <f t="shared" si="23"/>
        <v>2266</v>
      </c>
      <c r="FU93" s="31">
        <f t="shared" si="23"/>
        <v>1</v>
      </c>
      <c r="FV93" s="31">
        <f t="shared" si="23"/>
        <v>26</v>
      </c>
      <c r="FW93" s="31">
        <f t="shared" si="23"/>
        <v>6.6</v>
      </c>
      <c r="FX93" s="31">
        <f t="shared" si="23"/>
        <v>166.4</v>
      </c>
      <c r="FY93" s="31">
        <f t="shared" si="23"/>
        <v>1.12427</v>
      </c>
      <c r="FZ93" s="31">
        <f t="shared" si="23"/>
        <v>2.56775</v>
      </c>
      <c r="GA93" s="31">
        <f t="shared" si="23"/>
        <v>1.59668</v>
      </c>
      <c r="GB93" s="31">
        <f t="shared" si="23"/>
        <v>2.317505</v>
      </c>
      <c r="GC93" s="31">
        <f t="shared" si="23"/>
        <v>1.5979</v>
      </c>
      <c r="GD93" s="31">
        <f t="shared" si="23"/>
        <v>2.32666</v>
      </c>
      <c r="GE93" s="31">
        <f t="shared" si="23"/>
        <v>42.67075</v>
      </c>
      <c r="GF93" s="31">
        <f t="shared" si="23"/>
        <v>14.92445</v>
      </c>
      <c r="GG93" s="31">
        <f t="shared" si="23"/>
        <v>18</v>
      </c>
      <c r="GH93" s="31">
        <f t="shared" si="23"/>
        <v>508.7045</v>
      </c>
      <c r="GI93" s="31">
        <f t="shared" si="23"/>
        <v>467.3695</v>
      </c>
      <c r="GJ93" s="31">
        <f t="shared" si="23"/>
        <v>34.1559</v>
      </c>
      <c r="GK93" s="31">
        <f t="shared" si="23"/>
        <v>34.7801</v>
      </c>
      <c r="GL93" s="31">
        <f t="shared" si="23"/>
        <v>30.00025</v>
      </c>
      <c r="GM93" s="31">
        <f t="shared" si="23"/>
        <v>34.7884</v>
      </c>
      <c r="GN93" s="31">
        <f t="shared" si="23"/>
        <v>34.73115</v>
      </c>
      <c r="GO93" s="31">
        <f t="shared" si="23"/>
        <v>22.55475</v>
      </c>
      <c r="GP93" s="31">
        <f t="shared" si="23"/>
        <v>100</v>
      </c>
      <c r="GQ93" s="31">
        <f t="shared" si="23"/>
        <v>0</v>
      </c>
      <c r="GR93" s="31">
        <f t="shared" si="23"/>
        <v>-999.9</v>
      </c>
      <c r="GS93" s="31">
        <f t="shared" si="23"/>
        <v>460</v>
      </c>
      <c r="GT93" s="31">
        <f t="shared" si="23"/>
        <v>15.5881</v>
      </c>
      <c r="GU93" s="31">
        <f t="shared" si="23"/>
        <v>102.5585</v>
      </c>
      <c r="GV93" s="31">
        <f t="shared" si="23"/>
        <v>99.8044</v>
      </c>
    </row>
    <row r="94" ht="14.25" customHeight="1">
      <c r="A94" s="39"/>
      <c r="B94" s="39"/>
      <c r="C94" s="39"/>
      <c r="D94" s="39"/>
      <c r="E94" s="39"/>
      <c r="F94" s="39"/>
      <c r="G94" s="39"/>
      <c r="H94" s="39"/>
      <c r="I94" s="46" t="s">
        <v>112</v>
      </c>
      <c r="J94" s="31" t="s">
        <v>67</v>
      </c>
      <c r="K94" s="31">
        <f t="shared" ref="K94:GV94" si="24">AVERAGE(K50:K51)</f>
        <v>0.003185443532</v>
      </c>
      <c r="L94" s="44">
        <f t="shared" si="24"/>
        <v>3.185443532</v>
      </c>
      <c r="M94" s="44">
        <f t="shared" si="24"/>
        <v>3.156505535</v>
      </c>
      <c r="N94" s="31">
        <f t="shared" si="24"/>
        <v>454.5049955</v>
      </c>
      <c r="O94" s="44">
        <f t="shared" si="24"/>
        <v>419.545743</v>
      </c>
      <c r="P94" s="31">
        <f t="shared" si="24"/>
        <v>42.37721717</v>
      </c>
      <c r="Q94" s="31">
        <f t="shared" si="24"/>
        <v>45.90837458</v>
      </c>
      <c r="R94" s="44">
        <f t="shared" si="24"/>
        <v>0.2280040829</v>
      </c>
      <c r="S94" s="31">
        <f t="shared" si="24"/>
        <v>2.762526845</v>
      </c>
      <c r="T94" s="31">
        <f t="shared" si="24"/>
        <v>0.2164212441</v>
      </c>
      <c r="U94" s="31">
        <f t="shared" si="24"/>
        <v>0.136250027</v>
      </c>
      <c r="V94" s="31">
        <f t="shared" si="24"/>
        <v>31.42189595</v>
      </c>
      <c r="W94" s="31">
        <f t="shared" si="24"/>
        <v>34.24528104</v>
      </c>
      <c r="X94" s="31">
        <f t="shared" si="24"/>
        <v>34.0625</v>
      </c>
      <c r="Y94" s="31">
        <f t="shared" si="24"/>
        <v>5.364607004</v>
      </c>
      <c r="Z94" s="31">
        <f t="shared" si="24"/>
        <v>68.17555312</v>
      </c>
      <c r="AA94" s="31">
        <f t="shared" si="24"/>
        <v>3.832237798</v>
      </c>
      <c r="AB94" s="31">
        <f t="shared" si="24"/>
        <v>5.624093191</v>
      </c>
      <c r="AC94" s="31">
        <f t="shared" si="24"/>
        <v>1.532369206</v>
      </c>
      <c r="AD94" s="31">
        <f t="shared" si="24"/>
        <v>-140.4780598</v>
      </c>
      <c r="AE94" s="31">
        <f t="shared" si="24"/>
        <v>127.7732257</v>
      </c>
      <c r="AF94" s="31">
        <f t="shared" si="24"/>
        <v>10.73058414</v>
      </c>
      <c r="AG94" s="31">
        <f t="shared" si="24"/>
        <v>29.44764608</v>
      </c>
      <c r="AH94" s="31">
        <f t="shared" si="24"/>
        <v>0</v>
      </c>
      <c r="AI94" s="31">
        <f t="shared" si="24"/>
        <v>0</v>
      </c>
      <c r="AJ94" s="31">
        <f t="shared" si="24"/>
        <v>1</v>
      </c>
      <c r="AK94" s="31">
        <f t="shared" si="24"/>
        <v>0</v>
      </c>
      <c r="AL94" s="31">
        <f t="shared" si="24"/>
        <v>46900</v>
      </c>
      <c r="AM94" s="31" t="str">
        <f t="shared" si="24"/>
        <v>#DIV/0!</v>
      </c>
      <c r="AN94" s="31">
        <f t="shared" si="24"/>
        <v>8173.37</v>
      </c>
      <c r="AO94" s="31">
        <f t="shared" si="24"/>
        <v>559.296</v>
      </c>
      <c r="AP94" s="31">
        <f t="shared" si="24"/>
        <v>2893.93</v>
      </c>
      <c r="AQ94" s="31">
        <f t="shared" si="24"/>
        <v>0.8067347863</v>
      </c>
      <c r="AR94" s="31">
        <f t="shared" si="24"/>
        <v>-2.38169763</v>
      </c>
      <c r="AS94" s="31" t="str">
        <f t="shared" si="24"/>
        <v>#DIV/0!</v>
      </c>
      <c r="AT94" s="31">
        <f t="shared" si="24"/>
        <v>8171.385</v>
      </c>
      <c r="AU94" s="31">
        <f t="shared" si="24"/>
        <v>424.1443</v>
      </c>
      <c r="AV94" s="31">
        <f t="shared" si="24"/>
        <v>1334.97</v>
      </c>
      <c r="AW94" s="31">
        <f t="shared" si="24"/>
        <v>0.6757491485</v>
      </c>
      <c r="AX94" s="31">
        <f t="shared" si="24"/>
        <v>0.5</v>
      </c>
      <c r="AY94" s="31">
        <f t="shared" si="24"/>
        <v>160.1639355</v>
      </c>
      <c r="AZ94" s="31">
        <f t="shared" si="24"/>
        <v>3.156505535</v>
      </c>
      <c r="BA94" s="31">
        <f t="shared" si="24"/>
        <v>54.11596004</v>
      </c>
      <c r="BB94" s="31">
        <f t="shared" si="24"/>
        <v>0.03457609857</v>
      </c>
      <c r="BC94" s="31">
        <f t="shared" si="24"/>
        <v>1.34002341</v>
      </c>
      <c r="BD94" s="31">
        <f t="shared" si="24"/>
        <v>448.505117</v>
      </c>
      <c r="BE94" s="31" t="str">
        <f t="shared" si="24"/>
        <v>#DIV/0!</v>
      </c>
      <c r="BF94" s="31">
        <f t="shared" si="24"/>
        <v>-248.5</v>
      </c>
      <c r="BG94" s="31">
        <f t="shared" si="24"/>
        <v>-248.5</v>
      </c>
      <c r="BH94" s="31">
        <f t="shared" si="24"/>
        <v>1.178698438</v>
      </c>
      <c r="BI94" s="31">
        <f t="shared" si="24"/>
        <v>0.5731362459</v>
      </c>
      <c r="BJ94" s="31">
        <f t="shared" si="24"/>
        <v>0.5003387516</v>
      </c>
      <c r="BK94" s="31">
        <f t="shared" si="24"/>
        <v>1.288472223</v>
      </c>
      <c r="BL94" s="31">
        <f t="shared" si="24"/>
        <v>0.6677534894</v>
      </c>
      <c r="BM94" s="31">
        <f t="shared" si="24"/>
        <v>-0.3221310697</v>
      </c>
      <c r="BN94" s="31">
        <f t="shared" si="24"/>
        <v>1.32213107</v>
      </c>
      <c r="BO94" s="31" t="str">
        <f t="shared" si="24"/>
        <v>#DIV/0!</v>
      </c>
      <c r="BP94" s="31" t="str">
        <f t="shared" si="24"/>
        <v>#DIV/0!</v>
      </c>
      <c r="BQ94" s="31" t="str">
        <f t="shared" si="24"/>
        <v>#DIV/0!</v>
      </c>
      <c r="BR94" s="31" t="str">
        <f t="shared" si="24"/>
        <v>#DIV/0!</v>
      </c>
      <c r="BS94" s="31" t="str">
        <f t="shared" si="24"/>
        <v>#DIV/0!</v>
      </c>
      <c r="BT94" s="31" t="str">
        <f t="shared" si="24"/>
        <v>#DIV/0!</v>
      </c>
      <c r="BU94" s="31" t="str">
        <f t="shared" si="24"/>
        <v>#DIV/0!</v>
      </c>
      <c r="BV94" s="31" t="str">
        <f t="shared" si="24"/>
        <v>#DIV/0!</v>
      </c>
      <c r="BW94" s="31" t="str">
        <f t="shared" si="24"/>
        <v>#DIV/0!</v>
      </c>
      <c r="BX94" s="31" t="str">
        <f t="shared" si="24"/>
        <v>#DIV/0!</v>
      </c>
      <c r="BY94" s="31" t="str">
        <f t="shared" si="24"/>
        <v>#DIV/0!</v>
      </c>
      <c r="BZ94" s="31" t="str">
        <f t="shared" si="24"/>
        <v>#DIV/0!</v>
      </c>
      <c r="CA94" s="31" t="str">
        <f t="shared" si="24"/>
        <v>#DIV/0!</v>
      </c>
      <c r="CB94" s="31" t="str">
        <f t="shared" si="24"/>
        <v>#DIV/0!</v>
      </c>
      <c r="CC94" s="31" t="str">
        <f t="shared" si="24"/>
        <v>#DIV/0!</v>
      </c>
      <c r="CD94" s="31" t="str">
        <f t="shared" si="24"/>
        <v>#DIV/0!</v>
      </c>
      <c r="CE94" s="31" t="str">
        <f t="shared" si="24"/>
        <v>#DIV/0!</v>
      </c>
      <c r="CF94" s="31" t="str">
        <f t="shared" si="24"/>
        <v>#DIV/0!</v>
      </c>
      <c r="CG94" s="31" t="str">
        <f t="shared" si="24"/>
        <v>#DIV/0!</v>
      </c>
      <c r="CH94" s="31" t="str">
        <f t="shared" si="24"/>
        <v>#DIV/0!</v>
      </c>
      <c r="CI94" s="31" t="str">
        <f t="shared" si="24"/>
        <v>#DIV/0!</v>
      </c>
      <c r="CJ94" s="31" t="str">
        <f t="shared" si="24"/>
        <v>#DIV/0!</v>
      </c>
      <c r="CK94" s="31" t="str">
        <f t="shared" si="24"/>
        <v>#DIV/0!</v>
      </c>
      <c r="CL94" s="31" t="str">
        <f t="shared" si="24"/>
        <v>#DIV/0!</v>
      </c>
      <c r="CM94" s="31" t="str">
        <f t="shared" si="24"/>
        <v>#DIV/0!</v>
      </c>
      <c r="CN94" s="31" t="str">
        <f t="shared" si="24"/>
        <v>#DIV/0!</v>
      </c>
      <c r="CO94" s="31" t="str">
        <f t="shared" si="24"/>
        <v>#DIV/0!</v>
      </c>
      <c r="CP94" s="31" t="str">
        <f t="shared" si="24"/>
        <v>#DIV/0!</v>
      </c>
      <c r="CQ94" s="31" t="str">
        <f t="shared" si="24"/>
        <v>#DIV/0!</v>
      </c>
      <c r="CR94" s="31" t="str">
        <f t="shared" si="24"/>
        <v>#DIV/0!</v>
      </c>
      <c r="CS94" s="31" t="str">
        <f t="shared" si="24"/>
        <v>#DIV/0!</v>
      </c>
      <c r="CT94" s="31" t="str">
        <f t="shared" si="24"/>
        <v>#DIV/0!</v>
      </c>
      <c r="CU94" s="31" t="str">
        <f t="shared" si="24"/>
        <v>#DIV/0!</v>
      </c>
      <c r="CV94" s="31" t="str">
        <f t="shared" si="24"/>
        <v>#DIV/0!</v>
      </c>
      <c r="CW94" s="31">
        <f t="shared" si="24"/>
        <v>189.9935</v>
      </c>
      <c r="CX94" s="31">
        <f t="shared" si="24"/>
        <v>160.1639355</v>
      </c>
      <c r="CY94" s="31">
        <f t="shared" si="24"/>
        <v>0.8429969219</v>
      </c>
      <c r="CZ94" s="31">
        <f t="shared" si="24"/>
        <v>0.1653840593</v>
      </c>
      <c r="DA94" s="31">
        <f t="shared" si="24"/>
        <v>6</v>
      </c>
      <c r="DB94" s="31">
        <f t="shared" si="24"/>
        <v>0.5</v>
      </c>
      <c r="DC94" s="31" t="str">
        <f t="shared" si="24"/>
        <v>#DIV/0!</v>
      </c>
      <c r="DD94" s="31">
        <f t="shared" si="24"/>
        <v>2</v>
      </c>
      <c r="DE94" s="31">
        <f t="shared" si="24"/>
        <v>1754883422</v>
      </c>
      <c r="DF94" s="31">
        <f t="shared" si="24"/>
        <v>454.505</v>
      </c>
      <c r="DG94" s="31">
        <f t="shared" si="24"/>
        <v>460.028</v>
      </c>
      <c r="DH94" s="31">
        <f t="shared" si="24"/>
        <v>37.9402</v>
      </c>
      <c r="DI94" s="31">
        <f t="shared" si="24"/>
        <v>34.26385</v>
      </c>
      <c r="DJ94" s="31">
        <f t="shared" si="24"/>
        <v>451.6115</v>
      </c>
      <c r="DK94" s="31">
        <f t="shared" si="24"/>
        <v>37.38835</v>
      </c>
      <c r="DL94" s="31">
        <f t="shared" si="24"/>
        <v>500.025</v>
      </c>
      <c r="DM94" s="31">
        <f t="shared" si="24"/>
        <v>100.907</v>
      </c>
      <c r="DN94" s="31">
        <f t="shared" si="24"/>
        <v>0.100401</v>
      </c>
      <c r="DO94" s="31">
        <f t="shared" si="24"/>
        <v>34.92065</v>
      </c>
      <c r="DP94" s="31">
        <f t="shared" si="24"/>
        <v>34.0625</v>
      </c>
      <c r="DQ94" s="31">
        <f t="shared" si="24"/>
        <v>999.9</v>
      </c>
      <c r="DR94" s="31">
        <f t="shared" si="24"/>
        <v>0</v>
      </c>
      <c r="DS94" s="31">
        <f t="shared" si="24"/>
        <v>0</v>
      </c>
      <c r="DT94" s="31">
        <f t="shared" si="24"/>
        <v>8995.315</v>
      </c>
      <c r="DU94" s="31">
        <f t="shared" si="24"/>
        <v>0</v>
      </c>
      <c r="DV94" s="31">
        <f t="shared" si="24"/>
        <v>256.326</v>
      </c>
      <c r="DW94" s="31">
        <f t="shared" si="24"/>
        <v>189.9935</v>
      </c>
      <c r="DX94" s="31">
        <f t="shared" si="24"/>
        <v>0.900059</v>
      </c>
      <c r="DY94" s="31">
        <f t="shared" si="24"/>
        <v>0.09994105</v>
      </c>
      <c r="DZ94" s="31">
        <f t="shared" si="24"/>
        <v>0</v>
      </c>
      <c r="EA94" s="31">
        <f t="shared" si="24"/>
        <v>423.105</v>
      </c>
      <c r="EB94" s="31">
        <f t="shared" si="24"/>
        <v>0.0999973</v>
      </c>
      <c r="EC94" s="31">
        <f t="shared" si="24"/>
        <v>1495.92</v>
      </c>
      <c r="ED94" s="31">
        <f t="shared" si="24"/>
        <v>1684.035</v>
      </c>
      <c r="EE94" s="31">
        <f t="shared" si="24"/>
        <v>39.9995</v>
      </c>
      <c r="EF94" s="31">
        <f t="shared" si="24"/>
        <v>43.031</v>
      </c>
      <c r="EG94" s="31">
        <f t="shared" si="24"/>
        <v>41.4685</v>
      </c>
      <c r="EH94" s="31">
        <f t="shared" si="24"/>
        <v>42.781</v>
      </c>
      <c r="EI94" s="31">
        <f t="shared" si="24"/>
        <v>42.5935</v>
      </c>
      <c r="EJ94" s="31">
        <f t="shared" si="24"/>
        <v>170.915</v>
      </c>
      <c r="EK94" s="31">
        <f t="shared" si="24"/>
        <v>18.98</v>
      </c>
      <c r="EL94" s="31">
        <f t="shared" si="24"/>
        <v>0</v>
      </c>
      <c r="EM94" s="31">
        <f t="shared" si="24"/>
        <v>129</v>
      </c>
      <c r="EN94" s="31">
        <f t="shared" si="24"/>
        <v>0</v>
      </c>
      <c r="EO94" s="31">
        <f t="shared" si="24"/>
        <v>424.1443</v>
      </c>
      <c r="EP94" s="31">
        <f t="shared" si="24"/>
        <v>-11.85057692</v>
      </c>
      <c r="EQ94" s="31">
        <f t="shared" si="24"/>
        <v>-145.0711541</v>
      </c>
      <c r="ER94" s="31">
        <f t="shared" si="24"/>
        <v>1485.083</v>
      </c>
      <c r="ES94" s="31">
        <f t="shared" si="24"/>
        <v>15</v>
      </c>
      <c r="ET94" s="31">
        <f t="shared" si="24"/>
        <v>1754882979</v>
      </c>
      <c r="EU94" s="42">
        <f t="shared" si="24"/>
        <v>0.4789236111</v>
      </c>
      <c r="EV94" s="31">
        <f t="shared" si="24"/>
        <v>1754882979</v>
      </c>
      <c r="EW94" s="31">
        <f t="shared" si="24"/>
        <v>1754876535</v>
      </c>
      <c r="EX94" s="31">
        <f t="shared" si="24"/>
        <v>12</v>
      </c>
      <c r="EY94" s="31">
        <f t="shared" si="24"/>
        <v>0.124</v>
      </c>
      <c r="EZ94" s="31">
        <f t="shared" si="24"/>
        <v>-0.002</v>
      </c>
      <c r="FA94" s="31">
        <f t="shared" si="24"/>
        <v>2.892</v>
      </c>
      <c r="FB94" s="31">
        <f t="shared" si="24"/>
        <v>0.297</v>
      </c>
      <c r="FC94" s="31">
        <f t="shared" si="24"/>
        <v>460</v>
      </c>
      <c r="FD94" s="31">
        <f t="shared" si="24"/>
        <v>20</v>
      </c>
      <c r="FE94" s="31">
        <f t="shared" si="24"/>
        <v>0.26</v>
      </c>
      <c r="FF94" s="31">
        <f t="shared" si="24"/>
        <v>0.06</v>
      </c>
      <c r="FG94" s="31">
        <f t="shared" si="24"/>
        <v>100</v>
      </c>
      <c r="FH94" s="31">
        <f t="shared" si="24"/>
        <v>100</v>
      </c>
      <c r="FI94" s="31">
        <f t="shared" si="24"/>
        <v>2.8935</v>
      </c>
      <c r="FJ94" s="31">
        <f t="shared" si="24"/>
        <v>0.55185</v>
      </c>
      <c r="FK94" s="31">
        <f t="shared" si="24"/>
        <v>2.99439367</v>
      </c>
      <c r="FL94" s="31">
        <f t="shared" si="24"/>
        <v>-0.000225954287</v>
      </c>
      <c r="FM94" s="43">
        <f t="shared" si="24"/>
        <v>0.000000005204173011</v>
      </c>
      <c r="FN94" s="43">
        <f t="shared" si="24"/>
        <v>0</v>
      </c>
      <c r="FO94" s="31">
        <f t="shared" si="24"/>
        <v>0.5518733385</v>
      </c>
      <c r="FP94" s="31">
        <f t="shared" si="24"/>
        <v>0</v>
      </c>
      <c r="FQ94" s="31">
        <f t="shared" si="24"/>
        <v>0</v>
      </c>
      <c r="FR94" s="31">
        <f t="shared" si="24"/>
        <v>0</v>
      </c>
      <c r="FS94" s="31">
        <f t="shared" si="24"/>
        <v>1</v>
      </c>
      <c r="FT94" s="31">
        <f t="shared" si="24"/>
        <v>2266</v>
      </c>
      <c r="FU94" s="31">
        <f t="shared" si="24"/>
        <v>1</v>
      </c>
      <c r="FV94" s="31">
        <f t="shared" si="24"/>
        <v>26</v>
      </c>
      <c r="FW94" s="31">
        <f t="shared" si="24"/>
        <v>7.35</v>
      </c>
      <c r="FX94" s="31">
        <f t="shared" si="24"/>
        <v>114.8</v>
      </c>
      <c r="FY94" s="31">
        <f t="shared" si="24"/>
        <v>1.12427</v>
      </c>
      <c r="FZ94" s="31">
        <f t="shared" si="24"/>
        <v>2.557985</v>
      </c>
      <c r="GA94" s="31">
        <f t="shared" si="24"/>
        <v>1.59668</v>
      </c>
      <c r="GB94" s="31">
        <f t="shared" si="24"/>
        <v>2.31689</v>
      </c>
      <c r="GC94" s="31">
        <f t="shared" si="24"/>
        <v>1.5979</v>
      </c>
      <c r="GD94" s="31">
        <f t="shared" si="24"/>
        <v>2.351075</v>
      </c>
      <c r="GE94" s="31">
        <f t="shared" si="24"/>
        <v>43.6175</v>
      </c>
      <c r="GF94" s="31">
        <f t="shared" si="24"/>
        <v>15.3404</v>
      </c>
      <c r="GG94" s="31">
        <f t="shared" si="24"/>
        <v>18</v>
      </c>
      <c r="GH94" s="31">
        <f t="shared" si="24"/>
        <v>508.681</v>
      </c>
      <c r="GI94" s="31">
        <f t="shared" si="24"/>
        <v>466.253</v>
      </c>
      <c r="GJ94" s="31">
        <f t="shared" si="24"/>
        <v>35.1217</v>
      </c>
      <c r="GK94" s="31">
        <f t="shared" si="24"/>
        <v>35.2372</v>
      </c>
      <c r="GL94" s="31">
        <f t="shared" si="24"/>
        <v>29.999</v>
      </c>
      <c r="GM94" s="31">
        <f t="shared" si="24"/>
        <v>35.3345</v>
      </c>
      <c r="GN94" s="31">
        <f t="shared" si="24"/>
        <v>35.2834</v>
      </c>
      <c r="GO94" s="31">
        <f t="shared" si="24"/>
        <v>22.5621</v>
      </c>
      <c r="GP94" s="31">
        <f t="shared" si="24"/>
        <v>100</v>
      </c>
      <c r="GQ94" s="31">
        <f t="shared" si="24"/>
        <v>0</v>
      </c>
      <c r="GR94" s="31">
        <f t="shared" si="24"/>
        <v>-999.9</v>
      </c>
      <c r="GS94" s="31">
        <f t="shared" si="24"/>
        <v>460</v>
      </c>
      <c r="GT94" s="31">
        <f t="shared" si="24"/>
        <v>0</v>
      </c>
      <c r="GU94" s="31">
        <f t="shared" si="24"/>
        <v>102.5825</v>
      </c>
      <c r="GV94" s="31">
        <f t="shared" si="24"/>
        <v>99.74885</v>
      </c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45" t="s">
        <v>113</v>
      </c>
      <c r="J95" s="31" t="s">
        <v>53</v>
      </c>
      <c r="K95" s="31">
        <f t="shared" ref="K95:GV95" si="25">AVERAGE(K52:K53)</f>
        <v>0.001313590059</v>
      </c>
      <c r="L95" s="44">
        <f t="shared" si="25"/>
        <v>1.313590059</v>
      </c>
      <c r="M95" s="44">
        <f t="shared" si="25"/>
        <v>0.7698776197</v>
      </c>
      <c r="N95" s="31">
        <f t="shared" si="25"/>
        <v>458.3304989</v>
      </c>
      <c r="O95" s="44">
        <f t="shared" si="25"/>
        <v>426.1456902</v>
      </c>
      <c r="P95" s="31">
        <f t="shared" si="25"/>
        <v>43.03803392</v>
      </c>
      <c r="Q95" s="31">
        <f t="shared" si="25"/>
        <v>46.28850161</v>
      </c>
      <c r="R95" s="44">
        <f t="shared" si="25"/>
        <v>0.06914823292</v>
      </c>
      <c r="S95" s="31">
        <f t="shared" si="25"/>
        <v>2.760241753</v>
      </c>
      <c r="T95" s="31">
        <f t="shared" si="25"/>
        <v>0.06815667055</v>
      </c>
      <c r="U95" s="31">
        <f t="shared" si="25"/>
        <v>0.04268577523</v>
      </c>
      <c r="V95" s="31">
        <f t="shared" si="25"/>
        <v>31.397311</v>
      </c>
      <c r="W95" s="31">
        <f t="shared" si="25"/>
        <v>34.61616577</v>
      </c>
      <c r="X95" s="31">
        <f t="shared" si="25"/>
        <v>34.4777</v>
      </c>
      <c r="Y95" s="31">
        <f t="shared" si="25"/>
        <v>5.489821528</v>
      </c>
      <c r="Z95" s="31">
        <f t="shared" si="25"/>
        <v>64.26370127</v>
      </c>
      <c r="AA95" s="31">
        <f t="shared" si="25"/>
        <v>3.585200827</v>
      </c>
      <c r="AB95" s="31">
        <f t="shared" si="25"/>
        <v>5.58061127</v>
      </c>
      <c r="AC95" s="31">
        <f t="shared" si="25"/>
        <v>1.904620701</v>
      </c>
      <c r="AD95" s="31">
        <f t="shared" si="25"/>
        <v>-57.92932162</v>
      </c>
      <c r="AE95" s="31">
        <f t="shared" si="25"/>
        <v>45.05389323</v>
      </c>
      <c r="AF95" s="31">
        <f t="shared" si="25"/>
        <v>3.781041088</v>
      </c>
      <c r="AG95" s="31">
        <f t="shared" si="25"/>
        <v>22.3029237</v>
      </c>
      <c r="AH95" s="31">
        <f t="shared" si="25"/>
        <v>0</v>
      </c>
      <c r="AI95" s="31">
        <f t="shared" si="25"/>
        <v>0</v>
      </c>
      <c r="AJ95" s="31">
        <f t="shared" si="25"/>
        <v>1</v>
      </c>
      <c r="AK95" s="31">
        <f t="shared" si="25"/>
        <v>0</v>
      </c>
      <c r="AL95" s="31">
        <f t="shared" si="25"/>
        <v>46859</v>
      </c>
      <c r="AM95" s="31" t="str">
        <f t="shared" si="25"/>
        <v>#DIV/0!</v>
      </c>
      <c r="AN95" s="31">
        <f t="shared" si="25"/>
        <v>8173.37</v>
      </c>
      <c r="AO95" s="31">
        <f t="shared" si="25"/>
        <v>559.296</v>
      </c>
      <c r="AP95" s="31">
        <f t="shared" si="25"/>
        <v>2893.93</v>
      </c>
      <c r="AQ95" s="31">
        <f t="shared" si="25"/>
        <v>0.8067347863</v>
      </c>
      <c r="AR95" s="31">
        <f t="shared" si="25"/>
        <v>-2.38169763</v>
      </c>
      <c r="AS95" s="31" t="str">
        <f t="shared" si="25"/>
        <v>#DIV/0!</v>
      </c>
      <c r="AT95" s="31">
        <f t="shared" si="25"/>
        <v>8232.06</v>
      </c>
      <c r="AU95" s="31">
        <f t="shared" si="25"/>
        <v>305.0235</v>
      </c>
      <c r="AV95" s="31">
        <f t="shared" si="25"/>
        <v>604.66</v>
      </c>
      <c r="AW95" s="31">
        <f t="shared" si="25"/>
        <v>0.4947649432</v>
      </c>
      <c r="AX95" s="31">
        <f t="shared" si="25"/>
        <v>0.5</v>
      </c>
      <c r="AY95" s="31">
        <f t="shared" si="25"/>
        <v>160.0330575</v>
      </c>
      <c r="AZ95" s="31">
        <f t="shared" si="25"/>
        <v>0.7698776197</v>
      </c>
      <c r="BA95" s="31">
        <f t="shared" si="25"/>
        <v>39.58877842</v>
      </c>
      <c r="BB95" s="31">
        <f t="shared" si="25"/>
        <v>0.0196936244</v>
      </c>
      <c r="BC95" s="31">
        <f t="shared" si="25"/>
        <v>3.796154082</v>
      </c>
      <c r="BD95" s="31">
        <f t="shared" si="25"/>
        <v>322.8036261</v>
      </c>
      <c r="BE95" s="31" t="str">
        <f t="shared" si="25"/>
        <v>#DIV/0!</v>
      </c>
      <c r="BF95" s="31">
        <f t="shared" si="25"/>
        <v>-607.165</v>
      </c>
      <c r="BG95" s="31">
        <f t="shared" si="25"/>
        <v>-607.165</v>
      </c>
      <c r="BH95" s="31">
        <f t="shared" si="25"/>
        <v>2.013236042</v>
      </c>
      <c r="BI95" s="31">
        <f t="shared" si="25"/>
        <v>0.2489968509</v>
      </c>
      <c r="BJ95" s="31">
        <f t="shared" si="25"/>
        <v>0.6541131406</v>
      </c>
      <c r="BK95" s="31">
        <f t="shared" si="25"/>
        <v>10.04142845</v>
      </c>
      <c r="BL95" s="31">
        <f t="shared" si="25"/>
        <v>0.980569117</v>
      </c>
      <c r="BM95" s="31">
        <f t="shared" si="25"/>
        <v>-0.485931607</v>
      </c>
      <c r="BN95" s="31">
        <f t="shared" si="25"/>
        <v>1.485931607</v>
      </c>
      <c r="BO95" s="31" t="str">
        <f t="shared" si="25"/>
        <v>#DIV/0!</v>
      </c>
      <c r="BP95" s="31" t="str">
        <f t="shared" si="25"/>
        <v>#DIV/0!</v>
      </c>
      <c r="BQ95" s="31" t="str">
        <f t="shared" si="25"/>
        <v>#DIV/0!</v>
      </c>
      <c r="BR95" s="31" t="str">
        <f t="shared" si="25"/>
        <v>#DIV/0!</v>
      </c>
      <c r="BS95" s="31" t="str">
        <f t="shared" si="25"/>
        <v>#DIV/0!</v>
      </c>
      <c r="BT95" s="31" t="str">
        <f t="shared" si="25"/>
        <v>#DIV/0!</v>
      </c>
      <c r="BU95" s="31" t="str">
        <f t="shared" si="25"/>
        <v>#DIV/0!</v>
      </c>
      <c r="BV95" s="31" t="str">
        <f t="shared" si="25"/>
        <v>#DIV/0!</v>
      </c>
      <c r="BW95" s="31" t="str">
        <f t="shared" si="25"/>
        <v>#DIV/0!</v>
      </c>
      <c r="BX95" s="31" t="str">
        <f t="shared" si="25"/>
        <v>#DIV/0!</v>
      </c>
      <c r="BY95" s="31" t="str">
        <f t="shared" si="25"/>
        <v>#DIV/0!</v>
      </c>
      <c r="BZ95" s="31" t="str">
        <f t="shared" si="25"/>
        <v>#DIV/0!</v>
      </c>
      <c r="CA95" s="31" t="str">
        <f t="shared" si="25"/>
        <v>#DIV/0!</v>
      </c>
      <c r="CB95" s="31" t="str">
        <f t="shared" si="25"/>
        <v>#DIV/0!</v>
      </c>
      <c r="CC95" s="31" t="str">
        <f t="shared" si="25"/>
        <v>#DIV/0!</v>
      </c>
      <c r="CD95" s="31" t="str">
        <f t="shared" si="25"/>
        <v>#DIV/0!</v>
      </c>
      <c r="CE95" s="31" t="str">
        <f t="shared" si="25"/>
        <v>#DIV/0!</v>
      </c>
      <c r="CF95" s="31" t="str">
        <f t="shared" si="25"/>
        <v>#DIV/0!</v>
      </c>
      <c r="CG95" s="31" t="str">
        <f t="shared" si="25"/>
        <v>#DIV/0!</v>
      </c>
      <c r="CH95" s="31" t="str">
        <f t="shared" si="25"/>
        <v>#DIV/0!</v>
      </c>
      <c r="CI95" s="31" t="str">
        <f t="shared" si="25"/>
        <v>#DIV/0!</v>
      </c>
      <c r="CJ95" s="31" t="str">
        <f t="shared" si="25"/>
        <v>#DIV/0!</v>
      </c>
      <c r="CK95" s="31" t="str">
        <f t="shared" si="25"/>
        <v>#DIV/0!</v>
      </c>
      <c r="CL95" s="31" t="str">
        <f t="shared" si="25"/>
        <v>#DIV/0!</v>
      </c>
      <c r="CM95" s="31" t="str">
        <f t="shared" si="25"/>
        <v>#DIV/0!</v>
      </c>
      <c r="CN95" s="31" t="str">
        <f t="shared" si="25"/>
        <v>#DIV/0!</v>
      </c>
      <c r="CO95" s="31" t="str">
        <f t="shared" si="25"/>
        <v>#DIV/0!</v>
      </c>
      <c r="CP95" s="31" t="str">
        <f t="shared" si="25"/>
        <v>#DIV/0!</v>
      </c>
      <c r="CQ95" s="31" t="str">
        <f t="shared" si="25"/>
        <v>#DIV/0!</v>
      </c>
      <c r="CR95" s="31" t="str">
        <f t="shared" si="25"/>
        <v>#DIV/0!</v>
      </c>
      <c r="CS95" s="31" t="str">
        <f t="shared" si="25"/>
        <v>#DIV/0!</v>
      </c>
      <c r="CT95" s="31" t="str">
        <f t="shared" si="25"/>
        <v>#DIV/0!</v>
      </c>
      <c r="CU95" s="31" t="str">
        <f t="shared" si="25"/>
        <v>#DIV/0!</v>
      </c>
      <c r="CV95" s="31" t="str">
        <f t="shared" si="25"/>
        <v>#DIV/0!</v>
      </c>
      <c r="CW95" s="31">
        <f t="shared" si="25"/>
        <v>189.8375</v>
      </c>
      <c r="CX95" s="31">
        <f t="shared" si="25"/>
        <v>160.0330575</v>
      </c>
      <c r="CY95" s="31">
        <f t="shared" si="25"/>
        <v>0.843000238</v>
      </c>
      <c r="CZ95" s="31">
        <f t="shared" si="25"/>
        <v>0.1653904594</v>
      </c>
      <c r="DA95" s="31">
        <f t="shared" si="25"/>
        <v>6</v>
      </c>
      <c r="DB95" s="31">
        <f t="shared" si="25"/>
        <v>0.5</v>
      </c>
      <c r="DC95" s="31" t="str">
        <f t="shared" si="25"/>
        <v>#DIV/0!</v>
      </c>
      <c r="DD95" s="31">
        <f t="shared" si="25"/>
        <v>2</v>
      </c>
      <c r="DE95" s="31">
        <f t="shared" si="25"/>
        <v>1754883709</v>
      </c>
      <c r="DF95" s="31">
        <f t="shared" si="25"/>
        <v>458.3305</v>
      </c>
      <c r="DG95" s="31">
        <f t="shared" si="25"/>
        <v>459.9765</v>
      </c>
      <c r="DH95" s="31">
        <f t="shared" si="25"/>
        <v>35.49925</v>
      </c>
      <c r="DI95" s="31">
        <f t="shared" si="25"/>
        <v>33.9792</v>
      </c>
      <c r="DJ95" s="31">
        <f t="shared" si="25"/>
        <v>455.3535</v>
      </c>
      <c r="DK95" s="31">
        <f t="shared" si="25"/>
        <v>34.94735</v>
      </c>
      <c r="DL95" s="31">
        <f t="shared" si="25"/>
        <v>500.0875</v>
      </c>
      <c r="DM95" s="31">
        <f t="shared" si="25"/>
        <v>100.8935</v>
      </c>
      <c r="DN95" s="31">
        <f t="shared" si="25"/>
        <v>0.100218</v>
      </c>
      <c r="DO95" s="31">
        <f t="shared" si="25"/>
        <v>34.7806</v>
      </c>
      <c r="DP95" s="31">
        <f t="shared" si="25"/>
        <v>34.4777</v>
      </c>
      <c r="DQ95" s="31">
        <f t="shared" si="25"/>
        <v>999.9</v>
      </c>
      <c r="DR95" s="31">
        <f t="shared" si="25"/>
        <v>0</v>
      </c>
      <c r="DS95" s="31">
        <f t="shared" si="25"/>
        <v>0</v>
      </c>
      <c r="DT95" s="31">
        <f t="shared" si="25"/>
        <v>8984.375</v>
      </c>
      <c r="DU95" s="31">
        <f t="shared" si="25"/>
        <v>0</v>
      </c>
      <c r="DV95" s="31">
        <f t="shared" si="25"/>
        <v>1686.38</v>
      </c>
      <c r="DW95" s="31">
        <f t="shared" si="25"/>
        <v>189.8375</v>
      </c>
      <c r="DX95" s="31">
        <f t="shared" si="25"/>
        <v>0.899939</v>
      </c>
      <c r="DY95" s="31">
        <f t="shared" si="25"/>
        <v>0.1000612</v>
      </c>
      <c r="DZ95" s="31">
        <f t="shared" si="25"/>
        <v>0</v>
      </c>
      <c r="EA95" s="31">
        <f t="shared" si="25"/>
        <v>306.75</v>
      </c>
      <c r="EB95" s="31">
        <f t="shared" si="25"/>
        <v>0.0999973</v>
      </c>
      <c r="EC95" s="31">
        <f t="shared" si="25"/>
        <v>2687.735</v>
      </c>
      <c r="ED95" s="31">
        <f t="shared" si="25"/>
        <v>1682.59</v>
      </c>
      <c r="EE95" s="31">
        <f t="shared" si="25"/>
        <v>39.4995</v>
      </c>
      <c r="EF95" s="31">
        <f t="shared" si="25"/>
        <v>42.75</v>
      </c>
      <c r="EG95" s="31">
        <f t="shared" si="25"/>
        <v>40.9995</v>
      </c>
      <c r="EH95" s="31">
        <f t="shared" si="25"/>
        <v>42.4685</v>
      </c>
      <c r="EI95" s="31">
        <f t="shared" si="25"/>
        <v>42.1245</v>
      </c>
      <c r="EJ95" s="31">
        <f t="shared" si="25"/>
        <v>170.75</v>
      </c>
      <c r="EK95" s="31">
        <f t="shared" si="25"/>
        <v>18.985</v>
      </c>
      <c r="EL95" s="31">
        <f t="shared" si="25"/>
        <v>0</v>
      </c>
      <c r="EM95" s="31">
        <f t="shared" si="25"/>
        <v>145.4999999</v>
      </c>
      <c r="EN95" s="31">
        <f t="shared" si="25"/>
        <v>0</v>
      </c>
      <c r="EO95" s="31">
        <f t="shared" si="25"/>
        <v>305.0235</v>
      </c>
      <c r="EP95" s="31">
        <f t="shared" si="25"/>
        <v>-3.512884653</v>
      </c>
      <c r="EQ95" s="31">
        <f t="shared" si="25"/>
        <v>1814.291927</v>
      </c>
      <c r="ER95" s="31">
        <f t="shared" si="25"/>
        <v>2510.173</v>
      </c>
      <c r="ES95" s="31">
        <f t="shared" si="25"/>
        <v>15</v>
      </c>
      <c r="ET95" s="31">
        <f t="shared" si="25"/>
        <v>1754883664</v>
      </c>
      <c r="EU95" s="42">
        <f t="shared" si="25"/>
        <v>0.4868518519</v>
      </c>
      <c r="EV95" s="31">
        <f t="shared" si="25"/>
        <v>1754883664</v>
      </c>
      <c r="EW95" s="31">
        <f t="shared" si="25"/>
        <v>1754876535</v>
      </c>
      <c r="EX95" s="31">
        <f t="shared" si="25"/>
        <v>13</v>
      </c>
      <c r="EY95" s="31">
        <f t="shared" si="25"/>
        <v>0.084</v>
      </c>
      <c r="EZ95" s="31">
        <f t="shared" si="25"/>
        <v>-0.002</v>
      </c>
      <c r="FA95" s="31">
        <f t="shared" si="25"/>
        <v>2.977</v>
      </c>
      <c r="FB95" s="31">
        <f t="shared" si="25"/>
        <v>0.297</v>
      </c>
      <c r="FC95" s="31">
        <f t="shared" si="25"/>
        <v>460</v>
      </c>
      <c r="FD95" s="31">
        <f t="shared" si="25"/>
        <v>20</v>
      </c>
      <c r="FE95" s="31">
        <f t="shared" si="25"/>
        <v>0.35</v>
      </c>
      <c r="FF95" s="31">
        <f t="shared" si="25"/>
        <v>0.06</v>
      </c>
      <c r="FG95" s="31">
        <f t="shared" si="25"/>
        <v>100</v>
      </c>
      <c r="FH95" s="31">
        <f t="shared" si="25"/>
        <v>100</v>
      </c>
      <c r="FI95" s="31">
        <f t="shared" si="25"/>
        <v>2.977</v>
      </c>
      <c r="FJ95" s="31">
        <f t="shared" si="25"/>
        <v>0.5519</v>
      </c>
      <c r="FK95" s="31">
        <f t="shared" si="25"/>
        <v>3.036513633</v>
      </c>
      <c r="FL95" s="31">
        <f t="shared" si="25"/>
        <v>-0.000225954287</v>
      </c>
      <c r="FM95" s="43">
        <f t="shared" si="25"/>
        <v>0.000000005204173011</v>
      </c>
      <c r="FN95" s="43">
        <f t="shared" si="25"/>
        <v>0</v>
      </c>
      <c r="FO95" s="31">
        <f t="shared" si="25"/>
        <v>0.5518733385</v>
      </c>
      <c r="FP95" s="31">
        <f t="shared" si="25"/>
        <v>0</v>
      </c>
      <c r="FQ95" s="31">
        <f t="shared" si="25"/>
        <v>0</v>
      </c>
      <c r="FR95" s="31">
        <f t="shared" si="25"/>
        <v>0</v>
      </c>
      <c r="FS95" s="31">
        <f t="shared" si="25"/>
        <v>1</v>
      </c>
      <c r="FT95" s="31">
        <f t="shared" si="25"/>
        <v>2266</v>
      </c>
      <c r="FU95" s="31">
        <f t="shared" si="25"/>
        <v>1</v>
      </c>
      <c r="FV95" s="31">
        <f t="shared" si="25"/>
        <v>26</v>
      </c>
      <c r="FW95" s="31">
        <f t="shared" si="25"/>
        <v>6.45</v>
      </c>
      <c r="FX95" s="31">
        <f t="shared" si="25"/>
        <v>119.55</v>
      </c>
      <c r="FY95" s="31">
        <f t="shared" si="25"/>
        <v>1.12427</v>
      </c>
      <c r="FZ95" s="31">
        <f t="shared" si="25"/>
        <v>2.55615</v>
      </c>
      <c r="GA95" s="31">
        <f t="shared" si="25"/>
        <v>1.59668</v>
      </c>
      <c r="GB95" s="31">
        <f t="shared" si="25"/>
        <v>2.31628</v>
      </c>
      <c r="GC95" s="31">
        <f t="shared" si="25"/>
        <v>1.5979</v>
      </c>
      <c r="GD95" s="31">
        <f t="shared" si="25"/>
        <v>2.34253</v>
      </c>
      <c r="GE95" s="31">
        <f t="shared" si="25"/>
        <v>43.15505</v>
      </c>
      <c r="GF95" s="31">
        <f t="shared" si="25"/>
        <v>15.30535</v>
      </c>
      <c r="GG95" s="31">
        <f t="shared" si="25"/>
        <v>18</v>
      </c>
      <c r="GH95" s="31">
        <f t="shared" si="25"/>
        <v>507.2245</v>
      </c>
      <c r="GI95" s="31">
        <f t="shared" si="25"/>
        <v>467.9675</v>
      </c>
      <c r="GJ95" s="31">
        <f t="shared" si="25"/>
        <v>34.74585</v>
      </c>
      <c r="GK95" s="31">
        <f t="shared" si="25"/>
        <v>34.7883</v>
      </c>
      <c r="GL95" s="31">
        <f t="shared" si="25"/>
        <v>30.00005</v>
      </c>
      <c r="GM95" s="31">
        <f t="shared" si="25"/>
        <v>34.85925</v>
      </c>
      <c r="GN95" s="31">
        <f t="shared" si="25"/>
        <v>34.82465</v>
      </c>
      <c r="GO95" s="31">
        <f t="shared" si="25"/>
        <v>22.5672</v>
      </c>
      <c r="GP95" s="31">
        <f t="shared" si="25"/>
        <v>100</v>
      </c>
      <c r="GQ95" s="31">
        <f t="shared" si="25"/>
        <v>0</v>
      </c>
      <c r="GR95" s="31">
        <f t="shared" si="25"/>
        <v>-999.9</v>
      </c>
      <c r="GS95" s="31">
        <f t="shared" si="25"/>
        <v>460</v>
      </c>
      <c r="GT95" s="31">
        <f t="shared" si="25"/>
        <v>0</v>
      </c>
      <c r="GU95" s="31">
        <f t="shared" si="25"/>
        <v>102.645</v>
      </c>
      <c r="GV95" s="31">
        <f t="shared" si="25"/>
        <v>99.823</v>
      </c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45" t="s">
        <v>113</v>
      </c>
      <c r="J96" s="31" t="s">
        <v>57</v>
      </c>
      <c r="K96" s="31">
        <f t="shared" ref="K96:GV96" si="26">AVERAGE(K54:K55)</f>
        <v>0.002856859345</v>
      </c>
      <c r="L96" s="44">
        <f t="shared" si="26"/>
        <v>2.856859345</v>
      </c>
      <c r="M96" s="44">
        <f t="shared" si="26"/>
        <v>2.096474371</v>
      </c>
      <c r="N96" s="31">
        <f t="shared" si="26"/>
        <v>455.933497</v>
      </c>
      <c r="O96" s="44">
        <f t="shared" si="26"/>
        <v>426.4850356</v>
      </c>
      <c r="P96" s="31">
        <f t="shared" si="26"/>
        <v>43.08929337</v>
      </c>
      <c r="Q96" s="31">
        <f t="shared" si="26"/>
        <v>46.06457515</v>
      </c>
      <c r="R96" s="44">
        <f t="shared" si="26"/>
        <v>0.2028314524</v>
      </c>
      <c r="S96" s="31">
        <f t="shared" si="26"/>
        <v>2.763781674</v>
      </c>
      <c r="T96" s="31">
        <f t="shared" si="26"/>
        <v>0.1940360633</v>
      </c>
      <c r="U96" s="31">
        <f t="shared" si="26"/>
        <v>0.1220284714</v>
      </c>
      <c r="V96" s="31">
        <f t="shared" si="26"/>
        <v>31.38846248</v>
      </c>
      <c r="W96" s="31">
        <f t="shared" si="26"/>
        <v>34.35959608</v>
      </c>
      <c r="X96" s="31">
        <f t="shared" si="26"/>
        <v>34.0418</v>
      </c>
      <c r="Y96" s="31">
        <f t="shared" si="26"/>
        <v>5.356086951</v>
      </c>
      <c r="Z96" s="31">
        <f t="shared" si="26"/>
        <v>68.86170349</v>
      </c>
      <c r="AA96" s="31">
        <f t="shared" si="26"/>
        <v>3.877581469</v>
      </c>
      <c r="AB96" s="31">
        <f t="shared" si="26"/>
        <v>5.63131374</v>
      </c>
      <c r="AC96" s="31">
        <f t="shared" si="26"/>
        <v>1.478505482</v>
      </c>
      <c r="AD96" s="31">
        <f t="shared" si="26"/>
        <v>-125.9874971</v>
      </c>
      <c r="AE96" s="31">
        <f t="shared" si="26"/>
        <v>134.5603168</v>
      </c>
      <c r="AF96" s="31">
        <f t="shared" si="26"/>
        <v>11.31530838</v>
      </c>
      <c r="AG96" s="31">
        <f t="shared" si="26"/>
        <v>51.27659058</v>
      </c>
      <c r="AH96" s="31">
        <f t="shared" si="26"/>
        <v>0</v>
      </c>
      <c r="AI96" s="31">
        <f t="shared" si="26"/>
        <v>0</v>
      </c>
      <c r="AJ96" s="31">
        <f t="shared" si="26"/>
        <v>1</v>
      </c>
      <c r="AK96" s="31">
        <f t="shared" si="26"/>
        <v>0</v>
      </c>
      <c r="AL96" s="31">
        <f t="shared" si="26"/>
        <v>46931</v>
      </c>
      <c r="AM96" s="31" t="str">
        <f t="shared" si="26"/>
        <v>#DIV/0!</v>
      </c>
      <c r="AN96" s="31">
        <f t="shared" si="26"/>
        <v>8173.37</v>
      </c>
      <c r="AO96" s="31">
        <f t="shared" si="26"/>
        <v>559.296</v>
      </c>
      <c r="AP96" s="31">
        <f t="shared" si="26"/>
        <v>2893.93</v>
      </c>
      <c r="AQ96" s="31">
        <f t="shared" si="26"/>
        <v>0.8067347863</v>
      </c>
      <c r="AR96" s="31">
        <f t="shared" si="26"/>
        <v>-2.38169763</v>
      </c>
      <c r="AS96" s="31" t="str">
        <f t="shared" si="26"/>
        <v>#DIV/0!</v>
      </c>
      <c r="AT96" s="31">
        <f t="shared" si="26"/>
        <v>8210.94</v>
      </c>
      <c r="AU96" s="31">
        <f t="shared" si="26"/>
        <v>380.2920115</v>
      </c>
      <c r="AV96" s="31">
        <f t="shared" si="26"/>
        <v>1066.82</v>
      </c>
      <c r="AW96" s="31">
        <f t="shared" si="26"/>
        <v>0.6440580747</v>
      </c>
      <c r="AX96" s="31">
        <f t="shared" si="26"/>
        <v>0.5</v>
      </c>
      <c r="AY96" s="31">
        <f t="shared" si="26"/>
        <v>159.9906075</v>
      </c>
      <c r="AZ96" s="31">
        <f t="shared" si="26"/>
        <v>2.096474371</v>
      </c>
      <c r="BA96" s="31">
        <f t="shared" si="26"/>
        <v>51.52161792</v>
      </c>
      <c r="BB96" s="31">
        <f t="shared" si="26"/>
        <v>0.02799020775</v>
      </c>
      <c r="BC96" s="31">
        <f t="shared" si="26"/>
        <v>1.738727009</v>
      </c>
      <c r="BD96" s="31">
        <f t="shared" si="26"/>
        <v>419.2496994</v>
      </c>
      <c r="BE96" s="31" t="str">
        <f t="shared" si="26"/>
        <v>#DIV/0!</v>
      </c>
      <c r="BF96" s="31">
        <f t="shared" si="26"/>
        <v>-328.135</v>
      </c>
      <c r="BG96" s="31">
        <f t="shared" si="26"/>
        <v>-328.135</v>
      </c>
      <c r="BH96" s="31">
        <f t="shared" si="26"/>
        <v>1.31602622</v>
      </c>
      <c r="BI96" s="31">
        <f t="shared" si="26"/>
        <v>0.4912497437</v>
      </c>
      <c r="BJ96" s="31">
        <f t="shared" si="26"/>
        <v>0.5666587732</v>
      </c>
      <c r="BK96" s="31">
        <f t="shared" si="26"/>
        <v>1.386245917</v>
      </c>
      <c r="BL96" s="31">
        <f t="shared" si="26"/>
        <v>0.7826108932</v>
      </c>
      <c r="BM96" s="31">
        <f t="shared" si="26"/>
        <v>-0.4308510121</v>
      </c>
      <c r="BN96" s="31">
        <f t="shared" si="26"/>
        <v>1.430851012</v>
      </c>
      <c r="BO96" s="31" t="str">
        <f t="shared" si="26"/>
        <v>#DIV/0!</v>
      </c>
      <c r="BP96" s="31" t="str">
        <f t="shared" si="26"/>
        <v>#DIV/0!</v>
      </c>
      <c r="BQ96" s="31" t="str">
        <f t="shared" si="26"/>
        <v>#DIV/0!</v>
      </c>
      <c r="BR96" s="31" t="str">
        <f t="shared" si="26"/>
        <v>#DIV/0!</v>
      </c>
      <c r="BS96" s="31" t="str">
        <f t="shared" si="26"/>
        <v>#DIV/0!</v>
      </c>
      <c r="BT96" s="31" t="str">
        <f t="shared" si="26"/>
        <v>#DIV/0!</v>
      </c>
      <c r="BU96" s="31" t="str">
        <f t="shared" si="26"/>
        <v>#DIV/0!</v>
      </c>
      <c r="BV96" s="31" t="str">
        <f t="shared" si="26"/>
        <v>#DIV/0!</v>
      </c>
      <c r="BW96" s="31" t="str">
        <f t="shared" si="26"/>
        <v>#DIV/0!</v>
      </c>
      <c r="BX96" s="31" t="str">
        <f t="shared" si="26"/>
        <v>#DIV/0!</v>
      </c>
      <c r="BY96" s="31" t="str">
        <f t="shared" si="26"/>
        <v>#DIV/0!</v>
      </c>
      <c r="BZ96" s="31" t="str">
        <f t="shared" si="26"/>
        <v>#DIV/0!</v>
      </c>
      <c r="CA96" s="31" t="str">
        <f t="shared" si="26"/>
        <v>#DIV/0!</v>
      </c>
      <c r="CB96" s="31" t="str">
        <f t="shared" si="26"/>
        <v>#DIV/0!</v>
      </c>
      <c r="CC96" s="31" t="str">
        <f t="shared" si="26"/>
        <v>#DIV/0!</v>
      </c>
      <c r="CD96" s="31" t="str">
        <f t="shared" si="26"/>
        <v>#DIV/0!</v>
      </c>
      <c r="CE96" s="31" t="str">
        <f t="shared" si="26"/>
        <v>#DIV/0!</v>
      </c>
      <c r="CF96" s="31" t="str">
        <f t="shared" si="26"/>
        <v>#DIV/0!</v>
      </c>
      <c r="CG96" s="31" t="str">
        <f t="shared" si="26"/>
        <v>#DIV/0!</v>
      </c>
      <c r="CH96" s="31" t="str">
        <f t="shared" si="26"/>
        <v>#DIV/0!</v>
      </c>
      <c r="CI96" s="31" t="str">
        <f t="shared" si="26"/>
        <v>#DIV/0!</v>
      </c>
      <c r="CJ96" s="31" t="str">
        <f t="shared" si="26"/>
        <v>#DIV/0!</v>
      </c>
      <c r="CK96" s="31" t="str">
        <f t="shared" si="26"/>
        <v>#DIV/0!</v>
      </c>
      <c r="CL96" s="31" t="str">
        <f t="shared" si="26"/>
        <v>#DIV/0!</v>
      </c>
      <c r="CM96" s="31" t="str">
        <f t="shared" si="26"/>
        <v>#DIV/0!</v>
      </c>
      <c r="CN96" s="31" t="str">
        <f t="shared" si="26"/>
        <v>#DIV/0!</v>
      </c>
      <c r="CO96" s="31" t="str">
        <f t="shared" si="26"/>
        <v>#DIV/0!</v>
      </c>
      <c r="CP96" s="31" t="str">
        <f t="shared" si="26"/>
        <v>#DIV/0!</v>
      </c>
      <c r="CQ96" s="31" t="str">
        <f t="shared" si="26"/>
        <v>#DIV/0!</v>
      </c>
      <c r="CR96" s="31" t="str">
        <f t="shared" si="26"/>
        <v>#DIV/0!</v>
      </c>
      <c r="CS96" s="31" t="str">
        <f t="shared" si="26"/>
        <v>#DIV/0!</v>
      </c>
      <c r="CT96" s="31" t="str">
        <f t="shared" si="26"/>
        <v>#DIV/0!</v>
      </c>
      <c r="CU96" s="31" t="str">
        <f t="shared" si="26"/>
        <v>#DIV/0!</v>
      </c>
      <c r="CV96" s="31" t="str">
        <f t="shared" si="26"/>
        <v>#DIV/0!</v>
      </c>
      <c r="CW96" s="31">
        <f t="shared" si="26"/>
        <v>189.7875</v>
      </c>
      <c r="CX96" s="31">
        <f t="shared" si="26"/>
        <v>159.9906075</v>
      </c>
      <c r="CY96" s="31">
        <f t="shared" si="26"/>
        <v>0.8429986564</v>
      </c>
      <c r="CZ96" s="31">
        <f t="shared" si="26"/>
        <v>0.1653874069</v>
      </c>
      <c r="DA96" s="31">
        <f t="shared" si="26"/>
        <v>6</v>
      </c>
      <c r="DB96" s="31">
        <f t="shared" si="26"/>
        <v>0.5</v>
      </c>
      <c r="DC96" s="31" t="str">
        <f t="shared" si="26"/>
        <v>#DIV/0!</v>
      </c>
      <c r="DD96" s="31">
        <f t="shared" si="26"/>
        <v>2</v>
      </c>
      <c r="DE96" s="31">
        <f t="shared" si="26"/>
        <v>1754880201</v>
      </c>
      <c r="DF96" s="31">
        <f t="shared" si="26"/>
        <v>455.9335</v>
      </c>
      <c r="DG96" s="31">
        <f t="shared" si="26"/>
        <v>460.012</v>
      </c>
      <c r="DH96" s="31">
        <f t="shared" si="26"/>
        <v>38.37915</v>
      </c>
      <c r="DI96" s="31">
        <f t="shared" si="26"/>
        <v>35.08305</v>
      </c>
      <c r="DJ96" s="31">
        <f t="shared" si="26"/>
        <v>453.3045</v>
      </c>
      <c r="DK96" s="31">
        <f t="shared" si="26"/>
        <v>37.8273</v>
      </c>
      <c r="DL96" s="31">
        <f t="shared" si="26"/>
        <v>499.977</v>
      </c>
      <c r="DM96" s="31">
        <f t="shared" si="26"/>
        <v>100.933</v>
      </c>
      <c r="DN96" s="31">
        <f t="shared" si="26"/>
        <v>0.10054</v>
      </c>
      <c r="DO96" s="31">
        <f t="shared" si="26"/>
        <v>34.94535</v>
      </c>
      <c r="DP96" s="31">
        <f t="shared" si="26"/>
        <v>34.0418</v>
      </c>
      <c r="DQ96" s="31">
        <f t="shared" si="26"/>
        <v>999.9</v>
      </c>
      <c r="DR96" s="31">
        <f t="shared" si="26"/>
        <v>0</v>
      </c>
      <c r="DS96" s="31">
        <f t="shared" si="26"/>
        <v>0</v>
      </c>
      <c r="DT96" s="31">
        <f t="shared" si="26"/>
        <v>8999.69</v>
      </c>
      <c r="DU96" s="31">
        <f t="shared" si="26"/>
        <v>0</v>
      </c>
      <c r="DV96" s="31">
        <f t="shared" si="26"/>
        <v>753.6635</v>
      </c>
      <c r="DW96" s="31">
        <f t="shared" si="26"/>
        <v>189.7875</v>
      </c>
      <c r="DX96" s="31">
        <f t="shared" si="26"/>
        <v>0.8999845</v>
      </c>
      <c r="DY96" s="31">
        <f t="shared" si="26"/>
        <v>0.1000155</v>
      </c>
      <c r="DZ96" s="31">
        <f t="shared" si="26"/>
        <v>0</v>
      </c>
      <c r="EA96" s="31">
        <f t="shared" si="26"/>
        <v>379.97</v>
      </c>
      <c r="EB96" s="31">
        <f t="shared" si="26"/>
        <v>0.0999973</v>
      </c>
      <c r="EC96" s="31">
        <f t="shared" si="26"/>
        <v>1626.495</v>
      </c>
      <c r="ED96" s="31">
        <f t="shared" si="26"/>
        <v>1682.165</v>
      </c>
      <c r="EE96" s="31">
        <f t="shared" si="26"/>
        <v>39.9685</v>
      </c>
      <c r="EF96" s="31">
        <f t="shared" si="26"/>
        <v>43.312</v>
      </c>
      <c r="EG96" s="31">
        <f t="shared" si="26"/>
        <v>41.4685</v>
      </c>
      <c r="EH96" s="31">
        <f t="shared" si="26"/>
        <v>43.031</v>
      </c>
      <c r="EI96" s="31">
        <f t="shared" si="26"/>
        <v>42.5625</v>
      </c>
      <c r="EJ96" s="31">
        <f t="shared" si="26"/>
        <v>170.715</v>
      </c>
      <c r="EK96" s="31">
        <f t="shared" si="26"/>
        <v>18.97</v>
      </c>
      <c r="EL96" s="31">
        <f t="shared" si="26"/>
        <v>0</v>
      </c>
      <c r="EM96" s="31">
        <f t="shared" si="26"/>
        <v>158.9</v>
      </c>
      <c r="EN96" s="31">
        <f t="shared" si="26"/>
        <v>0</v>
      </c>
      <c r="EO96" s="31">
        <f t="shared" si="26"/>
        <v>380.2920115</v>
      </c>
      <c r="EP96" s="31">
        <f t="shared" si="26"/>
        <v>4.428910251</v>
      </c>
      <c r="EQ96" s="31">
        <f t="shared" si="26"/>
        <v>-7.4665377</v>
      </c>
      <c r="ER96" s="31">
        <f t="shared" si="26"/>
        <v>1660.808669</v>
      </c>
      <c r="ES96" s="31">
        <f t="shared" si="26"/>
        <v>15</v>
      </c>
      <c r="ET96" s="31">
        <f t="shared" si="26"/>
        <v>1754879764</v>
      </c>
      <c r="EU96" s="42">
        <f t="shared" si="26"/>
        <v>0.441712963</v>
      </c>
      <c r="EV96" s="31">
        <f t="shared" si="26"/>
        <v>1754879764</v>
      </c>
      <c r="EW96" s="31">
        <f t="shared" si="26"/>
        <v>1754876535</v>
      </c>
      <c r="EX96" s="31">
        <f t="shared" si="26"/>
        <v>6</v>
      </c>
      <c r="EY96" s="31">
        <f t="shared" si="26"/>
        <v>0.006</v>
      </c>
      <c r="EZ96" s="31">
        <f t="shared" si="26"/>
        <v>-0.002</v>
      </c>
      <c r="FA96" s="31">
        <f t="shared" si="26"/>
        <v>2.628</v>
      </c>
      <c r="FB96" s="31">
        <f t="shared" si="26"/>
        <v>0.297</v>
      </c>
      <c r="FC96" s="31">
        <f t="shared" si="26"/>
        <v>460</v>
      </c>
      <c r="FD96" s="31">
        <f t="shared" si="26"/>
        <v>20</v>
      </c>
      <c r="FE96" s="31">
        <f t="shared" si="26"/>
        <v>0.18</v>
      </c>
      <c r="FF96" s="31">
        <f t="shared" si="26"/>
        <v>0.06</v>
      </c>
      <c r="FG96" s="31">
        <f t="shared" si="26"/>
        <v>100</v>
      </c>
      <c r="FH96" s="31">
        <f t="shared" si="26"/>
        <v>100</v>
      </c>
      <c r="FI96" s="31">
        <f t="shared" si="26"/>
        <v>2.629</v>
      </c>
      <c r="FJ96" s="31">
        <f t="shared" si="26"/>
        <v>0.55185</v>
      </c>
      <c r="FK96" s="31">
        <f t="shared" si="26"/>
        <v>2.730034775</v>
      </c>
      <c r="FL96" s="31">
        <f t="shared" si="26"/>
        <v>-0.000225954287</v>
      </c>
      <c r="FM96" s="43">
        <f t="shared" si="26"/>
        <v>0.000000005204173011</v>
      </c>
      <c r="FN96" s="43">
        <f t="shared" si="26"/>
        <v>0</v>
      </c>
      <c r="FO96" s="31">
        <f t="shared" si="26"/>
        <v>0.5518733385</v>
      </c>
      <c r="FP96" s="31">
        <f t="shared" si="26"/>
        <v>0</v>
      </c>
      <c r="FQ96" s="31">
        <f t="shared" si="26"/>
        <v>0</v>
      </c>
      <c r="FR96" s="31">
        <f t="shared" si="26"/>
        <v>0</v>
      </c>
      <c r="FS96" s="31">
        <f t="shared" si="26"/>
        <v>1</v>
      </c>
      <c r="FT96" s="31">
        <f t="shared" si="26"/>
        <v>2266</v>
      </c>
      <c r="FU96" s="31">
        <f t="shared" si="26"/>
        <v>1</v>
      </c>
      <c r="FV96" s="31">
        <f t="shared" si="26"/>
        <v>26</v>
      </c>
      <c r="FW96" s="31">
        <f t="shared" si="26"/>
        <v>7.25</v>
      </c>
      <c r="FX96" s="31">
        <f t="shared" si="26"/>
        <v>61.1</v>
      </c>
      <c r="FY96" s="31">
        <f t="shared" si="26"/>
        <v>1.11755</v>
      </c>
      <c r="FZ96" s="31">
        <f t="shared" si="26"/>
        <v>2.543335</v>
      </c>
      <c r="GA96" s="31">
        <f t="shared" si="26"/>
        <v>1.59668</v>
      </c>
      <c r="GB96" s="31">
        <f t="shared" si="26"/>
        <v>2.31995</v>
      </c>
      <c r="GC96" s="31">
        <f t="shared" si="26"/>
        <v>1.5979</v>
      </c>
      <c r="GD96" s="31">
        <f t="shared" si="26"/>
        <v>2.32483</v>
      </c>
      <c r="GE96" s="31">
        <f t="shared" si="26"/>
        <v>42.63055</v>
      </c>
      <c r="GF96" s="31">
        <f t="shared" si="26"/>
        <v>15.81755</v>
      </c>
      <c r="GG96" s="31">
        <f t="shared" si="26"/>
        <v>18</v>
      </c>
      <c r="GH96" s="31">
        <f t="shared" si="26"/>
        <v>507.818</v>
      </c>
      <c r="GI96" s="31">
        <f t="shared" si="26"/>
        <v>478.2565</v>
      </c>
      <c r="GJ96" s="31">
        <f t="shared" si="26"/>
        <v>34.8213</v>
      </c>
      <c r="GK96" s="31">
        <f t="shared" si="26"/>
        <v>34.76785</v>
      </c>
      <c r="GL96" s="31">
        <f t="shared" si="26"/>
        <v>30.00035</v>
      </c>
      <c r="GM96" s="31">
        <f t="shared" si="26"/>
        <v>34.76</v>
      </c>
      <c r="GN96" s="31">
        <f t="shared" si="26"/>
        <v>34.7046</v>
      </c>
      <c r="GO96" s="31">
        <f t="shared" si="26"/>
        <v>22.42515</v>
      </c>
      <c r="GP96" s="31">
        <f t="shared" si="26"/>
        <v>100</v>
      </c>
      <c r="GQ96" s="31">
        <f t="shared" si="26"/>
        <v>0</v>
      </c>
      <c r="GR96" s="31">
        <f t="shared" si="26"/>
        <v>-999.9</v>
      </c>
      <c r="GS96" s="31">
        <f t="shared" si="26"/>
        <v>460</v>
      </c>
      <c r="GT96" s="31">
        <f t="shared" si="26"/>
        <v>0</v>
      </c>
      <c r="GU96" s="31">
        <f t="shared" si="26"/>
        <v>102.719</v>
      </c>
      <c r="GV96" s="31">
        <f t="shared" si="26"/>
        <v>99.75685</v>
      </c>
    </row>
    <row r="97" ht="14.25" customHeight="1">
      <c r="A97" s="39"/>
      <c r="B97" s="39"/>
      <c r="C97" s="39"/>
      <c r="D97" s="39"/>
      <c r="E97" s="39"/>
      <c r="F97" s="39"/>
      <c r="G97" s="39"/>
      <c r="H97" s="39"/>
      <c r="I97" s="45" t="s">
        <v>113</v>
      </c>
      <c r="J97" s="31" t="s">
        <v>59</v>
      </c>
      <c r="K97" s="31">
        <f t="shared" ref="K97:GV97" si="27">AVERAGE(K56:K57)</f>
        <v>0.004154385842</v>
      </c>
      <c r="L97" s="44">
        <f t="shared" si="27"/>
        <v>4.154385842</v>
      </c>
      <c r="M97" s="44">
        <f t="shared" si="27"/>
        <v>1.837397064</v>
      </c>
      <c r="N97" s="31">
        <f t="shared" si="27"/>
        <v>455.5124974</v>
      </c>
      <c r="O97" s="44">
        <f t="shared" si="27"/>
        <v>438.726654</v>
      </c>
      <c r="P97" s="31">
        <f t="shared" si="27"/>
        <v>44.29802042</v>
      </c>
      <c r="Q97" s="31">
        <f t="shared" si="27"/>
        <v>45.99288177</v>
      </c>
      <c r="R97" s="44">
        <f t="shared" si="27"/>
        <v>0.3923820608</v>
      </c>
      <c r="S97" s="31">
        <f t="shared" si="27"/>
        <v>2.764655982</v>
      </c>
      <c r="T97" s="31">
        <f t="shared" si="27"/>
        <v>0.3586740474</v>
      </c>
      <c r="U97" s="31">
        <f t="shared" si="27"/>
        <v>0.2269329941</v>
      </c>
      <c r="V97" s="31">
        <f t="shared" si="27"/>
        <v>31.44648511</v>
      </c>
      <c r="W97" s="31">
        <f t="shared" si="27"/>
        <v>32.94222854</v>
      </c>
      <c r="X97" s="31">
        <f t="shared" si="27"/>
        <v>33.18575</v>
      </c>
      <c r="Y97" s="31">
        <f t="shared" si="27"/>
        <v>5.105240004</v>
      </c>
      <c r="Z97" s="31">
        <f t="shared" si="27"/>
        <v>73.55448885</v>
      </c>
      <c r="AA97" s="31">
        <f t="shared" si="27"/>
        <v>3.905017858</v>
      </c>
      <c r="AB97" s="31">
        <f t="shared" si="27"/>
        <v>5.308122074</v>
      </c>
      <c r="AC97" s="31">
        <f t="shared" si="27"/>
        <v>1.200222146</v>
      </c>
      <c r="AD97" s="31">
        <f t="shared" si="27"/>
        <v>-183.2084156</v>
      </c>
      <c r="AE97" s="31">
        <f t="shared" si="27"/>
        <v>103.7747634</v>
      </c>
      <c r="AF97" s="31">
        <f t="shared" si="27"/>
        <v>8.645746291</v>
      </c>
      <c r="AG97" s="31">
        <f t="shared" si="27"/>
        <v>-39.34142081</v>
      </c>
      <c r="AH97" s="31">
        <f t="shared" si="27"/>
        <v>0</v>
      </c>
      <c r="AI97" s="31">
        <f t="shared" si="27"/>
        <v>0</v>
      </c>
      <c r="AJ97" s="31">
        <f t="shared" si="27"/>
        <v>1</v>
      </c>
      <c r="AK97" s="31">
        <f t="shared" si="27"/>
        <v>0</v>
      </c>
      <c r="AL97" s="31">
        <f t="shared" si="27"/>
        <v>47117.5</v>
      </c>
      <c r="AM97" s="31" t="str">
        <f t="shared" si="27"/>
        <v>#DIV/0!</v>
      </c>
      <c r="AN97" s="31">
        <f t="shared" si="27"/>
        <v>8173.37</v>
      </c>
      <c r="AO97" s="31">
        <f t="shared" si="27"/>
        <v>559.296</v>
      </c>
      <c r="AP97" s="31">
        <f t="shared" si="27"/>
        <v>2893.93</v>
      </c>
      <c r="AQ97" s="31">
        <f t="shared" si="27"/>
        <v>0.8067347863</v>
      </c>
      <c r="AR97" s="31">
        <f t="shared" si="27"/>
        <v>-2.38169763</v>
      </c>
      <c r="AS97" s="31" t="str">
        <f t="shared" si="27"/>
        <v>#DIV/0!</v>
      </c>
      <c r="AT97" s="31">
        <f t="shared" si="27"/>
        <v>8154.34</v>
      </c>
      <c r="AU97" s="31">
        <f t="shared" si="27"/>
        <v>413.6456038</v>
      </c>
      <c r="AV97" s="31">
        <f t="shared" si="27"/>
        <v>1177.035</v>
      </c>
      <c r="AW97" s="31">
        <f t="shared" si="27"/>
        <v>0.6466765688</v>
      </c>
      <c r="AX97" s="31">
        <f t="shared" si="27"/>
        <v>0.5</v>
      </c>
      <c r="AY97" s="31">
        <f t="shared" si="27"/>
        <v>160.2917865</v>
      </c>
      <c r="AZ97" s="31">
        <f t="shared" si="27"/>
        <v>1.837397064</v>
      </c>
      <c r="BA97" s="31">
        <f t="shared" si="27"/>
        <v>51.82855996</v>
      </c>
      <c r="BB97" s="31">
        <f t="shared" si="27"/>
        <v>0.02632014426</v>
      </c>
      <c r="BC97" s="31">
        <f t="shared" si="27"/>
        <v>1.880266185</v>
      </c>
      <c r="BD97" s="31">
        <f t="shared" si="27"/>
        <v>420.4847032</v>
      </c>
      <c r="BE97" s="31" t="str">
        <f t="shared" si="27"/>
        <v>#DIV/0!</v>
      </c>
      <c r="BF97" s="31">
        <f t="shared" si="27"/>
        <v>-699.165</v>
      </c>
      <c r="BG97" s="31">
        <f t="shared" si="27"/>
        <v>-699.165</v>
      </c>
      <c r="BH97" s="31">
        <f t="shared" si="27"/>
        <v>1.794805464</v>
      </c>
      <c r="BI97" s="31">
        <f t="shared" si="27"/>
        <v>0.3948769711</v>
      </c>
      <c r="BJ97" s="31">
        <f t="shared" si="27"/>
        <v>0.4712327857</v>
      </c>
      <c r="BK97" s="31">
        <f t="shared" si="27"/>
        <v>1.889230827</v>
      </c>
      <c r="BL97" s="31">
        <f t="shared" si="27"/>
        <v>0.7354022087</v>
      </c>
      <c r="BM97" s="31">
        <f t="shared" si="27"/>
        <v>-0.7083089258</v>
      </c>
      <c r="BN97" s="31">
        <f t="shared" si="27"/>
        <v>1.708308926</v>
      </c>
      <c r="BO97" s="31" t="str">
        <f t="shared" si="27"/>
        <v>#DIV/0!</v>
      </c>
      <c r="BP97" s="31" t="str">
        <f t="shared" si="27"/>
        <v>#DIV/0!</v>
      </c>
      <c r="BQ97" s="31" t="str">
        <f t="shared" si="27"/>
        <v>#DIV/0!</v>
      </c>
      <c r="BR97" s="31" t="str">
        <f t="shared" si="27"/>
        <v>#DIV/0!</v>
      </c>
      <c r="BS97" s="31" t="str">
        <f t="shared" si="27"/>
        <v>#DIV/0!</v>
      </c>
      <c r="BT97" s="31" t="str">
        <f t="shared" si="27"/>
        <v>#DIV/0!</v>
      </c>
      <c r="BU97" s="31" t="str">
        <f t="shared" si="27"/>
        <v>#DIV/0!</v>
      </c>
      <c r="BV97" s="31" t="str">
        <f t="shared" si="27"/>
        <v>#DIV/0!</v>
      </c>
      <c r="BW97" s="31" t="str">
        <f t="shared" si="27"/>
        <v>#DIV/0!</v>
      </c>
      <c r="BX97" s="31" t="str">
        <f t="shared" si="27"/>
        <v>#DIV/0!</v>
      </c>
      <c r="BY97" s="31" t="str">
        <f t="shared" si="27"/>
        <v>#DIV/0!</v>
      </c>
      <c r="BZ97" s="31" t="str">
        <f t="shared" si="27"/>
        <v>#DIV/0!</v>
      </c>
      <c r="CA97" s="31" t="str">
        <f t="shared" si="27"/>
        <v>#DIV/0!</v>
      </c>
      <c r="CB97" s="31" t="str">
        <f t="shared" si="27"/>
        <v>#DIV/0!</v>
      </c>
      <c r="CC97" s="31" t="str">
        <f t="shared" si="27"/>
        <v>#DIV/0!</v>
      </c>
      <c r="CD97" s="31" t="str">
        <f t="shared" si="27"/>
        <v>#DIV/0!</v>
      </c>
      <c r="CE97" s="31" t="str">
        <f t="shared" si="27"/>
        <v>#DIV/0!</v>
      </c>
      <c r="CF97" s="31" t="str">
        <f t="shared" si="27"/>
        <v>#DIV/0!</v>
      </c>
      <c r="CG97" s="31" t="str">
        <f t="shared" si="27"/>
        <v>#DIV/0!</v>
      </c>
      <c r="CH97" s="31" t="str">
        <f t="shared" si="27"/>
        <v>#DIV/0!</v>
      </c>
      <c r="CI97" s="31" t="str">
        <f t="shared" si="27"/>
        <v>#DIV/0!</v>
      </c>
      <c r="CJ97" s="31" t="str">
        <f t="shared" si="27"/>
        <v>#DIV/0!</v>
      </c>
      <c r="CK97" s="31" t="str">
        <f t="shared" si="27"/>
        <v>#DIV/0!</v>
      </c>
      <c r="CL97" s="31" t="str">
        <f t="shared" si="27"/>
        <v>#DIV/0!</v>
      </c>
      <c r="CM97" s="31" t="str">
        <f t="shared" si="27"/>
        <v>#DIV/0!</v>
      </c>
      <c r="CN97" s="31" t="str">
        <f t="shared" si="27"/>
        <v>#DIV/0!</v>
      </c>
      <c r="CO97" s="31" t="str">
        <f t="shared" si="27"/>
        <v>#DIV/0!</v>
      </c>
      <c r="CP97" s="31" t="str">
        <f t="shared" si="27"/>
        <v>#DIV/0!</v>
      </c>
      <c r="CQ97" s="31" t="str">
        <f t="shared" si="27"/>
        <v>#DIV/0!</v>
      </c>
      <c r="CR97" s="31" t="str">
        <f t="shared" si="27"/>
        <v>#DIV/0!</v>
      </c>
      <c r="CS97" s="31" t="str">
        <f t="shared" si="27"/>
        <v>#DIV/0!</v>
      </c>
      <c r="CT97" s="31" t="str">
        <f t="shared" si="27"/>
        <v>#DIV/0!</v>
      </c>
      <c r="CU97" s="31" t="str">
        <f t="shared" si="27"/>
        <v>#DIV/0!</v>
      </c>
      <c r="CV97" s="31" t="str">
        <f t="shared" si="27"/>
        <v>#DIV/0!</v>
      </c>
      <c r="CW97" s="31">
        <f t="shared" si="27"/>
        <v>190.1455</v>
      </c>
      <c r="CX97" s="31">
        <f t="shared" si="27"/>
        <v>160.2917865</v>
      </c>
      <c r="CY97" s="31">
        <f t="shared" si="27"/>
        <v>0.8429954244</v>
      </c>
      <c r="CZ97" s="31">
        <f t="shared" si="27"/>
        <v>0.1653811692</v>
      </c>
      <c r="DA97" s="31">
        <f t="shared" si="27"/>
        <v>6</v>
      </c>
      <c r="DB97" s="31">
        <f t="shared" si="27"/>
        <v>0.5</v>
      </c>
      <c r="DC97" s="31" t="str">
        <f t="shared" si="27"/>
        <v>#DIV/0!</v>
      </c>
      <c r="DD97" s="31">
        <f t="shared" si="27"/>
        <v>2</v>
      </c>
      <c r="DE97" s="31">
        <f t="shared" si="27"/>
        <v>1754885967</v>
      </c>
      <c r="DF97" s="31">
        <f t="shared" si="27"/>
        <v>455.5125</v>
      </c>
      <c r="DG97" s="31">
        <f t="shared" si="27"/>
        <v>459.9855</v>
      </c>
      <c r="DH97" s="31">
        <f t="shared" si="27"/>
        <v>38.67525</v>
      </c>
      <c r="DI97" s="31">
        <f t="shared" si="27"/>
        <v>33.8854</v>
      </c>
      <c r="DJ97" s="31">
        <f t="shared" si="27"/>
        <v>452.57</v>
      </c>
      <c r="DK97" s="31">
        <f t="shared" si="27"/>
        <v>38.1234</v>
      </c>
      <c r="DL97" s="31">
        <f t="shared" si="27"/>
        <v>500.103</v>
      </c>
      <c r="DM97" s="31">
        <f t="shared" si="27"/>
        <v>100.8695</v>
      </c>
      <c r="DN97" s="31">
        <f t="shared" si="27"/>
        <v>0.100019</v>
      </c>
      <c r="DO97" s="31">
        <f t="shared" si="27"/>
        <v>33.8824</v>
      </c>
      <c r="DP97" s="31">
        <f t="shared" si="27"/>
        <v>33.18575</v>
      </c>
      <c r="DQ97" s="31">
        <f t="shared" si="27"/>
        <v>999.9</v>
      </c>
      <c r="DR97" s="31">
        <f t="shared" si="27"/>
        <v>0</v>
      </c>
      <c r="DS97" s="31">
        <f t="shared" si="27"/>
        <v>0</v>
      </c>
      <c r="DT97" s="31">
        <f t="shared" si="27"/>
        <v>9010</v>
      </c>
      <c r="DU97" s="31">
        <f t="shared" si="27"/>
        <v>0</v>
      </c>
      <c r="DV97" s="31">
        <f t="shared" si="27"/>
        <v>570.3305</v>
      </c>
      <c r="DW97" s="31">
        <f t="shared" si="27"/>
        <v>190.1455</v>
      </c>
      <c r="DX97" s="31">
        <f t="shared" si="27"/>
        <v>0.900083</v>
      </c>
      <c r="DY97" s="31">
        <f t="shared" si="27"/>
        <v>0.09991685</v>
      </c>
      <c r="DZ97" s="31">
        <f t="shared" si="27"/>
        <v>0</v>
      </c>
      <c r="EA97" s="31">
        <f t="shared" si="27"/>
        <v>411.02</v>
      </c>
      <c r="EB97" s="31">
        <f t="shared" si="27"/>
        <v>0.0999973</v>
      </c>
      <c r="EC97" s="31">
        <f t="shared" si="27"/>
        <v>1621.935</v>
      </c>
      <c r="ED97" s="31">
        <f t="shared" si="27"/>
        <v>1685.4</v>
      </c>
      <c r="EE97" s="31">
        <f t="shared" si="27"/>
        <v>39.1245</v>
      </c>
      <c r="EF97" s="31">
        <f t="shared" si="27"/>
        <v>42.656</v>
      </c>
      <c r="EG97" s="31">
        <f t="shared" si="27"/>
        <v>40.6875</v>
      </c>
      <c r="EH97" s="31">
        <f t="shared" si="27"/>
        <v>42.281</v>
      </c>
      <c r="EI97" s="31">
        <f t="shared" si="27"/>
        <v>41.6875</v>
      </c>
      <c r="EJ97" s="31">
        <f t="shared" si="27"/>
        <v>171.055</v>
      </c>
      <c r="EK97" s="31">
        <f t="shared" si="27"/>
        <v>18.985</v>
      </c>
      <c r="EL97" s="31">
        <f t="shared" si="27"/>
        <v>0</v>
      </c>
      <c r="EM97" s="31">
        <f t="shared" si="27"/>
        <v>133.5</v>
      </c>
      <c r="EN97" s="31">
        <f t="shared" si="27"/>
        <v>0</v>
      </c>
      <c r="EO97" s="31">
        <f t="shared" si="27"/>
        <v>413.6456038</v>
      </c>
      <c r="EP97" s="31">
        <f t="shared" si="27"/>
        <v>-18.4579702</v>
      </c>
      <c r="EQ97" s="31">
        <f t="shared" si="27"/>
        <v>-537.5357704</v>
      </c>
      <c r="ER97" s="31">
        <f t="shared" si="27"/>
        <v>1725.776308</v>
      </c>
      <c r="ES97" s="31">
        <f t="shared" si="27"/>
        <v>15</v>
      </c>
      <c r="ET97" s="31">
        <f t="shared" si="27"/>
        <v>1754885779</v>
      </c>
      <c r="EU97" s="42">
        <f t="shared" si="27"/>
        <v>0.5113310185</v>
      </c>
      <c r="EV97" s="31">
        <f t="shared" si="27"/>
        <v>1754885779</v>
      </c>
      <c r="EW97" s="31">
        <f t="shared" si="27"/>
        <v>1754876535</v>
      </c>
      <c r="EX97" s="31">
        <f t="shared" si="27"/>
        <v>16</v>
      </c>
      <c r="EY97" s="31">
        <f t="shared" si="27"/>
        <v>-0.008</v>
      </c>
      <c r="EZ97" s="31">
        <f t="shared" si="27"/>
        <v>-0.002</v>
      </c>
      <c r="FA97" s="31">
        <f t="shared" si="27"/>
        <v>2.942</v>
      </c>
      <c r="FB97" s="31">
        <f t="shared" si="27"/>
        <v>0.297</v>
      </c>
      <c r="FC97" s="31">
        <f t="shared" si="27"/>
        <v>460</v>
      </c>
      <c r="FD97" s="31">
        <f t="shared" si="27"/>
        <v>20</v>
      </c>
      <c r="FE97" s="31">
        <f t="shared" si="27"/>
        <v>0.23</v>
      </c>
      <c r="FF97" s="31">
        <f t="shared" si="27"/>
        <v>0.06</v>
      </c>
      <c r="FG97" s="31">
        <f t="shared" si="27"/>
        <v>100</v>
      </c>
      <c r="FH97" s="31">
        <f t="shared" si="27"/>
        <v>100</v>
      </c>
      <c r="FI97" s="31">
        <f t="shared" si="27"/>
        <v>2.9425</v>
      </c>
      <c r="FJ97" s="31">
        <f t="shared" si="27"/>
        <v>0.55185</v>
      </c>
      <c r="FK97" s="31">
        <f t="shared" si="27"/>
        <v>3.043874942</v>
      </c>
      <c r="FL97" s="31">
        <f t="shared" si="27"/>
        <v>-0.000225954287</v>
      </c>
      <c r="FM97" s="43">
        <f t="shared" si="27"/>
        <v>0.000000005204173011</v>
      </c>
      <c r="FN97" s="43">
        <f t="shared" si="27"/>
        <v>0</v>
      </c>
      <c r="FO97" s="31">
        <f t="shared" si="27"/>
        <v>0.5518733385</v>
      </c>
      <c r="FP97" s="31">
        <f t="shared" si="27"/>
        <v>0</v>
      </c>
      <c r="FQ97" s="31">
        <f t="shared" si="27"/>
        <v>0</v>
      </c>
      <c r="FR97" s="31">
        <f t="shared" si="27"/>
        <v>0</v>
      </c>
      <c r="FS97" s="31">
        <f t="shared" si="27"/>
        <v>1</v>
      </c>
      <c r="FT97" s="31">
        <f t="shared" si="27"/>
        <v>2266</v>
      </c>
      <c r="FU97" s="31">
        <f t="shared" si="27"/>
        <v>1</v>
      </c>
      <c r="FV97" s="31">
        <f t="shared" si="27"/>
        <v>26</v>
      </c>
      <c r="FW97" s="31">
        <f t="shared" si="27"/>
        <v>3.1</v>
      </c>
      <c r="FX97" s="31">
        <f t="shared" si="27"/>
        <v>157.2</v>
      </c>
      <c r="FY97" s="31">
        <f t="shared" si="27"/>
        <v>1.12366</v>
      </c>
      <c r="FZ97" s="31">
        <f t="shared" si="27"/>
        <v>2.561035</v>
      </c>
      <c r="GA97" s="31">
        <f t="shared" si="27"/>
        <v>1.59668</v>
      </c>
      <c r="GB97" s="31">
        <f t="shared" si="27"/>
        <v>2.31689</v>
      </c>
      <c r="GC97" s="31">
        <f t="shared" si="27"/>
        <v>1.5979</v>
      </c>
      <c r="GD97" s="31">
        <f t="shared" si="27"/>
        <v>2.33826</v>
      </c>
      <c r="GE97" s="31">
        <f t="shared" si="27"/>
        <v>43.12795</v>
      </c>
      <c r="GF97" s="31">
        <f t="shared" si="27"/>
        <v>14.9989</v>
      </c>
      <c r="GG97" s="31">
        <f t="shared" si="27"/>
        <v>18</v>
      </c>
      <c r="GH97" s="31">
        <f t="shared" si="27"/>
        <v>508.775</v>
      </c>
      <c r="GI97" s="31">
        <f t="shared" si="27"/>
        <v>467.1405</v>
      </c>
      <c r="GJ97" s="31">
        <f t="shared" si="27"/>
        <v>33.81265</v>
      </c>
      <c r="GK97" s="31">
        <f t="shared" si="27"/>
        <v>34.3032</v>
      </c>
      <c r="GL97" s="31">
        <f t="shared" si="27"/>
        <v>30.00085</v>
      </c>
      <c r="GM97" s="31">
        <f t="shared" si="27"/>
        <v>34.3309</v>
      </c>
      <c r="GN97" s="31">
        <f t="shared" si="27"/>
        <v>34.2892</v>
      </c>
      <c r="GO97" s="31">
        <f t="shared" si="27"/>
        <v>22.54765</v>
      </c>
      <c r="GP97" s="31">
        <f t="shared" si="27"/>
        <v>100</v>
      </c>
      <c r="GQ97" s="31">
        <f t="shared" si="27"/>
        <v>0</v>
      </c>
      <c r="GR97" s="31">
        <f t="shared" si="27"/>
        <v>-999.9</v>
      </c>
      <c r="GS97" s="31">
        <f t="shared" si="27"/>
        <v>460</v>
      </c>
      <c r="GT97" s="31">
        <f t="shared" si="27"/>
        <v>15.5881</v>
      </c>
      <c r="GU97" s="31">
        <f t="shared" si="27"/>
        <v>102.6335</v>
      </c>
      <c r="GV97" s="31">
        <f t="shared" si="27"/>
        <v>99.87945</v>
      </c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45" t="s">
        <v>113</v>
      </c>
      <c r="J98" s="31" t="s">
        <v>61</v>
      </c>
      <c r="K98" s="31">
        <f t="shared" ref="K98:GV98" si="28">AVERAGE(K58:K59)</f>
        <v>0.002289092651</v>
      </c>
      <c r="L98" s="44">
        <f t="shared" si="28"/>
        <v>2.289092651</v>
      </c>
      <c r="M98" s="44">
        <f t="shared" si="28"/>
        <v>2.909671614</v>
      </c>
      <c r="N98" s="31">
        <f t="shared" si="28"/>
        <v>455.2659959</v>
      </c>
      <c r="O98" s="44">
        <f t="shared" si="28"/>
        <v>401.0283285</v>
      </c>
      <c r="P98" s="31">
        <f t="shared" si="28"/>
        <v>40.51276921</v>
      </c>
      <c r="Q98" s="31">
        <f t="shared" si="28"/>
        <v>45.99201687</v>
      </c>
      <c r="R98" s="44">
        <f t="shared" si="28"/>
        <v>0.1329356042</v>
      </c>
      <c r="S98" s="31">
        <f t="shared" si="28"/>
        <v>2.766310377</v>
      </c>
      <c r="T98" s="31">
        <f t="shared" si="28"/>
        <v>0.1288364721</v>
      </c>
      <c r="U98" s="31">
        <f t="shared" si="28"/>
        <v>0.08087942888</v>
      </c>
      <c r="V98" s="31">
        <f t="shared" si="28"/>
        <v>31.42730404</v>
      </c>
      <c r="W98" s="31">
        <f t="shared" si="28"/>
        <v>35.57424219</v>
      </c>
      <c r="X98" s="31">
        <f t="shared" si="28"/>
        <v>35.2399</v>
      </c>
      <c r="Y98" s="31">
        <f t="shared" si="28"/>
        <v>5.723927762</v>
      </c>
      <c r="Z98" s="31">
        <f t="shared" si="28"/>
        <v>66.28403983</v>
      </c>
      <c r="AA98" s="31">
        <f t="shared" si="28"/>
        <v>3.95636891</v>
      </c>
      <c r="AB98" s="31">
        <f t="shared" si="28"/>
        <v>5.970256864</v>
      </c>
      <c r="AC98" s="31">
        <f t="shared" si="28"/>
        <v>1.767558851</v>
      </c>
      <c r="AD98" s="31">
        <f t="shared" si="28"/>
        <v>-100.9489859</v>
      </c>
      <c r="AE98" s="31">
        <f t="shared" si="28"/>
        <v>113.9680735</v>
      </c>
      <c r="AF98" s="31">
        <f t="shared" si="28"/>
        <v>9.679996563</v>
      </c>
      <c r="AG98" s="31">
        <f t="shared" si="28"/>
        <v>54.1263882</v>
      </c>
      <c r="AH98" s="31">
        <f t="shared" si="28"/>
        <v>0</v>
      </c>
      <c r="AI98" s="31">
        <f t="shared" si="28"/>
        <v>0</v>
      </c>
      <c r="AJ98" s="31">
        <f t="shared" si="28"/>
        <v>1</v>
      </c>
      <c r="AK98" s="31">
        <f t="shared" si="28"/>
        <v>0</v>
      </c>
      <c r="AL98" s="31">
        <f t="shared" si="28"/>
        <v>46839</v>
      </c>
      <c r="AM98" s="31" t="str">
        <f t="shared" si="28"/>
        <v>#DIV/0!</v>
      </c>
      <c r="AN98" s="31">
        <f t="shared" si="28"/>
        <v>8173.37</v>
      </c>
      <c r="AO98" s="31">
        <f t="shared" si="28"/>
        <v>559.296</v>
      </c>
      <c r="AP98" s="31">
        <f t="shared" si="28"/>
        <v>2893.93</v>
      </c>
      <c r="AQ98" s="31">
        <f t="shared" si="28"/>
        <v>0.8067347863</v>
      </c>
      <c r="AR98" s="31">
        <f t="shared" si="28"/>
        <v>-2.38169763</v>
      </c>
      <c r="AS98" s="31" t="str">
        <f t="shared" si="28"/>
        <v>#DIV/0!</v>
      </c>
      <c r="AT98" s="31">
        <f t="shared" si="28"/>
        <v>8148.85</v>
      </c>
      <c r="AU98" s="31">
        <f t="shared" si="28"/>
        <v>523.8144692</v>
      </c>
      <c r="AV98" s="31">
        <f t="shared" si="28"/>
        <v>1637.615</v>
      </c>
      <c r="AW98" s="31">
        <f t="shared" si="28"/>
        <v>0.67926179</v>
      </c>
      <c r="AX98" s="31">
        <f t="shared" si="28"/>
        <v>0.5</v>
      </c>
      <c r="AY98" s="31">
        <f t="shared" si="28"/>
        <v>160.193622</v>
      </c>
      <c r="AZ98" s="31">
        <f t="shared" si="28"/>
        <v>2.909671614</v>
      </c>
      <c r="BA98" s="31">
        <f t="shared" si="28"/>
        <v>54.40683335</v>
      </c>
      <c r="BB98" s="31">
        <f t="shared" si="28"/>
        <v>0.03303071767</v>
      </c>
      <c r="BC98" s="31">
        <f t="shared" si="28"/>
        <v>0.7776138906</v>
      </c>
      <c r="BD98" s="31">
        <f t="shared" si="28"/>
        <v>486.4787096</v>
      </c>
      <c r="BE98" s="31" t="str">
        <f t="shared" si="28"/>
        <v>#DIV/0!</v>
      </c>
      <c r="BF98" s="31">
        <f t="shared" si="28"/>
        <v>-1435.4</v>
      </c>
      <c r="BG98" s="31">
        <f t="shared" si="28"/>
        <v>-1435.4</v>
      </c>
      <c r="BH98" s="31">
        <f t="shared" si="28"/>
        <v>1.869877136</v>
      </c>
      <c r="BI98" s="31">
        <f t="shared" si="28"/>
        <v>0.3637635748</v>
      </c>
      <c r="BJ98" s="31">
        <f t="shared" si="28"/>
        <v>0.2928539693</v>
      </c>
      <c r="BK98" s="31">
        <f t="shared" si="28"/>
        <v>1.035722969</v>
      </c>
      <c r="BL98" s="31">
        <f t="shared" si="28"/>
        <v>0.5381207504</v>
      </c>
      <c r="BM98" s="31">
        <f t="shared" si="28"/>
        <v>-0.9873636646</v>
      </c>
      <c r="BN98" s="31">
        <f t="shared" si="28"/>
        <v>1.987363665</v>
      </c>
      <c r="BO98" s="31" t="str">
        <f t="shared" si="28"/>
        <v>#DIV/0!</v>
      </c>
      <c r="BP98" s="31" t="str">
        <f t="shared" si="28"/>
        <v>#DIV/0!</v>
      </c>
      <c r="BQ98" s="31" t="str">
        <f t="shared" si="28"/>
        <v>#DIV/0!</v>
      </c>
      <c r="BR98" s="31" t="str">
        <f t="shared" si="28"/>
        <v>#DIV/0!</v>
      </c>
      <c r="BS98" s="31" t="str">
        <f t="shared" si="28"/>
        <v>#DIV/0!</v>
      </c>
      <c r="BT98" s="31" t="str">
        <f t="shared" si="28"/>
        <v>#DIV/0!</v>
      </c>
      <c r="BU98" s="31" t="str">
        <f t="shared" si="28"/>
        <v>#DIV/0!</v>
      </c>
      <c r="BV98" s="31" t="str">
        <f t="shared" si="28"/>
        <v>#DIV/0!</v>
      </c>
      <c r="BW98" s="31" t="str">
        <f t="shared" si="28"/>
        <v>#DIV/0!</v>
      </c>
      <c r="BX98" s="31" t="str">
        <f t="shared" si="28"/>
        <v>#DIV/0!</v>
      </c>
      <c r="BY98" s="31" t="str">
        <f t="shared" si="28"/>
        <v>#DIV/0!</v>
      </c>
      <c r="BZ98" s="31" t="str">
        <f t="shared" si="28"/>
        <v>#DIV/0!</v>
      </c>
      <c r="CA98" s="31" t="str">
        <f t="shared" si="28"/>
        <v>#DIV/0!</v>
      </c>
      <c r="CB98" s="31" t="str">
        <f t="shared" si="28"/>
        <v>#DIV/0!</v>
      </c>
      <c r="CC98" s="31" t="str">
        <f t="shared" si="28"/>
        <v>#DIV/0!</v>
      </c>
      <c r="CD98" s="31" t="str">
        <f t="shared" si="28"/>
        <v>#DIV/0!</v>
      </c>
      <c r="CE98" s="31" t="str">
        <f t="shared" si="28"/>
        <v>#DIV/0!</v>
      </c>
      <c r="CF98" s="31" t="str">
        <f t="shared" si="28"/>
        <v>#DIV/0!</v>
      </c>
      <c r="CG98" s="31" t="str">
        <f t="shared" si="28"/>
        <v>#DIV/0!</v>
      </c>
      <c r="CH98" s="31" t="str">
        <f t="shared" si="28"/>
        <v>#DIV/0!</v>
      </c>
      <c r="CI98" s="31" t="str">
        <f t="shared" si="28"/>
        <v>#DIV/0!</v>
      </c>
      <c r="CJ98" s="31" t="str">
        <f t="shared" si="28"/>
        <v>#DIV/0!</v>
      </c>
      <c r="CK98" s="31" t="str">
        <f t="shared" si="28"/>
        <v>#DIV/0!</v>
      </c>
      <c r="CL98" s="31" t="str">
        <f t="shared" si="28"/>
        <v>#DIV/0!</v>
      </c>
      <c r="CM98" s="31" t="str">
        <f t="shared" si="28"/>
        <v>#DIV/0!</v>
      </c>
      <c r="CN98" s="31" t="str">
        <f t="shared" si="28"/>
        <v>#DIV/0!</v>
      </c>
      <c r="CO98" s="31" t="str">
        <f t="shared" si="28"/>
        <v>#DIV/0!</v>
      </c>
      <c r="CP98" s="31" t="str">
        <f t="shared" si="28"/>
        <v>#DIV/0!</v>
      </c>
      <c r="CQ98" s="31" t="str">
        <f t="shared" si="28"/>
        <v>#DIV/0!</v>
      </c>
      <c r="CR98" s="31" t="str">
        <f t="shared" si="28"/>
        <v>#DIV/0!</v>
      </c>
      <c r="CS98" s="31" t="str">
        <f t="shared" si="28"/>
        <v>#DIV/0!</v>
      </c>
      <c r="CT98" s="31" t="str">
        <f t="shared" si="28"/>
        <v>#DIV/0!</v>
      </c>
      <c r="CU98" s="31" t="str">
        <f t="shared" si="28"/>
        <v>#DIV/0!</v>
      </c>
      <c r="CV98" s="31" t="str">
        <f t="shared" si="28"/>
        <v>#DIV/0!</v>
      </c>
      <c r="CW98" s="31">
        <f t="shared" si="28"/>
        <v>190.029</v>
      </c>
      <c r="CX98" s="31">
        <f t="shared" si="28"/>
        <v>160.193622</v>
      </c>
      <c r="CY98" s="31">
        <f t="shared" si="28"/>
        <v>0.8429956585</v>
      </c>
      <c r="CZ98" s="31">
        <f t="shared" si="28"/>
        <v>0.1653816208</v>
      </c>
      <c r="DA98" s="31">
        <f t="shared" si="28"/>
        <v>6</v>
      </c>
      <c r="DB98" s="31">
        <f t="shared" si="28"/>
        <v>0.5</v>
      </c>
      <c r="DC98" s="31" t="str">
        <f t="shared" si="28"/>
        <v>#DIV/0!</v>
      </c>
      <c r="DD98" s="31">
        <f t="shared" si="28"/>
        <v>2</v>
      </c>
      <c r="DE98" s="31">
        <f t="shared" si="28"/>
        <v>1754881736</v>
      </c>
      <c r="DF98" s="31">
        <f t="shared" si="28"/>
        <v>455.266</v>
      </c>
      <c r="DG98" s="31">
        <f t="shared" si="28"/>
        <v>460.0065</v>
      </c>
      <c r="DH98" s="31">
        <f t="shared" si="28"/>
        <v>39.16335</v>
      </c>
      <c r="DI98" s="31">
        <f t="shared" si="28"/>
        <v>36.52545</v>
      </c>
      <c r="DJ98" s="31">
        <f t="shared" si="28"/>
        <v>452.4375</v>
      </c>
      <c r="DK98" s="31">
        <f t="shared" si="28"/>
        <v>38.61145</v>
      </c>
      <c r="DL98" s="31">
        <f t="shared" si="28"/>
        <v>500.069</v>
      </c>
      <c r="DM98" s="31">
        <f t="shared" si="28"/>
        <v>100.9225</v>
      </c>
      <c r="DN98" s="31">
        <f t="shared" si="28"/>
        <v>0.09979225</v>
      </c>
      <c r="DO98" s="31">
        <f t="shared" si="28"/>
        <v>36.00405</v>
      </c>
      <c r="DP98" s="31">
        <f t="shared" si="28"/>
        <v>35.2399</v>
      </c>
      <c r="DQ98" s="31">
        <f t="shared" si="28"/>
        <v>999.9</v>
      </c>
      <c r="DR98" s="31">
        <f t="shared" si="28"/>
        <v>0</v>
      </c>
      <c r="DS98" s="31">
        <f t="shared" si="28"/>
        <v>0</v>
      </c>
      <c r="DT98" s="31">
        <f t="shared" si="28"/>
        <v>9014.06</v>
      </c>
      <c r="DU98" s="31">
        <f t="shared" si="28"/>
        <v>0</v>
      </c>
      <c r="DV98" s="31">
        <f t="shared" si="28"/>
        <v>732.539</v>
      </c>
      <c r="DW98" s="31">
        <f t="shared" si="28"/>
        <v>190.029</v>
      </c>
      <c r="DX98" s="31">
        <f t="shared" si="28"/>
        <v>0.9000835</v>
      </c>
      <c r="DY98" s="31">
        <f t="shared" si="28"/>
        <v>0.0999168</v>
      </c>
      <c r="DZ98" s="31">
        <f t="shared" si="28"/>
        <v>0</v>
      </c>
      <c r="EA98" s="31">
        <f t="shared" si="28"/>
        <v>521.955</v>
      </c>
      <c r="EB98" s="31">
        <f t="shared" si="28"/>
        <v>0.0999973</v>
      </c>
      <c r="EC98" s="31">
        <f t="shared" si="28"/>
        <v>2078.835</v>
      </c>
      <c r="ED98" s="31">
        <f t="shared" si="28"/>
        <v>1684.365</v>
      </c>
      <c r="EE98" s="31">
        <f t="shared" si="28"/>
        <v>41.1875</v>
      </c>
      <c r="EF98" s="31">
        <f t="shared" si="28"/>
        <v>44.687</v>
      </c>
      <c r="EG98" s="31">
        <f t="shared" si="28"/>
        <v>42.7185</v>
      </c>
      <c r="EH98" s="31">
        <f t="shared" si="28"/>
        <v>44.312</v>
      </c>
      <c r="EI98" s="31">
        <f t="shared" si="28"/>
        <v>43.8125</v>
      </c>
      <c r="EJ98" s="31">
        <f t="shared" si="28"/>
        <v>170.95</v>
      </c>
      <c r="EK98" s="31">
        <f t="shared" si="28"/>
        <v>18.975</v>
      </c>
      <c r="EL98" s="31">
        <f t="shared" si="28"/>
        <v>0</v>
      </c>
      <c r="EM98" s="31">
        <f t="shared" si="28"/>
        <v>135.6</v>
      </c>
      <c r="EN98" s="31">
        <f t="shared" si="28"/>
        <v>0</v>
      </c>
      <c r="EO98" s="31">
        <f t="shared" si="28"/>
        <v>523.8144692</v>
      </c>
      <c r="EP98" s="31">
        <f t="shared" si="28"/>
        <v>-17.36970089</v>
      </c>
      <c r="EQ98" s="31">
        <f t="shared" si="28"/>
        <v>-557.4189736</v>
      </c>
      <c r="ER98" s="31">
        <f t="shared" si="28"/>
        <v>2120.337308</v>
      </c>
      <c r="ES98" s="31">
        <f t="shared" si="28"/>
        <v>15</v>
      </c>
      <c r="ET98" s="31">
        <f t="shared" si="28"/>
        <v>1754881279</v>
      </c>
      <c r="EU98" s="42">
        <f t="shared" si="28"/>
        <v>0.4592476852</v>
      </c>
      <c r="EV98" s="31">
        <f t="shared" si="28"/>
        <v>1754881279</v>
      </c>
      <c r="EW98" s="31">
        <f t="shared" si="28"/>
        <v>1754876535</v>
      </c>
      <c r="EX98" s="31">
        <f t="shared" si="28"/>
        <v>9</v>
      </c>
      <c r="EY98" s="31">
        <f t="shared" si="28"/>
        <v>0.098</v>
      </c>
      <c r="EZ98" s="31">
        <f t="shared" si="28"/>
        <v>-0.002</v>
      </c>
      <c r="FA98" s="31">
        <f t="shared" si="28"/>
        <v>2.828</v>
      </c>
      <c r="FB98" s="31">
        <f t="shared" si="28"/>
        <v>0.297</v>
      </c>
      <c r="FC98" s="31">
        <f t="shared" si="28"/>
        <v>460</v>
      </c>
      <c r="FD98" s="31">
        <f t="shared" si="28"/>
        <v>20</v>
      </c>
      <c r="FE98" s="31">
        <f t="shared" si="28"/>
        <v>0.56</v>
      </c>
      <c r="FF98" s="31">
        <f t="shared" si="28"/>
        <v>0.06</v>
      </c>
      <c r="FG98" s="31">
        <f t="shared" si="28"/>
        <v>100</v>
      </c>
      <c r="FH98" s="31">
        <f t="shared" si="28"/>
        <v>100</v>
      </c>
      <c r="FI98" s="31">
        <f t="shared" si="28"/>
        <v>2.8285</v>
      </c>
      <c r="FJ98" s="31">
        <f t="shared" si="28"/>
        <v>0.5519</v>
      </c>
      <c r="FK98" s="31">
        <f t="shared" si="28"/>
        <v>2.929735077</v>
      </c>
      <c r="FL98" s="31">
        <f t="shared" si="28"/>
        <v>-0.000225954287</v>
      </c>
      <c r="FM98" s="43">
        <f t="shared" si="28"/>
        <v>0.000000005204173011</v>
      </c>
      <c r="FN98" s="43">
        <f t="shared" si="28"/>
        <v>0</v>
      </c>
      <c r="FO98" s="31">
        <f t="shared" si="28"/>
        <v>0.5518733385</v>
      </c>
      <c r="FP98" s="31">
        <f t="shared" si="28"/>
        <v>0</v>
      </c>
      <c r="FQ98" s="31">
        <f t="shared" si="28"/>
        <v>0</v>
      </c>
      <c r="FR98" s="31">
        <f t="shared" si="28"/>
        <v>0</v>
      </c>
      <c r="FS98" s="31">
        <f t="shared" si="28"/>
        <v>1</v>
      </c>
      <c r="FT98" s="31">
        <f t="shared" si="28"/>
        <v>2266</v>
      </c>
      <c r="FU98" s="31">
        <f t="shared" si="28"/>
        <v>1</v>
      </c>
      <c r="FV98" s="31">
        <f t="shared" si="28"/>
        <v>26</v>
      </c>
      <c r="FW98" s="31">
        <f t="shared" si="28"/>
        <v>7.6</v>
      </c>
      <c r="FX98" s="31">
        <f t="shared" si="28"/>
        <v>86.7</v>
      </c>
      <c r="FY98" s="31">
        <f t="shared" si="28"/>
        <v>1.12122</v>
      </c>
      <c r="FZ98" s="31">
        <f t="shared" si="28"/>
        <v>2.55737</v>
      </c>
      <c r="GA98" s="31">
        <f t="shared" si="28"/>
        <v>1.59668</v>
      </c>
      <c r="GB98" s="31">
        <f t="shared" si="28"/>
        <v>2.31628</v>
      </c>
      <c r="GC98" s="31">
        <f t="shared" si="28"/>
        <v>1.5979</v>
      </c>
      <c r="GD98" s="31">
        <f t="shared" si="28"/>
        <v>2.304075</v>
      </c>
      <c r="GE98" s="31">
        <f t="shared" si="28"/>
        <v>44.4736</v>
      </c>
      <c r="GF98" s="31">
        <f t="shared" si="28"/>
        <v>15.56365</v>
      </c>
      <c r="GG98" s="31">
        <f t="shared" si="28"/>
        <v>18</v>
      </c>
      <c r="GH98" s="31">
        <f t="shared" si="28"/>
        <v>507.35</v>
      </c>
      <c r="GI98" s="31">
        <f t="shared" si="28"/>
        <v>465.5945</v>
      </c>
      <c r="GJ98" s="31">
        <f t="shared" si="28"/>
        <v>36.03665</v>
      </c>
      <c r="GK98" s="31">
        <f t="shared" si="28"/>
        <v>35.8519</v>
      </c>
      <c r="GL98" s="31">
        <f t="shared" si="28"/>
        <v>30</v>
      </c>
      <c r="GM98" s="31">
        <f t="shared" si="28"/>
        <v>35.8204</v>
      </c>
      <c r="GN98" s="31">
        <f t="shared" si="28"/>
        <v>35.75405</v>
      </c>
      <c r="GO98" s="31">
        <f t="shared" si="28"/>
        <v>22.49465</v>
      </c>
      <c r="GP98" s="31">
        <f t="shared" si="28"/>
        <v>100</v>
      </c>
      <c r="GQ98" s="31">
        <f t="shared" si="28"/>
        <v>0</v>
      </c>
      <c r="GR98" s="31">
        <f t="shared" si="28"/>
        <v>-999.9</v>
      </c>
      <c r="GS98" s="31">
        <f t="shared" si="28"/>
        <v>460</v>
      </c>
      <c r="GT98" s="31">
        <f t="shared" si="28"/>
        <v>0</v>
      </c>
      <c r="GU98" s="31">
        <f t="shared" si="28"/>
        <v>102.541</v>
      </c>
      <c r="GV98" s="31">
        <f t="shared" si="28"/>
        <v>99.62625</v>
      </c>
    </row>
    <row r="99" ht="14.25" customHeight="1">
      <c r="A99" s="39"/>
      <c r="B99" s="39"/>
      <c r="C99" s="39"/>
      <c r="D99" s="39"/>
      <c r="E99" s="39"/>
      <c r="F99" s="39"/>
      <c r="G99" s="39"/>
      <c r="H99" s="39"/>
      <c r="I99" s="45" t="s">
        <v>113</v>
      </c>
      <c r="J99" s="31" t="s">
        <v>62</v>
      </c>
      <c r="K99" s="31">
        <f t="shared" ref="K99:GV99" si="29">AVERAGE(K60:K61)</f>
        <v>0.002113975712</v>
      </c>
      <c r="L99" s="44">
        <f t="shared" si="29"/>
        <v>2.113975712</v>
      </c>
      <c r="M99" s="44">
        <f t="shared" si="29"/>
        <v>1.878250251</v>
      </c>
      <c r="N99" s="31">
        <f t="shared" si="29"/>
        <v>456.5784973</v>
      </c>
      <c r="O99" s="44">
        <f t="shared" si="29"/>
        <v>417.5312722</v>
      </c>
      <c r="P99" s="31">
        <f t="shared" si="29"/>
        <v>42.18302568</v>
      </c>
      <c r="Q99" s="31">
        <f t="shared" si="29"/>
        <v>46.12797014</v>
      </c>
      <c r="R99" s="44">
        <f t="shared" si="29"/>
        <v>0.1325493227</v>
      </c>
      <c r="S99" s="31">
        <f t="shared" si="29"/>
        <v>2.763256453</v>
      </c>
      <c r="T99" s="31">
        <f t="shared" si="29"/>
        <v>0.1285082028</v>
      </c>
      <c r="U99" s="31">
        <f t="shared" si="29"/>
        <v>0.08066937576</v>
      </c>
      <c r="V99" s="31">
        <f t="shared" si="29"/>
        <v>31.40584104</v>
      </c>
      <c r="W99" s="31">
        <f t="shared" si="29"/>
        <v>34.86530031</v>
      </c>
      <c r="X99" s="31">
        <f t="shared" si="29"/>
        <v>34.6005</v>
      </c>
      <c r="Y99" s="31">
        <f t="shared" si="29"/>
        <v>5.527843699</v>
      </c>
      <c r="Z99" s="31">
        <f t="shared" si="29"/>
        <v>66.94894604</v>
      </c>
      <c r="AA99" s="31">
        <f t="shared" si="29"/>
        <v>3.833468421</v>
      </c>
      <c r="AB99" s="31">
        <f t="shared" si="29"/>
        <v>5.726366964</v>
      </c>
      <c r="AC99" s="31">
        <f t="shared" si="29"/>
        <v>1.694375278</v>
      </c>
      <c r="AD99" s="31">
        <f t="shared" si="29"/>
        <v>-93.22632888</v>
      </c>
      <c r="AE99" s="31">
        <f t="shared" si="29"/>
        <v>96.49466135</v>
      </c>
      <c r="AF99" s="31">
        <f t="shared" si="29"/>
        <v>8.116889958</v>
      </c>
      <c r="AG99" s="31">
        <f t="shared" si="29"/>
        <v>42.79106346</v>
      </c>
      <c r="AH99" s="31">
        <f t="shared" si="29"/>
        <v>0</v>
      </c>
      <c r="AI99" s="31">
        <f t="shared" si="29"/>
        <v>0</v>
      </c>
      <c r="AJ99" s="31">
        <f t="shared" si="29"/>
        <v>1</v>
      </c>
      <c r="AK99" s="31">
        <f t="shared" si="29"/>
        <v>0</v>
      </c>
      <c r="AL99" s="31">
        <f t="shared" si="29"/>
        <v>46870.5</v>
      </c>
      <c r="AM99" s="31" t="str">
        <f t="shared" si="29"/>
        <v>#DIV/0!</v>
      </c>
      <c r="AN99" s="31">
        <f t="shared" si="29"/>
        <v>8173.37</v>
      </c>
      <c r="AO99" s="31">
        <f t="shared" si="29"/>
        <v>559.296</v>
      </c>
      <c r="AP99" s="31">
        <f t="shared" si="29"/>
        <v>2893.93</v>
      </c>
      <c r="AQ99" s="31">
        <f t="shared" si="29"/>
        <v>0.8067347863</v>
      </c>
      <c r="AR99" s="31">
        <f t="shared" si="29"/>
        <v>-2.38169763</v>
      </c>
      <c r="AS99" s="31" t="str">
        <f t="shared" si="29"/>
        <v>#DIV/0!</v>
      </c>
      <c r="AT99" s="31">
        <f t="shared" si="29"/>
        <v>8156.19</v>
      </c>
      <c r="AU99" s="31">
        <f t="shared" si="29"/>
        <v>462.7943</v>
      </c>
      <c r="AV99" s="31">
        <f t="shared" si="29"/>
        <v>1215.815</v>
      </c>
      <c r="AW99" s="31">
        <f t="shared" si="29"/>
        <v>0.6171602061</v>
      </c>
      <c r="AX99" s="31">
        <f t="shared" si="29"/>
        <v>0.5</v>
      </c>
      <c r="AY99" s="31">
        <f t="shared" si="29"/>
        <v>160.0753425</v>
      </c>
      <c r="AZ99" s="31">
        <f t="shared" si="29"/>
        <v>1.878250251</v>
      </c>
      <c r="BA99" s="31">
        <f t="shared" si="29"/>
        <v>49.39626169</v>
      </c>
      <c r="BB99" s="31">
        <f t="shared" si="29"/>
        <v>0.02661198344</v>
      </c>
      <c r="BC99" s="31">
        <f t="shared" si="29"/>
        <v>1.400047453</v>
      </c>
      <c r="BD99" s="31">
        <f t="shared" si="29"/>
        <v>440.6740825</v>
      </c>
      <c r="BE99" s="31" t="str">
        <f t="shared" si="29"/>
        <v>#DIV/0!</v>
      </c>
      <c r="BF99" s="31">
        <f t="shared" si="29"/>
        <v>367.865</v>
      </c>
      <c r="BG99" s="31">
        <f t="shared" si="29"/>
        <v>367.865</v>
      </c>
      <c r="BH99" s="31">
        <f t="shared" si="29"/>
        <v>0.696161223</v>
      </c>
      <c r="BI99" s="31">
        <f t="shared" si="29"/>
        <v>0.8861796942</v>
      </c>
      <c r="BJ99" s="31">
        <f t="shared" si="29"/>
        <v>0.6640620344</v>
      </c>
      <c r="BK99" s="31">
        <f t="shared" si="29"/>
        <v>1.154678791</v>
      </c>
      <c r="BL99" s="31">
        <f t="shared" si="29"/>
        <v>0.718791468</v>
      </c>
      <c r="BM99" s="31">
        <f t="shared" si="29"/>
        <v>0.7042981558</v>
      </c>
      <c r="BN99" s="31">
        <f t="shared" si="29"/>
        <v>0.2957018442</v>
      </c>
      <c r="BO99" s="31" t="str">
        <f t="shared" si="29"/>
        <v>#DIV/0!</v>
      </c>
      <c r="BP99" s="31" t="str">
        <f t="shared" si="29"/>
        <v>#DIV/0!</v>
      </c>
      <c r="BQ99" s="31" t="str">
        <f t="shared" si="29"/>
        <v>#DIV/0!</v>
      </c>
      <c r="BR99" s="31" t="str">
        <f t="shared" si="29"/>
        <v>#DIV/0!</v>
      </c>
      <c r="BS99" s="31" t="str">
        <f t="shared" si="29"/>
        <v>#DIV/0!</v>
      </c>
      <c r="BT99" s="31" t="str">
        <f t="shared" si="29"/>
        <v>#DIV/0!</v>
      </c>
      <c r="BU99" s="31" t="str">
        <f t="shared" si="29"/>
        <v>#DIV/0!</v>
      </c>
      <c r="BV99" s="31" t="str">
        <f t="shared" si="29"/>
        <v>#DIV/0!</v>
      </c>
      <c r="BW99" s="31" t="str">
        <f t="shared" si="29"/>
        <v>#DIV/0!</v>
      </c>
      <c r="BX99" s="31" t="str">
        <f t="shared" si="29"/>
        <v>#DIV/0!</v>
      </c>
      <c r="BY99" s="31" t="str">
        <f t="shared" si="29"/>
        <v>#DIV/0!</v>
      </c>
      <c r="BZ99" s="31" t="str">
        <f t="shared" si="29"/>
        <v>#DIV/0!</v>
      </c>
      <c r="CA99" s="31" t="str">
        <f t="shared" si="29"/>
        <v>#DIV/0!</v>
      </c>
      <c r="CB99" s="31" t="str">
        <f t="shared" si="29"/>
        <v>#DIV/0!</v>
      </c>
      <c r="CC99" s="31" t="str">
        <f t="shared" si="29"/>
        <v>#DIV/0!</v>
      </c>
      <c r="CD99" s="31" t="str">
        <f t="shared" si="29"/>
        <v>#DIV/0!</v>
      </c>
      <c r="CE99" s="31" t="str">
        <f t="shared" si="29"/>
        <v>#DIV/0!</v>
      </c>
      <c r="CF99" s="31" t="str">
        <f t="shared" si="29"/>
        <v>#DIV/0!</v>
      </c>
      <c r="CG99" s="31" t="str">
        <f t="shared" si="29"/>
        <v>#DIV/0!</v>
      </c>
      <c r="CH99" s="31" t="str">
        <f t="shared" si="29"/>
        <v>#DIV/0!</v>
      </c>
      <c r="CI99" s="31" t="str">
        <f t="shared" si="29"/>
        <v>#DIV/0!</v>
      </c>
      <c r="CJ99" s="31" t="str">
        <f t="shared" si="29"/>
        <v>#DIV/0!</v>
      </c>
      <c r="CK99" s="31" t="str">
        <f t="shared" si="29"/>
        <v>#DIV/0!</v>
      </c>
      <c r="CL99" s="31" t="str">
        <f t="shared" si="29"/>
        <v>#DIV/0!</v>
      </c>
      <c r="CM99" s="31" t="str">
        <f t="shared" si="29"/>
        <v>#DIV/0!</v>
      </c>
      <c r="CN99" s="31" t="str">
        <f t="shared" si="29"/>
        <v>#DIV/0!</v>
      </c>
      <c r="CO99" s="31" t="str">
        <f t="shared" si="29"/>
        <v>#DIV/0!</v>
      </c>
      <c r="CP99" s="31" t="str">
        <f t="shared" si="29"/>
        <v>#DIV/0!</v>
      </c>
      <c r="CQ99" s="31" t="str">
        <f t="shared" si="29"/>
        <v>#DIV/0!</v>
      </c>
      <c r="CR99" s="31" t="str">
        <f t="shared" si="29"/>
        <v>#DIV/0!</v>
      </c>
      <c r="CS99" s="31" t="str">
        <f t="shared" si="29"/>
        <v>#DIV/0!</v>
      </c>
      <c r="CT99" s="31" t="str">
        <f t="shared" si="29"/>
        <v>#DIV/0!</v>
      </c>
      <c r="CU99" s="31" t="str">
        <f t="shared" si="29"/>
        <v>#DIV/0!</v>
      </c>
      <c r="CV99" s="31" t="str">
        <f t="shared" si="29"/>
        <v>#DIV/0!</v>
      </c>
      <c r="CW99" s="31">
        <f t="shared" si="29"/>
        <v>189.8875</v>
      </c>
      <c r="CX99" s="31">
        <f t="shared" si="29"/>
        <v>160.0753425</v>
      </c>
      <c r="CY99" s="31">
        <f t="shared" si="29"/>
        <v>0.8430009481</v>
      </c>
      <c r="CZ99" s="31">
        <f t="shared" si="29"/>
        <v>0.1653918298</v>
      </c>
      <c r="DA99" s="31">
        <f t="shared" si="29"/>
        <v>6</v>
      </c>
      <c r="DB99" s="31">
        <f t="shared" si="29"/>
        <v>0.5</v>
      </c>
      <c r="DC99" s="31" t="str">
        <f t="shared" si="29"/>
        <v>#DIV/0!</v>
      </c>
      <c r="DD99" s="31">
        <f t="shared" si="29"/>
        <v>2</v>
      </c>
      <c r="DE99" s="31">
        <f t="shared" si="29"/>
        <v>1754878911</v>
      </c>
      <c r="DF99" s="31">
        <f t="shared" si="29"/>
        <v>456.5785</v>
      </c>
      <c r="DG99" s="31">
        <f t="shared" si="29"/>
        <v>459.99</v>
      </c>
      <c r="DH99" s="31">
        <f t="shared" si="29"/>
        <v>37.944</v>
      </c>
      <c r="DI99" s="31">
        <f t="shared" si="29"/>
        <v>35.504</v>
      </c>
      <c r="DJ99" s="31">
        <f t="shared" si="29"/>
        <v>454.028</v>
      </c>
      <c r="DK99" s="31">
        <f t="shared" si="29"/>
        <v>37.3921</v>
      </c>
      <c r="DL99" s="31">
        <f t="shared" si="29"/>
        <v>500.021</v>
      </c>
      <c r="DM99" s="31">
        <f t="shared" si="29"/>
        <v>100.9295</v>
      </c>
      <c r="DN99" s="31">
        <f t="shared" si="29"/>
        <v>0.1001572</v>
      </c>
      <c r="DO99" s="31">
        <f t="shared" si="29"/>
        <v>35.24775</v>
      </c>
      <c r="DP99" s="31">
        <f t="shared" si="29"/>
        <v>34.6005</v>
      </c>
      <c r="DQ99" s="31">
        <f t="shared" si="29"/>
        <v>999.9</v>
      </c>
      <c r="DR99" s="31">
        <f t="shared" si="29"/>
        <v>0</v>
      </c>
      <c r="DS99" s="31">
        <f t="shared" si="29"/>
        <v>0</v>
      </c>
      <c r="DT99" s="31">
        <f t="shared" si="29"/>
        <v>8997.19</v>
      </c>
      <c r="DU99" s="31">
        <f t="shared" si="29"/>
        <v>0</v>
      </c>
      <c r="DV99" s="31">
        <f t="shared" si="29"/>
        <v>780.451</v>
      </c>
      <c r="DW99" s="31">
        <f t="shared" si="29"/>
        <v>189.8875</v>
      </c>
      <c r="DX99" s="31">
        <f t="shared" si="29"/>
        <v>0.899924</v>
      </c>
      <c r="DY99" s="31">
        <f t="shared" si="29"/>
        <v>0.100076</v>
      </c>
      <c r="DZ99" s="31">
        <f t="shared" si="29"/>
        <v>0</v>
      </c>
      <c r="EA99" s="31">
        <f t="shared" si="29"/>
        <v>463.9475</v>
      </c>
      <c r="EB99" s="31">
        <f t="shared" si="29"/>
        <v>0.0999973</v>
      </c>
      <c r="EC99" s="31">
        <f t="shared" si="29"/>
        <v>2403.005</v>
      </c>
      <c r="ED99" s="31">
        <f t="shared" si="29"/>
        <v>1683.02</v>
      </c>
      <c r="EE99" s="31">
        <f t="shared" si="29"/>
        <v>40.5625</v>
      </c>
      <c r="EF99" s="31">
        <f t="shared" si="29"/>
        <v>44.281</v>
      </c>
      <c r="EG99" s="31">
        <f t="shared" si="29"/>
        <v>42.156</v>
      </c>
      <c r="EH99" s="31">
        <f t="shared" si="29"/>
        <v>43.781</v>
      </c>
      <c r="EI99" s="31">
        <f t="shared" si="29"/>
        <v>43.1875</v>
      </c>
      <c r="EJ99" s="31">
        <f t="shared" si="29"/>
        <v>170.795</v>
      </c>
      <c r="EK99" s="31">
        <f t="shared" si="29"/>
        <v>18.995</v>
      </c>
      <c r="EL99" s="31">
        <f t="shared" si="29"/>
        <v>0</v>
      </c>
      <c r="EM99" s="31">
        <f t="shared" si="29"/>
        <v>156.1</v>
      </c>
      <c r="EN99" s="31">
        <f t="shared" si="29"/>
        <v>0</v>
      </c>
      <c r="EO99" s="31">
        <f t="shared" si="29"/>
        <v>462.7943</v>
      </c>
      <c r="EP99" s="31">
        <f t="shared" si="29"/>
        <v>-13.50711543</v>
      </c>
      <c r="EQ99" s="31">
        <f t="shared" si="29"/>
        <v>-214.4100002</v>
      </c>
      <c r="ER99" s="31">
        <f t="shared" si="29"/>
        <v>2424.1348</v>
      </c>
      <c r="ES99" s="31">
        <f t="shared" si="29"/>
        <v>15</v>
      </c>
      <c r="ET99" s="31">
        <f t="shared" si="29"/>
        <v>1754878662</v>
      </c>
      <c r="EU99" s="42">
        <f t="shared" si="29"/>
        <v>0.4289467593</v>
      </c>
      <c r="EV99" s="31">
        <f t="shared" si="29"/>
        <v>1754878662</v>
      </c>
      <c r="EW99" s="31">
        <f t="shared" si="29"/>
        <v>1754876535</v>
      </c>
      <c r="EX99" s="31">
        <f t="shared" si="29"/>
        <v>4.5</v>
      </c>
      <c r="EY99" s="31">
        <f t="shared" si="29"/>
        <v>0.162</v>
      </c>
      <c r="EZ99" s="31">
        <f t="shared" si="29"/>
        <v>-0.002</v>
      </c>
      <c r="FA99" s="31">
        <f t="shared" si="29"/>
        <v>2.5505</v>
      </c>
      <c r="FB99" s="31">
        <f t="shared" si="29"/>
        <v>0.297</v>
      </c>
      <c r="FC99" s="31">
        <f t="shared" si="29"/>
        <v>460</v>
      </c>
      <c r="FD99" s="31">
        <f t="shared" si="29"/>
        <v>20</v>
      </c>
      <c r="FE99" s="31">
        <f t="shared" si="29"/>
        <v>0.495</v>
      </c>
      <c r="FF99" s="31">
        <f t="shared" si="29"/>
        <v>0.06</v>
      </c>
      <c r="FG99" s="31">
        <f t="shared" si="29"/>
        <v>100</v>
      </c>
      <c r="FH99" s="31">
        <f t="shared" si="29"/>
        <v>100</v>
      </c>
      <c r="FI99" s="31">
        <f t="shared" si="29"/>
        <v>2.5505</v>
      </c>
      <c r="FJ99" s="31">
        <f t="shared" si="29"/>
        <v>0.5519</v>
      </c>
      <c r="FK99" s="31">
        <f t="shared" si="29"/>
        <v>2.581036241</v>
      </c>
      <c r="FL99" s="31">
        <f t="shared" si="29"/>
        <v>-0.000225954287</v>
      </c>
      <c r="FM99" s="43">
        <f t="shared" si="29"/>
        <v>0.000000005204173011</v>
      </c>
      <c r="FN99" s="43">
        <f t="shared" si="29"/>
        <v>0</v>
      </c>
      <c r="FO99" s="31">
        <f t="shared" si="29"/>
        <v>0.5518733385</v>
      </c>
      <c r="FP99" s="31">
        <f t="shared" si="29"/>
        <v>0</v>
      </c>
      <c r="FQ99" s="31">
        <f t="shared" si="29"/>
        <v>0</v>
      </c>
      <c r="FR99" s="31">
        <f t="shared" si="29"/>
        <v>0</v>
      </c>
      <c r="FS99" s="31">
        <f t="shared" si="29"/>
        <v>1</v>
      </c>
      <c r="FT99" s="31">
        <f t="shared" si="29"/>
        <v>2266</v>
      </c>
      <c r="FU99" s="31">
        <f t="shared" si="29"/>
        <v>1</v>
      </c>
      <c r="FV99" s="31">
        <f t="shared" si="29"/>
        <v>26</v>
      </c>
      <c r="FW99" s="31">
        <f t="shared" si="29"/>
        <v>9.85</v>
      </c>
      <c r="FX99" s="31">
        <f t="shared" si="29"/>
        <v>39.6</v>
      </c>
      <c r="FY99" s="31">
        <f t="shared" si="29"/>
        <v>1.10779</v>
      </c>
      <c r="FZ99" s="31">
        <f t="shared" si="29"/>
        <v>2.51831</v>
      </c>
      <c r="GA99" s="31">
        <f t="shared" si="29"/>
        <v>1.59607</v>
      </c>
      <c r="GB99" s="31">
        <f t="shared" si="29"/>
        <v>2.32361</v>
      </c>
      <c r="GC99" s="31">
        <f t="shared" si="29"/>
        <v>1.5979</v>
      </c>
      <c r="GD99" s="31">
        <f t="shared" si="29"/>
        <v>2.34497</v>
      </c>
      <c r="GE99" s="31">
        <f t="shared" si="29"/>
        <v>41.6654</v>
      </c>
      <c r="GF99" s="31">
        <f t="shared" si="29"/>
        <v>15.9839</v>
      </c>
      <c r="GG99" s="31">
        <f t="shared" si="29"/>
        <v>18</v>
      </c>
      <c r="GH99" s="31">
        <f t="shared" si="29"/>
        <v>506.201</v>
      </c>
      <c r="GI99" s="31">
        <f t="shared" si="29"/>
        <v>489.4925</v>
      </c>
      <c r="GJ99" s="31">
        <f t="shared" si="29"/>
        <v>35.1558</v>
      </c>
      <c r="GK99" s="31">
        <f t="shared" si="29"/>
        <v>35.59095</v>
      </c>
      <c r="GL99" s="31">
        <f t="shared" si="29"/>
        <v>30.00055</v>
      </c>
      <c r="GM99" s="31">
        <f t="shared" si="29"/>
        <v>35.50915</v>
      </c>
      <c r="GN99" s="31">
        <f t="shared" si="29"/>
        <v>35.42975</v>
      </c>
      <c r="GO99" s="31">
        <f t="shared" si="29"/>
        <v>22.2265</v>
      </c>
      <c r="GP99" s="31">
        <f t="shared" si="29"/>
        <v>100</v>
      </c>
      <c r="GQ99" s="31">
        <f t="shared" si="29"/>
        <v>0</v>
      </c>
      <c r="GR99" s="31">
        <f t="shared" si="29"/>
        <v>-999.9</v>
      </c>
      <c r="GS99" s="31">
        <f t="shared" si="29"/>
        <v>460</v>
      </c>
      <c r="GT99" s="31">
        <f t="shared" si="29"/>
        <v>0</v>
      </c>
      <c r="GU99" s="31">
        <f t="shared" si="29"/>
        <v>102.648</v>
      </c>
      <c r="GV99" s="31">
        <f t="shared" si="29"/>
        <v>99.56765</v>
      </c>
    </row>
    <row r="100" ht="14.25" customHeight="1">
      <c r="A100" s="39"/>
      <c r="B100" s="39"/>
      <c r="C100" s="39"/>
      <c r="D100" s="39"/>
      <c r="E100" s="39"/>
      <c r="F100" s="39"/>
      <c r="G100" s="39"/>
      <c r="H100" s="39"/>
      <c r="I100" s="45" t="s">
        <v>113</v>
      </c>
      <c r="J100" s="31" t="s">
        <v>64</v>
      </c>
      <c r="K100" s="31">
        <f t="shared" ref="K100:GV100" si="30">AVERAGE(K62:K63)</f>
        <v>0.003113729376</v>
      </c>
      <c r="L100" s="44">
        <f t="shared" si="30"/>
        <v>3.113729376</v>
      </c>
      <c r="M100" s="44">
        <f t="shared" si="30"/>
        <v>1.375552794</v>
      </c>
      <c r="N100" s="31">
        <f t="shared" si="30"/>
        <v>456.612998</v>
      </c>
      <c r="O100" s="44">
        <f t="shared" si="30"/>
        <v>435.1812839</v>
      </c>
      <c r="P100" s="31">
        <f t="shared" si="30"/>
        <v>43.96689332</v>
      </c>
      <c r="Q100" s="31">
        <f t="shared" si="30"/>
        <v>46.13216729</v>
      </c>
      <c r="R100" s="44">
        <f t="shared" si="30"/>
        <v>0.2136101586</v>
      </c>
      <c r="S100" s="31">
        <f t="shared" si="30"/>
        <v>2.759172394</v>
      </c>
      <c r="T100" s="31">
        <f t="shared" si="30"/>
        <v>0.2047146352</v>
      </c>
      <c r="U100" s="31">
        <f t="shared" si="30"/>
        <v>0.1287146153</v>
      </c>
      <c r="V100" s="31">
        <f t="shared" si="30"/>
        <v>31.40870213</v>
      </c>
      <c r="W100" s="31">
        <f t="shared" si="30"/>
        <v>34.20292163</v>
      </c>
      <c r="X100" s="31">
        <f t="shared" si="30"/>
        <v>33.7475</v>
      </c>
      <c r="Y100" s="31">
        <f t="shared" si="30"/>
        <v>5.2687087</v>
      </c>
      <c r="Z100" s="31">
        <f t="shared" si="30"/>
        <v>67.77401421</v>
      </c>
      <c r="AA100" s="31">
        <f t="shared" si="30"/>
        <v>3.799263382</v>
      </c>
      <c r="AB100" s="31">
        <f t="shared" si="30"/>
        <v>5.604937119</v>
      </c>
      <c r="AC100" s="31">
        <f t="shared" si="30"/>
        <v>1.469445318</v>
      </c>
      <c r="AD100" s="31">
        <f t="shared" si="30"/>
        <v>-137.3154655</v>
      </c>
      <c r="AE100" s="31">
        <f t="shared" si="30"/>
        <v>165.3989151</v>
      </c>
      <c r="AF100" s="31">
        <f t="shared" si="30"/>
        <v>13.9038879</v>
      </c>
      <c r="AG100" s="31">
        <f t="shared" si="30"/>
        <v>73.39603965</v>
      </c>
      <c r="AH100" s="31">
        <f t="shared" si="30"/>
        <v>0</v>
      </c>
      <c r="AI100" s="31">
        <f t="shared" si="30"/>
        <v>0</v>
      </c>
      <c r="AJ100" s="31">
        <f t="shared" si="30"/>
        <v>1</v>
      </c>
      <c r="AK100" s="31">
        <f t="shared" si="30"/>
        <v>0</v>
      </c>
      <c r="AL100" s="31">
        <f t="shared" si="30"/>
        <v>46818.5</v>
      </c>
      <c r="AM100" s="31" t="str">
        <f t="shared" si="30"/>
        <v>#DIV/0!</v>
      </c>
      <c r="AN100" s="31">
        <f t="shared" si="30"/>
        <v>8173.37</v>
      </c>
      <c r="AO100" s="31">
        <f t="shared" si="30"/>
        <v>559.296</v>
      </c>
      <c r="AP100" s="31">
        <f t="shared" si="30"/>
        <v>2893.93</v>
      </c>
      <c r="AQ100" s="31">
        <f t="shared" si="30"/>
        <v>0.8067347863</v>
      </c>
      <c r="AR100" s="31">
        <f t="shared" si="30"/>
        <v>-2.38169763</v>
      </c>
      <c r="AS100" s="31" t="str">
        <f t="shared" si="30"/>
        <v>#DIV/0!</v>
      </c>
      <c r="AT100" s="31">
        <f t="shared" si="30"/>
        <v>8171.955</v>
      </c>
      <c r="AU100" s="31">
        <f t="shared" si="30"/>
        <v>352.3056</v>
      </c>
      <c r="AV100" s="31">
        <f t="shared" si="30"/>
        <v>1010.29</v>
      </c>
      <c r="AW100" s="31">
        <f t="shared" si="30"/>
        <v>0.6418067562</v>
      </c>
      <c r="AX100" s="31">
        <f t="shared" si="30"/>
        <v>0.5</v>
      </c>
      <c r="AY100" s="31">
        <f t="shared" si="30"/>
        <v>160.093107</v>
      </c>
      <c r="AZ100" s="31">
        <f t="shared" si="30"/>
        <v>1.375552794</v>
      </c>
      <c r="BA100" s="31">
        <f t="shared" si="30"/>
        <v>51.37380753</v>
      </c>
      <c r="BB100" s="31">
        <f t="shared" si="30"/>
        <v>0.02346951364</v>
      </c>
      <c r="BC100" s="31">
        <f t="shared" si="30"/>
        <v>2.191569115</v>
      </c>
      <c r="BD100" s="31">
        <f t="shared" si="30"/>
        <v>400.5955701</v>
      </c>
      <c r="BE100" s="31" t="str">
        <f t="shared" si="30"/>
        <v>#DIV/0!</v>
      </c>
      <c r="BF100" s="31">
        <f t="shared" si="30"/>
        <v>277.9</v>
      </c>
      <c r="BG100" s="31">
        <f t="shared" si="30"/>
        <v>277.9</v>
      </c>
      <c r="BH100" s="31">
        <f t="shared" si="30"/>
        <v>0.7214002735</v>
      </c>
      <c r="BI100" s="31">
        <f t="shared" si="30"/>
        <v>0.8892486373</v>
      </c>
      <c r="BJ100" s="31">
        <f t="shared" si="30"/>
        <v>0.7169586974</v>
      </c>
      <c r="BK100" s="31">
        <f t="shared" si="30"/>
        <v>2.226449162</v>
      </c>
      <c r="BL100" s="31">
        <f t="shared" si="30"/>
        <v>0.8068245387</v>
      </c>
      <c r="BM100" s="31">
        <f t="shared" si="30"/>
        <v>0.6950529391</v>
      </c>
      <c r="BN100" s="31">
        <f t="shared" si="30"/>
        <v>0.3049470609</v>
      </c>
      <c r="BO100" s="31" t="str">
        <f t="shared" si="30"/>
        <v>#DIV/0!</v>
      </c>
      <c r="BP100" s="31" t="str">
        <f t="shared" si="30"/>
        <v>#DIV/0!</v>
      </c>
      <c r="BQ100" s="31" t="str">
        <f t="shared" si="30"/>
        <v>#DIV/0!</v>
      </c>
      <c r="BR100" s="31" t="str">
        <f t="shared" si="30"/>
        <v>#DIV/0!</v>
      </c>
      <c r="BS100" s="31" t="str">
        <f t="shared" si="30"/>
        <v>#DIV/0!</v>
      </c>
      <c r="BT100" s="31" t="str">
        <f t="shared" si="30"/>
        <v>#DIV/0!</v>
      </c>
      <c r="BU100" s="31" t="str">
        <f t="shared" si="30"/>
        <v>#DIV/0!</v>
      </c>
      <c r="BV100" s="31" t="str">
        <f t="shared" si="30"/>
        <v>#DIV/0!</v>
      </c>
      <c r="BW100" s="31" t="str">
        <f t="shared" si="30"/>
        <v>#DIV/0!</v>
      </c>
      <c r="BX100" s="31" t="str">
        <f t="shared" si="30"/>
        <v>#DIV/0!</v>
      </c>
      <c r="BY100" s="31" t="str">
        <f t="shared" si="30"/>
        <v>#DIV/0!</v>
      </c>
      <c r="BZ100" s="31" t="str">
        <f t="shared" si="30"/>
        <v>#DIV/0!</v>
      </c>
      <c r="CA100" s="31" t="str">
        <f t="shared" si="30"/>
        <v>#DIV/0!</v>
      </c>
      <c r="CB100" s="31" t="str">
        <f t="shared" si="30"/>
        <v>#DIV/0!</v>
      </c>
      <c r="CC100" s="31" t="str">
        <f t="shared" si="30"/>
        <v>#DIV/0!</v>
      </c>
      <c r="CD100" s="31" t="str">
        <f t="shared" si="30"/>
        <v>#DIV/0!</v>
      </c>
      <c r="CE100" s="31" t="str">
        <f t="shared" si="30"/>
        <v>#DIV/0!</v>
      </c>
      <c r="CF100" s="31" t="str">
        <f t="shared" si="30"/>
        <v>#DIV/0!</v>
      </c>
      <c r="CG100" s="31" t="str">
        <f t="shared" si="30"/>
        <v>#DIV/0!</v>
      </c>
      <c r="CH100" s="31" t="str">
        <f t="shared" si="30"/>
        <v>#DIV/0!</v>
      </c>
      <c r="CI100" s="31" t="str">
        <f t="shared" si="30"/>
        <v>#DIV/0!</v>
      </c>
      <c r="CJ100" s="31" t="str">
        <f t="shared" si="30"/>
        <v>#DIV/0!</v>
      </c>
      <c r="CK100" s="31" t="str">
        <f t="shared" si="30"/>
        <v>#DIV/0!</v>
      </c>
      <c r="CL100" s="31" t="str">
        <f t="shared" si="30"/>
        <v>#DIV/0!</v>
      </c>
      <c r="CM100" s="31" t="str">
        <f t="shared" si="30"/>
        <v>#DIV/0!</v>
      </c>
      <c r="CN100" s="31" t="str">
        <f t="shared" si="30"/>
        <v>#DIV/0!</v>
      </c>
      <c r="CO100" s="31" t="str">
        <f t="shared" si="30"/>
        <v>#DIV/0!</v>
      </c>
      <c r="CP100" s="31" t="str">
        <f t="shared" si="30"/>
        <v>#DIV/0!</v>
      </c>
      <c r="CQ100" s="31" t="str">
        <f t="shared" si="30"/>
        <v>#DIV/0!</v>
      </c>
      <c r="CR100" s="31" t="str">
        <f t="shared" si="30"/>
        <v>#DIV/0!</v>
      </c>
      <c r="CS100" s="31" t="str">
        <f t="shared" si="30"/>
        <v>#DIV/0!</v>
      </c>
      <c r="CT100" s="31" t="str">
        <f t="shared" si="30"/>
        <v>#DIV/0!</v>
      </c>
      <c r="CU100" s="31" t="str">
        <f t="shared" si="30"/>
        <v>#DIV/0!</v>
      </c>
      <c r="CV100" s="31" t="str">
        <f t="shared" si="30"/>
        <v>#DIV/0!</v>
      </c>
      <c r="CW100" s="31">
        <f t="shared" si="30"/>
        <v>189.909</v>
      </c>
      <c r="CX100" s="31">
        <f t="shared" si="30"/>
        <v>160.093107</v>
      </c>
      <c r="CY100" s="31">
        <f t="shared" si="30"/>
        <v>0.8429990522</v>
      </c>
      <c r="CZ100" s="31">
        <f t="shared" si="30"/>
        <v>0.1653881708</v>
      </c>
      <c r="DA100" s="31">
        <f t="shared" si="30"/>
        <v>6</v>
      </c>
      <c r="DB100" s="31">
        <f t="shared" si="30"/>
        <v>0.5</v>
      </c>
      <c r="DC100" s="31" t="str">
        <f t="shared" si="30"/>
        <v>#DIV/0!</v>
      </c>
      <c r="DD100" s="31">
        <f t="shared" si="30"/>
        <v>2</v>
      </c>
      <c r="DE100" s="31">
        <f t="shared" si="30"/>
        <v>1754878579</v>
      </c>
      <c r="DF100" s="31">
        <f t="shared" si="30"/>
        <v>456.613</v>
      </c>
      <c r="DG100" s="31">
        <f t="shared" si="30"/>
        <v>459.971</v>
      </c>
      <c r="DH100" s="31">
        <f t="shared" si="30"/>
        <v>37.6048</v>
      </c>
      <c r="DI100" s="31">
        <f t="shared" si="30"/>
        <v>34.0077</v>
      </c>
      <c r="DJ100" s="31">
        <f t="shared" si="30"/>
        <v>454.134</v>
      </c>
      <c r="DK100" s="31">
        <f t="shared" si="30"/>
        <v>37.0529</v>
      </c>
      <c r="DL100" s="31">
        <f t="shared" si="30"/>
        <v>499.7965</v>
      </c>
      <c r="DM100" s="31">
        <f t="shared" si="30"/>
        <v>100.9315</v>
      </c>
      <c r="DN100" s="31">
        <f t="shared" si="30"/>
        <v>0.099723</v>
      </c>
      <c r="DO100" s="31">
        <f t="shared" si="30"/>
        <v>34.8594</v>
      </c>
      <c r="DP100" s="31">
        <f t="shared" si="30"/>
        <v>33.7475</v>
      </c>
      <c r="DQ100" s="31">
        <f t="shared" si="30"/>
        <v>999.9</v>
      </c>
      <c r="DR100" s="31">
        <f t="shared" si="30"/>
        <v>0</v>
      </c>
      <c r="DS100" s="31">
        <f t="shared" si="30"/>
        <v>0</v>
      </c>
      <c r="DT100" s="31">
        <f t="shared" si="30"/>
        <v>8975.315</v>
      </c>
      <c r="DU100" s="31">
        <f t="shared" si="30"/>
        <v>0</v>
      </c>
      <c r="DV100" s="31">
        <f t="shared" si="30"/>
        <v>1395.755</v>
      </c>
      <c r="DW100" s="31">
        <f t="shared" si="30"/>
        <v>189.909</v>
      </c>
      <c r="DX100" s="31">
        <f t="shared" si="30"/>
        <v>0.899968</v>
      </c>
      <c r="DY100" s="31">
        <f t="shared" si="30"/>
        <v>0.100032</v>
      </c>
      <c r="DZ100" s="31">
        <f t="shared" si="30"/>
        <v>0</v>
      </c>
      <c r="EA100" s="31">
        <f t="shared" si="30"/>
        <v>350.515</v>
      </c>
      <c r="EB100" s="31">
        <f t="shared" si="30"/>
        <v>0.0999973</v>
      </c>
      <c r="EC100" s="31">
        <f t="shared" si="30"/>
        <v>2732.955</v>
      </c>
      <c r="ED100" s="31">
        <f t="shared" si="30"/>
        <v>1683.235</v>
      </c>
      <c r="EE100" s="31">
        <f t="shared" si="30"/>
        <v>40.3745</v>
      </c>
      <c r="EF100" s="31">
        <f t="shared" si="30"/>
        <v>44.2495</v>
      </c>
      <c r="EG100" s="31">
        <f t="shared" si="30"/>
        <v>42.0625</v>
      </c>
      <c r="EH100" s="31">
        <f t="shared" si="30"/>
        <v>43.6875</v>
      </c>
      <c r="EI100" s="31">
        <f t="shared" si="30"/>
        <v>42.9375</v>
      </c>
      <c r="EJ100" s="31">
        <f t="shared" si="30"/>
        <v>170.825</v>
      </c>
      <c r="EK100" s="31">
        <f t="shared" si="30"/>
        <v>18.985</v>
      </c>
      <c r="EL100" s="31">
        <f t="shared" si="30"/>
        <v>0</v>
      </c>
      <c r="EM100" s="31">
        <f t="shared" si="30"/>
        <v>182.8</v>
      </c>
      <c r="EN100" s="31">
        <f t="shared" si="30"/>
        <v>0</v>
      </c>
      <c r="EO100" s="31">
        <f t="shared" si="30"/>
        <v>352.3056</v>
      </c>
      <c r="EP100" s="31">
        <f t="shared" si="30"/>
        <v>-7.174081152</v>
      </c>
      <c r="EQ100" s="31">
        <f t="shared" si="30"/>
        <v>-423.6723499</v>
      </c>
      <c r="ER100" s="31">
        <f t="shared" si="30"/>
        <v>2713.126069</v>
      </c>
      <c r="ES100" s="31">
        <f t="shared" si="30"/>
        <v>15</v>
      </c>
      <c r="ET100" s="31">
        <f t="shared" si="30"/>
        <v>1754878321</v>
      </c>
      <c r="EU100" s="42">
        <f t="shared" si="30"/>
        <v>0.425</v>
      </c>
      <c r="EV100" s="31">
        <f t="shared" si="30"/>
        <v>1754878321</v>
      </c>
      <c r="EW100" s="31">
        <f t="shared" si="30"/>
        <v>1754876535</v>
      </c>
      <c r="EX100" s="31">
        <f t="shared" si="30"/>
        <v>4</v>
      </c>
      <c r="EY100" s="31">
        <f t="shared" si="30"/>
        <v>0.181</v>
      </c>
      <c r="EZ100" s="31">
        <f t="shared" si="30"/>
        <v>-0.002</v>
      </c>
      <c r="FA100" s="31">
        <f t="shared" si="30"/>
        <v>2.479</v>
      </c>
      <c r="FB100" s="31">
        <f t="shared" si="30"/>
        <v>0.297</v>
      </c>
      <c r="FC100" s="31">
        <f t="shared" si="30"/>
        <v>460</v>
      </c>
      <c r="FD100" s="31">
        <f t="shared" si="30"/>
        <v>20</v>
      </c>
      <c r="FE100" s="31">
        <f t="shared" si="30"/>
        <v>0.37</v>
      </c>
      <c r="FF100" s="31">
        <f t="shared" si="30"/>
        <v>0.06</v>
      </c>
      <c r="FG100" s="31">
        <f t="shared" si="30"/>
        <v>100</v>
      </c>
      <c r="FH100" s="31">
        <f t="shared" si="30"/>
        <v>100</v>
      </c>
      <c r="FI100" s="31">
        <f t="shared" si="30"/>
        <v>2.479</v>
      </c>
      <c r="FJ100" s="31">
        <f t="shared" si="30"/>
        <v>0.5519</v>
      </c>
      <c r="FK100" s="31">
        <f t="shared" si="30"/>
        <v>2.581036241</v>
      </c>
      <c r="FL100" s="31">
        <f t="shared" si="30"/>
        <v>-0.000225954287</v>
      </c>
      <c r="FM100" s="43">
        <f t="shared" si="30"/>
        <v>0.000000005204173011</v>
      </c>
      <c r="FN100" s="43">
        <f t="shared" si="30"/>
        <v>0</v>
      </c>
      <c r="FO100" s="31">
        <f t="shared" si="30"/>
        <v>0.5518733385</v>
      </c>
      <c r="FP100" s="31">
        <f t="shared" si="30"/>
        <v>0</v>
      </c>
      <c r="FQ100" s="31">
        <f t="shared" si="30"/>
        <v>0</v>
      </c>
      <c r="FR100" s="31">
        <f t="shared" si="30"/>
        <v>0</v>
      </c>
      <c r="FS100" s="31">
        <f t="shared" si="30"/>
        <v>1</v>
      </c>
      <c r="FT100" s="31">
        <f t="shared" si="30"/>
        <v>2266</v>
      </c>
      <c r="FU100" s="31">
        <f t="shared" si="30"/>
        <v>1</v>
      </c>
      <c r="FV100" s="31">
        <f t="shared" si="30"/>
        <v>26</v>
      </c>
      <c r="FW100" s="31">
        <f t="shared" si="30"/>
        <v>4.3</v>
      </c>
      <c r="FX100" s="31">
        <f t="shared" si="30"/>
        <v>34.05</v>
      </c>
      <c r="FY100" s="31">
        <f t="shared" si="30"/>
        <v>1.10596</v>
      </c>
      <c r="FZ100" s="31">
        <f t="shared" si="30"/>
        <v>2.51526</v>
      </c>
      <c r="GA100" s="31">
        <f t="shared" si="30"/>
        <v>1.59668</v>
      </c>
      <c r="GB100" s="31">
        <f t="shared" si="30"/>
        <v>2.32849</v>
      </c>
      <c r="GC100" s="31">
        <f t="shared" si="30"/>
        <v>1.5979</v>
      </c>
      <c r="GD100" s="31">
        <f t="shared" si="30"/>
        <v>2.35657</v>
      </c>
      <c r="GE100" s="31">
        <f t="shared" si="30"/>
        <v>40.3637</v>
      </c>
      <c r="GF100" s="31">
        <f t="shared" si="30"/>
        <v>16.02335</v>
      </c>
      <c r="GG100" s="31">
        <f t="shared" si="30"/>
        <v>18</v>
      </c>
      <c r="GH100" s="31">
        <f t="shared" si="30"/>
        <v>506.202</v>
      </c>
      <c r="GI100" s="31">
        <f t="shared" si="30"/>
        <v>497.329</v>
      </c>
      <c r="GJ100" s="31">
        <f t="shared" si="30"/>
        <v>34.5787</v>
      </c>
      <c r="GK100" s="31">
        <f t="shared" si="30"/>
        <v>34.9056</v>
      </c>
      <c r="GL100" s="31">
        <f t="shared" si="30"/>
        <v>30.001</v>
      </c>
      <c r="GM100" s="31">
        <f t="shared" si="30"/>
        <v>34.78115</v>
      </c>
      <c r="GN100" s="31">
        <f t="shared" si="30"/>
        <v>34.70195</v>
      </c>
      <c r="GO100" s="31">
        <f t="shared" si="30"/>
        <v>22.1921</v>
      </c>
      <c r="GP100" s="31">
        <f t="shared" si="30"/>
        <v>100</v>
      </c>
      <c r="GQ100" s="31">
        <f t="shared" si="30"/>
        <v>0</v>
      </c>
      <c r="GR100" s="31">
        <f t="shared" si="30"/>
        <v>-999.9</v>
      </c>
      <c r="GS100" s="31">
        <f t="shared" si="30"/>
        <v>460</v>
      </c>
      <c r="GT100" s="31">
        <f t="shared" si="30"/>
        <v>0</v>
      </c>
      <c r="GU100" s="31">
        <f t="shared" si="30"/>
        <v>102.754</v>
      </c>
      <c r="GV100" s="31">
        <f t="shared" si="30"/>
        <v>99.6681</v>
      </c>
    </row>
    <row r="101" ht="14.25" customHeight="1">
      <c r="A101" s="39"/>
      <c r="B101" s="39"/>
      <c r="C101" s="39"/>
      <c r="D101" s="39"/>
      <c r="E101" s="39"/>
      <c r="F101" s="39"/>
      <c r="G101" s="39"/>
      <c r="H101" s="39"/>
      <c r="I101" s="45" t="s">
        <v>113</v>
      </c>
      <c r="J101" s="31" t="s">
        <v>66</v>
      </c>
      <c r="K101" s="31">
        <f t="shared" ref="K101:GV101" si="31">AVERAGE(K64:K65)</f>
        <v>0.003739168638</v>
      </c>
      <c r="L101" s="44">
        <f t="shared" si="31"/>
        <v>3.739168638</v>
      </c>
      <c r="M101" s="44">
        <f t="shared" si="31"/>
        <v>5.372599975</v>
      </c>
      <c r="N101" s="31">
        <f t="shared" si="31"/>
        <v>451.5339924</v>
      </c>
      <c r="O101" s="44">
        <f t="shared" si="31"/>
        <v>413.2206324</v>
      </c>
      <c r="P101" s="31">
        <f t="shared" si="31"/>
        <v>41.72620993</v>
      </c>
      <c r="Q101" s="31">
        <f t="shared" si="31"/>
        <v>45.59502254</v>
      </c>
      <c r="R101" s="44">
        <f t="shared" si="31"/>
        <v>0.307801176</v>
      </c>
      <c r="S101" s="31">
        <f t="shared" si="31"/>
        <v>2.762274291</v>
      </c>
      <c r="T101" s="31">
        <f t="shared" si="31"/>
        <v>0.2899310725</v>
      </c>
      <c r="U101" s="31">
        <f t="shared" si="31"/>
        <v>0.1827259327</v>
      </c>
      <c r="V101" s="31">
        <f t="shared" si="31"/>
        <v>31.38719726</v>
      </c>
      <c r="W101" s="31">
        <f t="shared" si="31"/>
        <v>33.61930859</v>
      </c>
      <c r="X101" s="31">
        <f t="shared" si="31"/>
        <v>33.3506</v>
      </c>
      <c r="Y101" s="31">
        <f t="shared" si="31"/>
        <v>5.152658961</v>
      </c>
      <c r="Z101" s="31">
        <f t="shared" si="31"/>
        <v>71.34809208</v>
      </c>
      <c r="AA101" s="31">
        <f t="shared" si="31"/>
        <v>3.907986989</v>
      </c>
      <c r="AB101" s="31">
        <f t="shared" si="31"/>
        <v>5.477580585</v>
      </c>
      <c r="AC101" s="31">
        <f t="shared" si="31"/>
        <v>1.244671972</v>
      </c>
      <c r="AD101" s="31">
        <f t="shared" si="31"/>
        <v>-164.8973369</v>
      </c>
      <c r="AE101" s="31">
        <f t="shared" si="31"/>
        <v>163.1750692</v>
      </c>
      <c r="AF101" s="31">
        <f t="shared" si="31"/>
        <v>13.6475871</v>
      </c>
      <c r="AG101" s="31">
        <f t="shared" si="31"/>
        <v>43.31251665</v>
      </c>
      <c r="AH101" s="31">
        <f t="shared" si="31"/>
        <v>0</v>
      </c>
      <c r="AI101" s="31">
        <f t="shared" si="31"/>
        <v>0</v>
      </c>
      <c r="AJ101" s="31">
        <f t="shared" si="31"/>
        <v>1</v>
      </c>
      <c r="AK101" s="31">
        <f t="shared" si="31"/>
        <v>0</v>
      </c>
      <c r="AL101" s="31">
        <f t="shared" si="31"/>
        <v>46965.5</v>
      </c>
      <c r="AM101" s="31" t="str">
        <f t="shared" si="31"/>
        <v>#DIV/0!</v>
      </c>
      <c r="AN101" s="31">
        <f t="shared" si="31"/>
        <v>8173.37</v>
      </c>
      <c r="AO101" s="31">
        <f t="shared" si="31"/>
        <v>559.296</v>
      </c>
      <c r="AP101" s="31">
        <f t="shared" si="31"/>
        <v>2893.93</v>
      </c>
      <c r="AQ101" s="31">
        <f t="shared" si="31"/>
        <v>0.8067347863</v>
      </c>
      <c r="AR101" s="31">
        <f t="shared" si="31"/>
        <v>-2.38169763</v>
      </c>
      <c r="AS101" s="31" t="str">
        <f t="shared" si="31"/>
        <v>#DIV/0!</v>
      </c>
      <c r="AT101" s="31">
        <f t="shared" si="31"/>
        <v>8176.68</v>
      </c>
      <c r="AU101" s="31">
        <f t="shared" si="31"/>
        <v>648.6555</v>
      </c>
      <c r="AV101" s="31">
        <f t="shared" si="31"/>
        <v>2178.645</v>
      </c>
      <c r="AW101" s="31">
        <f t="shared" si="31"/>
        <v>0.7016711877</v>
      </c>
      <c r="AX101" s="31">
        <f t="shared" si="31"/>
        <v>0.5</v>
      </c>
      <c r="AY101" s="31">
        <f t="shared" si="31"/>
        <v>159.9838935</v>
      </c>
      <c r="AZ101" s="31">
        <f t="shared" si="31"/>
        <v>5.372599975</v>
      </c>
      <c r="BA101" s="31">
        <f t="shared" si="31"/>
        <v>56.12777534</v>
      </c>
      <c r="BB101" s="31">
        <f t="shared" si="31"/>
        <v>0.04847035207</v>
      </c>
      <c r="BC101" s="31">
        <f t="shared" si="31"/>
        <v>0.334781608</v>
      </c>
      <c r="BD101" s="31">
        <f t="shared" si="31"/>
        <v>525.4571384</v>
      </c>
      <c r="BE101" s="31" t="str">
        <f t="shared" si="31"/>
        <v>#DIV/0!</v>
      </c>
      <c r="BF101" s="31">
        <f t="shared" si="31"/>
        <v>-468.57</v>
      </c>
      <c r="BG101" s="31">
        <f t="shared" si="31"/>
        <v>-468.57</v>
      </c>
      <c r="BH101" s="31">
        <f t="shared" si="31"/>
        <v>1.220996859</v>
      </c>
      <c r="BI101" s="31">
        <f t="shared" si="31"/>
        <v>0.5779668462</v>
      </c>
      <c r="BJ101" s="31">
        <f t="shared" si="31"/>
        <v>0.2111179428</v>
      </c>
      <c r="BK101" s="31">
        <f t="shared" si="31"/>
        <v>0.9458810428</v>
      </c>
      <c r="BL101" s="31">
        <f t="shared" si="31"/>
        <v>0.3063799294</v>
      </c>
      <c r="BM101" s="31">
        <f t="shared" si="31"/>
        <v>-0.4112726912</v>
      </c>
      <c r="BN101" s="31">
        <f t="shared" si="31"/>
        <v>1.411272691</v>
      </c>
      <c r="BO101" s="31" t="str">
        <f t="shared" si="31"/>
        <v>#DIV/0!</v>
      </c>
      <c r="BP101" s="31" t="str">
        <f t="shared" si="31"/>
        <v>#DIV/0!</v>
      </c>
      <c r="BQ101" s="31" t="str">
        <f t="shared" si="31"/>
        <v>#DIV/0!</v>
      </c>
      <c r="BR101" s="31" t="str">
        <f t="shared" si="31"/>
        <v>#DIV/0!</v>
      </c>
      <c r="BS101" s="31" t="str">
        <f t="shared" si="31"/>
        <v>#DIV/0!</v>
      </c>
      <c r="BT101" s="31" t="str">
        <f t="shared" si="31"/>
        <v>#DIV/0!</v>
      </c>
      <c r="BU101" s="31" t="str">
        <f t="shared" si="31"/>
        <v>#DIV/0!</v>
      </c>
      <c r="BV101" s="31" t="str">
        <f t="shared" si="31"/>
        <v>#DIV/0!</v>
      </c>
      <c r="BW101" s="31" t="str">
        <f t="shared" si="31"/>
        <v>#DIV/0!</v>
      </c>
      <c r="BX101" s="31" t="str">
        <f t="shared" si="31"/>
        <v>#DIV/0!</v>
      </c>
      <c r="BY101" s="31" t="str">
        <f t="shared" si="31"/>
        <v>#DIV/0!</v>
      </c>
      <c r="BZ101" s="31" t="str">
        <f t="shared" si="31"/>
        <v>#DIV/0!</v>
      </c>
      <c r="CA101" s="31" t="str">
        <f t="shared" si="31"/>
        <v>#DIV/0!</v>
      </c>
      <c r="CB101" s="31" t="str">
        <f t="shared" si="31"/>
        <v>#DIV/0!</v>
      </c>
      <c r="CC101" s="31" t="str">
        <f t="shared" si="31"/>
        <v>#DIV/0!</v>
      </c>
      <c r="CD101" s="31" t="str">
        <f t="shared" si="31"/>
        <v>#DIV/0!</v>
      </c>
      <c r="CE101" s="31" t="str">
        <f t="shared" si="31"/>
        <v>#DIV/0!</v>
      </c>
      <c r="CF101" s="31" t="str">
        <f t="shared" si="31"/>
        <v>#DIV/0!</v>
      </c>
      <c r="CG101" s="31" t="str">
        <f t="shared" si="31"/>
        <v>#DIV/0!</v>
      </c>
      <c r="CH101" s="31" t="str">
        <f t="shared" si="31"/>
        <v>#DIV/0!</v>
      </c>
      <c r="CI101" s="31" t="str">
        <f t="shared" si="31"/>
        <v>#DIV/0!</v>
      </c>
      <c r="CJ101" s="31" t="str">
        <f t="shared" si="31"/>
        <v>#DIV/0!</v>
      </c>
      <c r="CK101" s="31" t="str">
        <f t="shared" si="31"/>
        <v>#DIV/0!</v>
      </c>
      <c r="CL101" s="31" t="str">
        <f t="shared" si="31"/>
        <v>#DIV/0!</v>
      </c>
      <c r="CM101" s="31" t="str">
        <f t="shared" si="31"/>
        <v>#DIV/0!</v>
      </c>
      <c r="CN101" s="31" t="str">
        <f t="shared" si="31"/>
        <v>#DIV/0!</v>
      </c>
      <c r="CO101" s="31" t="str">
        <f t="shared" si="31"/>
        <v>#DIV/0!</v>
      </c>
      <c r="CP101" s="31" t="str">
        <f t="shared" si="31"/>
        <v>#DIV/0!</v>
      </c>
      <c r="CQ101" s="31" t="str">
        <f t="shared" si="31"/>
        <v>#DIV/0!</v>
      </c>
      <c r="CR101" s="31" t="str">
        <f t="shared" si="31"/>
        <v>#DIV/0!</v>
      </c>
      <c r="CS101" s="31" t="str">
        <f t="shared" si="31"/>
        <v>#DIV/0!</v>
      </c>
      <c r="CT101" s="31" t="str">
        <f t="shared" si="31"/>
        <v>#DIV/0!</v>
      </c>
      <c r="CU101" s="31" t="str">
        <f t="shared" si="31"/>
        <v>#DIV/0!</v>
      </c>
      <c r="CV101" s="31" t="str">
        <f t="shared" si="31"/>
        <v>#DIV/0!</v>
      </c>
      <c r="CW101" s="31">
        <f t="shared" si="31"/>
        <v>189.7795</v>
      </c>
      <c r="CX101" s="31">
        <f t="shared" si="31"/>
        <v>159.9838935</v>
      </c>
      <c r="CY101" s="31">
        <f t="shared" si="31"/>
        <v>0.8429988143</v>
      </c>
      <c r="CZ101" s="31">
        <f t="shared" si="31"/>
        <v>0.1653877115</v>
      </c>
      <c r="DA101" s="31">
        <f t="shared" si="31"/>
        <v>6</v>
      </c>
      <c r="DB101" s="31">
        <f t="shared" si="31"/>
        <v>0.5</v>
      </c>
      <c r="DC101" s="31" t="str">
        <f t="shared" si="31"/>
        <v>#DIV/0!</v>
      </c>
      <c r="DD101" s="31">
        <f t="shared" si="31"/>
        <v>2</v>
      </c>
      <c r="DE101" s="31">
        <f t="shared" si="31"/>
        <v>1754885137</v>
      </c>
      <c r="DF101" s="31">
        <f t="shared" si="31"/>
        <v>451.534</v>
      </c>
      <c r="DG101" s="31">
        <f t="shared" si="31"/>
        <v>460.008</v>
      </c>
      <c r="DH101" s="31">
        <f t="shared" si="31"/>
        <v>38.70135</v>
      </c>
      <c r="DI101" s="31">
        <f t="shared" si="31"/>
        <v>34.38755</v>
      </c>
      <c r="DJ101" s="31">
        <f t="shared" si="31"/>
        <v>448.583</v>
      </c>
      <c r="DK101" s="31">
        <f t="shared" si="31"/>
        <v>38.14945</v>
      </c>
      <c r="DL101" s="31">
        <f t="shared" si="31"/>
        <v>499.9475</v>
      </c>
      <c r="DM101" s="31">
        <f t="shared" si="31"/>
        <v>100.878</v>
      </c>
      <c r="DN101" s="31">
        <f t="shared" si="31"/>
        <v>0.10005265</v>
      </c>
      <c r="DO101" s="31">
        <f t="shared" si="31"/>
        <v>34.4463</v>
      </c>
      <c r="DP101" s="31">
        <f t="shared" si="31"/>
        <v>33.3506</v>
      </c>
      <c r="DQ101" s="31">
        <f t="shared" si="31"/>
        <v>999.9</v>
      </c>
      <c r="DR101" s="31">
        <f t="shared" si="31"/>
        <v>0</v>
      </c>
      <c r="DS101" s="31">
        <f t="shared" si="31"/>
        <v>0</v>
      </c>
      <c r="DT101" s="31">
        <f t="shared" si="31"/>
        <v>8996.56</v>
      </c>
      <c r="DU101" s="31">
        <f t="shared" si="31"/>
        <v>0</v>
      </c>
      <c r="DV101" s="31">
        <f t="shared" si="31"/>
        <v>526.621</v>
      </c>
      <c r="DW101" s="31">
        <f t="shared" si="31"/>
        <v>189.7795</v>
      </c>
      <c r="DX101" s="31">
        <f t="shared" si="31"/>
        <v>0.8999705</v>
      </c>
      <c r="DY101" s="31">
        <f t="shared" si="31"/>
        <v>0.1000295</v>
      </c>
      <c r="DZ101" s="31">
        <f t="shared" si="31"/>
        <v>0</v>
      </c>
      <c r="EA101" s="31">
        <f t="shared" si="31"/>
        <v>646.175</v>
      </c>
      <c r="EB101" s="31">
        <f t="shared" si="31"/>
        <v>0.0999973</v>
      </c>
      <c r="EC101" s="31">
        <f t="shared" si="31"/>
        <v>2493.455</v>
      </c>
      <c r="ED101" s="31">
        <f t="shared" si="31"/>
        <v>1682.09</v>
      </c>
      <c r="EE101" s="31">
        <f t="shared" si="31"/>
        <v>39.5</v>
      </c>
      <c r="EF101" s="31">
        <f t="shared" si="31"/>
        <v>42.5935</v>
      </c>
      <c r="EG101" s="31">
        <f t="shared" si="31"/>
        <v>41</v>
      </c>
      <c r="EH101" s="31">
        <f t="shared" si="31"/>
        <v>42.3435</v>
      </c>
      <c r="EI101" s="31">
        <f t="shared" si="31"/>
        <v>42.125</v>
      </c>
      <c r="EJ101" s="31">
        <f t="shared" si="31"/>
        <v>170.705</v>
      </c>
      <c r="EK101" s="31">
        <f t="shared" si="31"/>
        <v>18.97</v>
      </c>
      <c r="EL101" s="31">
        <f t="shared" si="31"/>
        <v>0</v>
      </c>
      <c r="EM101" s="31">
        <f t="shared" si="31"/>
        <v>154.3000001</v>
      </c>
      <c r="EN101" s="31">
        <f t="shared" si="31"/>
        <v>0</v>
      </c>
      <c r="EO101" s="31">
        <f t="shared" si="31"/>
        <v>648.6555</v>
      </c>
      <c r="EP101" s="31">
        <f t="shared" si="31"/>
        <v>-16.3263461</v>
      </c>
      <c r="EQ101" s="31">
        <f t="shared" si="31"/>
        <v>247.5199998</v>
      </c>
      <c r="ER101" s="31">
        <f t="shared" si="31"/>
        <v>2462.0454</v>
      </c>
      <c r="ES101" s="31">
        <f t="shared" si="31"/>
        <v>15</v>
      </c>
      <c r="ET101" s="31">
        <f t="shared" si="31"/>
        <v>1754885086</v>
      </c>
      <c r="EU101" s="42">
        <f t="shared" si="31"/>
        <v>0.5032986111</v>
      </c>
      <c r="EV101" s="31">
        <f t="shared" si="31"/>
        <v>1754885086</v>
      </c>
      <c r="EW101" s="31">
        <f t="shared" si="31"/>
        <v>1754876535</v>
      </c>
      <c r="EX101" s="31">
        <f t="shared" si="31"/>
        <v>15</v>
      </c>
      <c r="EY101" s="31">
        <f t="shared" si="31"/>
        <v>0.058</v>
      </c>
      <c r="EZ101" s="31">
        <f t="shared" si="31"/>
        <v>-0.002</v>
      </c>
      <c r="FA101" s="31">
        <f t="shared" si="31"/>
        <v>2.95</v>
      </c>
      <c r="FB101" s="31">
        <f t="shared" si="31"/>
        <v>0.297</v>
      </c>
      <c r="FC101" s="31">
        <f t="shared" si="31"/>
        <v>460</v>
      </c>
      <c r="FD101" s="31">
        <f t="shared" si="31"/>
        <v>20</v>
      </c>
      <c r="FE101" s="31">
        <f t="shared" si="31"/>
        <v>0.24</v>
      </c>
      <c r="FF101" s="31">
        <f t="shared" si="31"/>
        <v>0.06</v>
      </c>
      <c r="FG101" s="31">
        <f t="shared" si="31"/>
        <v>100</v>
      </c>
      <c r="FH101" s="31">
        <f t="shared" si="31"/>
        <v>100</v>
      </c>
      <c r="FI101" s="31">
        <f t="shared" si="31"/>
        <v>2.951</v>
      </c>
      <c r="FJ101" s="31">
        <f t="shared" si="31"/>
        <v>0.5519</v>
      </c>
      <c r="FK101" s="31">
        <f t="shared" si="31"/>
        <v>3.022479704</v>
      </c>
      <c r="FL101" s="31">
        <f t="shared" si="31"/>
        <v>-0.000225954287</v>
      </c>
      <c r="FM101" s="43">
        <f t="shared" si="31"/>
        <v>0.000000005204173011</v>
      </c>
      <c r="FN101" s="43">
        <f t="shared" si="31"/>
        <v>0</v>
      </c>
      <c r="FO101" s="31">
        <f t="shared" si="31"/>
        <v>0.5518733385</v>
      </c>
      <c r="FP101" s="31">
        <f t="shared" si="31"/>
        <v>0</v>
      </c>
      <c r="FQ101" s="31">
        <f t="shared" si="31"/>
        <v>0</v>
      </c>
      <c r="FR101" s="31">
        <f t="shared" si="31"/>
        <v>0</v>
      </c>
      <c r="FS101" s="31">
        <f t="shared" si="31"/>
        <v>1</v>
      </c>
      <c r="FT101" s="31">
        <f t="shared" si="31"/>
        <v>2266</v>
      </c>
      <c r="FU101" s="31">
        <f t="shared" si="31"/>
        <v>1</v>
      </c>
      <c r="FV101" s="31">
        <f t="shared" si="31"/>
        <v>26</v>
      </c>
      <c r="FW101" s="31">
        <f t="shared" si="31"/>
        <v>6.85</v>
      </c>
      <c r="FX101" s="31">
        <f t="shared" si="31"/>
        <v>143.35</v>
      </c>
      <c r="FY101" s="31">
        <f t="shared" si="31"/>
        <v>1.12366</v>
      </c>
      <c r="FZ101" s="31">
        <f t="shared" si="31"/>
        <v>2.56714</v>
      </c>
      <c r="GA101" s="31">
        <f t="shared" si="31"/>
        <v>1.59668</v>
      </c>
      <c r="GB101" s="31">
        <f t="shared" si="31"/>
        <v>2.31689</v>
      </c>
      <c r="GC101" s="31">
        <f t="shared" si="31"/>
        <v>1.5979</v>
      </c>
      <c r="GD101" s="31">
        <f t="shared" si="31"/>
        <v>2.301635</v>
      </c>
      <c r="GE101" s="31">
        <f t="shared" si="31"/>
        <v>43.6037</v>
      </c>
      <c r="GF101" s="31">
        <f t="shared" si="31"/>
        <v>15.09955</v>
      </c>
      <c r="GG101" s="31">
        <f t="shared" si="31"/>
        <v>18</v>
      </c>
      <c r="GH101" s="31">
        <f t="shared" si="31"/>
        <v>508.0325</v>
      </c>
      <c r="GI101" s="31">
        <f t="shared" si="31"/>
        <v>467.3245</v>
      </c>
      <c r="GJ101" s="31">
        <f t="shared" si="31"/>
        <v>34.5253</v>
      </c>
      <c r="GK101" s="31">
        <f t="shared" si="31"/>
        <v>34.6509</v>
      </c>
      <c r="GL101" s="31">
        <f t="shared" si="31"/>
        <v>29.9997</v>
      </c>
      <c r="GM101" s="31">
        <f t="shared" si="31"/>
        <v>34.71425</v>
      </c>
      <c r="GN101" s="31">
        <f t="shared" si="31"/>
        <v>34.6665</v>
      </c>
      <c r="GO101" s="31">
        <f t="shared" si="31"/>
        <v>22.5449</v>
      </c>
      <c r="GP101" s="31">
        <f t="shared" si="31"/>
        <v>100</v>
      </c>
      <c r="GQ101" s="31">
        <f t="shared" si="31"/>
        <v>0</v>
      </c>
      <c r="GR101" s="31">
        <f t="shared" si="31"/>
        <v>-999.9</v>
      </c>
      <c r="GS101" s="31">
        <f t="shared" si="31"/>
        <v>460</v>
      </c>
      <c r="GT101" s="31">
        <f t="shared" si="31"/>
        <v>15.5881</v>
      </c>
      <c r="GU101" s="31">
        <f t="shared" si="31"/>
        <v>102.6165</v>
      </c>
      <c r="GV101" s="31">
        <f t="shared" si="31"/>
        <v>99.84225</v>
      </c>
    </row>
    <row r="102" ht="14.25" customHeight="1">
      <c r="A102" s="39"/>
      <c r="B102" s="39"/>
      <c r="C102" s="39"/>
      <c r="D102" s="39"/>
      <c r="E102" s="39"/>
      <c r="F102" s="39"/>
      <c r="G102" s="39"/>
      <c r="H102" s="39"/>
      <c r="I102" s="45" t="s">
        <v>113</v>
      </c>
      <c r="J102" s="31" t="s">
        <v>67</v>
      </c>
      <c r="K102" s="31">
        <f t="shared" ref="K102:GV102" si="32">AVERAGE(K66:K67)</f>
        <v>0.004215445567</v>
      </c>
      <c r="L102" s="44">
        <f t="shared" si="32"/>
        <v>4.215445567</v>
      </c>
      <c r="M102" s="44">
        <f t="shared" si="32"/>
        <v>4.229981154</v>
      </c>
      <c r="N102" s="31">
        <f t="shared" si="32"/>
        <v>452.658494</v>
      </c>
      <c r="O102" s="44">
        <f t="shared" si="32"/>
        <v>418.2062871</v>
      </c>
      <c r="P102" s="31">
        <f t="shared" si="32"/>
        <v>42.23378268</v>
      </c>
      <c r="Q102" s="31">
        <f t="shared" si="32"/>
        <v>45.7130403</v>
      </c>
      <c r="R102" s="44">
        <f t="shared" si="32"/>
        <v>0.2956499586</v>
      </c>
      <c r="S102" s="31">
        <f t="shared" si="32"/>
        <v>2.762734862</v>
      </c>
      <c r="T102" s="31">
        <f t="shared" si="32"/>
        <v>0.2790737526</v>
      </c>
      <c r="U102" s="31">
        <f t="shared" si="32"/>
        <v>0.1758326435</v>
      </c>
      <c r="V102" s="31">
        <f t="shared" si="32"/>
        <v>31.42500508</v>
      </c>
      <c r="W102" s="31">
        <f t="shared" si="32"/>
        <v>34.04817628</v>
      </c>
      <c r="X102" s="31">
        <f t="shared" si="32"/>
        <v>34.1662</v>
      </c>
      <c r="Y102" s="31">
        <f t="shared" si="32"/>
        <v>5.392788068</v>
      </c>
      <c r="Z102" s="31">
        <f t="shared" si="32"/>
        <v>69.70075889</v>
      </c>
      <c r="AA102" s="31">
        <f t="shared" si="32"/>
        <v>3.93798388</v>
      </c>
      <c r="AB102" s="31">
        <f t="shared" si="32"/>
        <v>5.649928769</v>
      </c>
      <c r="AC102" s="31">
        <f t="shared" si="32"/>
        <v>1.454804188</v>
      </c>
      <c r="AD102" s="31">
        <f t="shared" si="32"/>
        <v>-185.9011495</v>
      </c>
      <c r="AE102" s="31">
        <f t="shared" si="32"/>
        <v>124.8568879</v>
      </c>
      <c r="AF102" s="31">
        <f t="shared" si="32"/>
        <v>10.51355372</v>
      </c>
      <c r="AG102" s="31">
        <f t="shared" si="32"/>
        <v>-19.10570279</v>
      </c>
      <c r="AH102" s="31">
        <f t="shared" si="32"/>
        <v>0</v>
      </c>
      <c r="AI102" s="31">
        <f t="shared" si="32"/>
        <v>0</v>
      </c>
      <c r="AJ102" s="31">
        <f t="shared" si="32"/>
        <v>1</v>
      </c>
      <c r="AK102" s="31">
        <f t="shared" si="32"/>
        <v>0</v>
      </c>
      <c r="AL102" s="31">
        <f t="shared" si="32"/>
        <v>46893.5</v>
      </c>
      <c r="AM102" s="31" t="str">
        <f t="shared" si="32"/>
        <v>#DIV/0!</v>
      </c>
      <c r="AN102" s="31">
        <f t="shared" si="32"/>
        <v>8173.37</v>
      </c>
      <c r="AO102" s="31">
        <f t="shared" si="32"/>
        <v>559.296</v>
      </c>
      <c r="AP102" s="31">
        <f t="shared" si="32"/>
        <v>2893.93</v>
      </c>
      <c r="AQ102" s="31">
        <f t="shared" si="32"/>
        <v>0.8067347863</v>
      </c>
      <c r="AR102" s="31">
        <f t="shared" si="32"/>
        <v>-2.38169763</v>
      </c>
      <c r="AS102" s="31" t="str">
        <f t="shared" si="32"/>
        <v>#DIV/0!</v>
      </c>
      <c r="AT102" s="31">
        <f t="shared" si="32"/>
        <v>8162.125</v>
      </c>
      <c r="AU102" s="31">
        <f t="shared" si="32"/>
        <v>632.0778231</v>
      </c>
      <c r="AV102" s="31">
        <f t="shared" si="32"/>
        <v>1882.95</v>
      </c>
      <c r="AW102" s="31">
        <f t="shared" si="32"/>
        <v>0.6640859024</v>
      </c>
      <c r="AX102" s="31">
        <f t="shared" si="32"/>
        <v>0.5</v>
      </c>
      <c r="AY102" s="31">
        <f t="shared" si="32"/>
        <v>160.1829645</v>
      </c>
      <c r="AZ102" s="31">
        <f t="shared" si="32"/>
        <v>4.229981154</v>
      </c>
      <c r="BA102" s="31">
        <f t="shared" si="32"/>
        <v>53.18768152</v>
      </c>
      <c r="BB102" s="31">
        <f t="shared" si="32"/>
        <v>0.04127544329</v>
      </c>
      <c r="BC102" s="31">
        <f t="shared" si="32"/>
        <v>0.5404540541</v>
      </c>
      <c r="BD102" s="31">
        <f t="shared" si="32"/>
        <v>506.4864406</v>
      </c>
      <c r="BE102" s="31" t="str">
        <f t="shared" si="32"/>
        <v>#DIV/0!</v>
      </c>
      <c r="BF102" s="31">
        <f t="shared" si="32"/>
        <v>-219.3</v>
      </c>
      <c r="BG102" s="31">
        <f t="shared" si="32"/>
        <v>-219.3</v>
      </c>
      <c r="BH102" s="31">
        <f t="shared" si="32"/>
        <v>1.117455019</v>
      </c>
      <c r="BI102" s="31">
        <f t="shared" si="32"/>
        <v>0.5945657268</v>
      </c>
      <c r="BJ102" s="31">
        <f t="shared" si="32"/>
        <v>0.3245004159</v>
      </c>
      <c r="BK102" s="31">
        <f t="shared" si="32"/>
        <v>0.9458613958</v>
      </c>
      <c r="BL102" s="31">
        <f t="shared" si="32"/>
        <v>0.4330357564</v>
      </c>
      <c r="BM102" s="31">
        <f t="shared" si="32"/>
        <v>-0.2065563852</v>
      </c>
      <c r="BN102" s="31">
        <f t="shared" si="32"/>
        <v>1.206556385</v>
      </c>
      <c r="BO102" s="31" t="str">
        <f t="shared" si="32"/>
        <v>#DIV/0!</v>
      </c>
      <c r="BP102" s="31" t="str">
        <f t="shared" si="32"/>
        <v>#DIV/0!</v>
      </c>
      <c r="BQ102" s="31" t="str">
        <f t="shared" si="32"/>
        <v>#DIV/0!</v>
      </c>
      <c r="BR102" s="31" t="str">
        <f t="shared" si="32"/>
        <v>#DIV/0!</v>
      </c>
      <c r="BS102" s="31" t="str">
        <f t="shared" si="32"/>
        <v>#DIV/0!</v>
      </c>
      <c r="BT102" s="31" t="str">
        <f t="shared" si="32"/>
        <v>#DIV/0!</v>
      </c>
      <c r="BU102" s="31" t="str">
        <f t="shared" si="32"/>
        <v>#DIV/0!</v>
      </c>
      <c r="BV102" s="31" t="str">
        <f t="shared" si="32"/>
        <v>#DIV/0!</v>
      </c>
      <c r="BW102" s="31" t="str">
        <f t="shared" si="32"/>
        <v>#DIV/0!</v>
      </c>
      <c r="BX102" s="31" t="str">
        <f t="shared" si="32"/>
        <v>#DIV/0!</v>
      </c>
      <c r="BY102" s="31" t="str">
        <f t="shared" si="32"/>
        <v>#DIV/0!</v>
      </c>
      <c r="BZ102" s="31" t="str">
        <f t="shared" si="32"/>
        <v>#DIV/0!</v>
      </c>
      <c r="CA102" s="31" t="str">
        <f t="shared" si="32"/>
        <v>#DIV/0!</v>
      </c>
      <c r="CB102" s="31" t="str">
        <f t="shared" si="32"/>
        <v>#DIV/0!</v>
      </c>
      <c r="CC102" s="31" t="str">
        <f t="shared" si="32"/>
        <v>#DIV/0!</v>
      </c>
      <c r="CD102" s="31" t="str">
        <f t="shared" si="32"/>
        <v>#DIV/0!</v>
      </c>
      <c r="CE102" s="31" t="str">
        <f t="shared" si="32"/>
        <v>#DIV/0!</v>
      </c>
      <c r="CF102" s="31" t="str">
        <f t="shared" si="32"/>
        <v>#DIV/0!</v>
      </c>
      <c r="CG102" s="31" t="str">
        <f t="shared" si="32"/>
        <v>#DIV/0!</v>
      </c>
      <c r="CH102" s="31" t="str">
        <f t="shared" si="32"/>
        <v>#DIV/0!</v>
      </c>
      <c r="CI102" s="31" t="str">
        <f t="shared" si="32"/>
        <v>#DIV/0!</v>
      </c>
      <c r="CJ102" s="31" t="str">
        <f t="shared" si="32"/>
        <v>#DIV/0!</v>
      </c>
      <c r="CK102" s="31" t="str">
        <f t="shared" si="32"/>
        <v>#DIV/0!</v>
      </c>
      <c r="CL102" s="31" t="str">
        <f t="shared" si="32"/>
        <v>#DIV/0!</v>
      </c>
      <c r="CM102" s="31" t="str">
        <f t="shared" si="32"/>
        <v>#DIV/0!</v>
      </c>
      <c r="CN102" s="31" t="str">
        <f t="shared" si="32"/>
        <v>#DIV/0!</v>
      </c>
      <c r="CO102" s="31" t="str">
        <f t="shared" si="32"/>
        <v>#DIV/0!</v>
      </c>
      <c r="CP102" s="31" t="str">
        <f t="shared" si="32"/>
        <v>#DIV/0!</v>
      </c>
      <c r="CQ102" s="31" t="str">
        <f t="shared" si="32"/>
        <v>#DIV/0!</v>
      </c>
      <c r="CR102" s="31" t="str">
        <f t="shared" si="32"/>
        <v>#DIV/0!</v>
      </c>
      <c r="CS102" s="31" t="str">
        <f t="shared" si="32"/>
        <v>#DIV/0!</v>
      </c>
      <c r="CT102" s="31" t="str">
        <f t="shared" si="32"/>
        <v>#DIV/0!</v>
      </c>
      <c r="CU102" s="31" t="str">
        <f t="shared" si="32"/>
        <v>#DIV/0!</v>
      </c>
      <c r="CV102" s="31" t="str">
        <f t="shared" si="32"/>
        <v>#DIV/0!</v>
      </c>
      <c r="CW102" s="31">
        <f t="shared" si="32"/>
        <v>190.0165</v>
      </c>
      <c r="CX102" s="31">
        <f t="shared" si="32"/>
        <v>160.1829645</v>
      </c>
      <c r="CY102" s="31">
        <f t="shared" si="32"/>
        <v>0.8429950268</v>
      </c>
      <c r="CZ102" s="31">
        <f t="shared" si="32"/>
        <v>0.1653804017</v>
      </c>
      <c r="DA102" s="31">
        <f t="shared" si="32"/>
        <v>6</v>
      </c>
      <c r="DB102" s="31">
        <f t="shared" si="32"/>
        <v>0.5</v>
      </c>
      <c r="DC102" s="31" t="str">
        <f t="shared" si="32"/>
        <v>#DIV/0!</v>
      </c>
      <c r="DD102" s="31">
        <f t="shared" si="32"/>
        <v>2</v>
      </c>
      <c r="DE102" s="31">
        <f t="shared" si="32"/>
        <v>1754884822</v>
      </c>
      <c r="DF102" s="31">
        <f t="shared" si="32"/>
        <v>452.6585</v>
      </c>
      <c r="DG102" s="31">
        <f t="shared" si="32"/>
        <v>460.0255</v>
      </c>
      <c r="DH102" s="31">
        <f t="shared" si="32"/>
        <v>38.9946</v>
      </c>
      <c r="DI102" s="31">
        <f t="shared" si="32"/>
        <v>34.13245</v>
      </c>
      <c r="DJ102" s="31">
        <f t="shared" si="32"/>
        <v>449.7655</v>
      </c>
      <c r="DK102" s="31">
        <f t="shared" si="32"/>
        <v>38.44275</v>
      </c>
      <c r="DL102" s="31">
        <f t="shared" si="32"/>
        <v>499.903</v>
      </c>
      <c r="DM102" s="31">
        <f t="shared" si="32"/>
        <v>100.888</v>
      </c>
      <c r="DN102" s="31">
        <f t="shared" si="32"/>
        <v>0.0999226</v>
      </c>
      <c r="DO102" s="31">
        <f t="shared" si="32"/>
        <v>35.00455</v>
      </c>
      <c r="DP102" s="31">
        <f t="shared" si="32"/>
        <v>34.1662</v>
      </c>
      <c r="DQ102" s="31">
        <f t="shared" si="32"/>
        <v>999.9</v>
      </c>
      <c r="DR102" s="31">
        <f t="shared" si="32"/>
        <v>0</v>
      </c>
      <c r="DS102" s="31">
        <f t="shared" si="32"/>
        <v>0</v>
      </c>
      <c r="DT102" s="31">
        <f t="shared" si="32"/>
        <v>8998.125</v>
      </c>
      <c r="DU102" s="31">
        <f t="shared" si="32"/>
        <v>0</v>
      </c>
      <c r="DV102" s="31">
        <f t="shared" si="32"/>
        <v>467.855</v>
      </c>
      <c r="DW102" s="31">
        <f t="shared" si="32"/>
        <v>190.0165</v>
      </c>
      <c r="DX102" s="31">
        <f t="shared" si="32"/>
        <v>0.90011</v>
      </c>
      <c r="DY102" s="31">
        <f t="shared" si="32"/>
        <v>0.0998905</v>
      </c>
      <c r="DZ102" s="31">
        <f t="shared" si="32"/>
        <v>0</v>
      </c>
      <c r="EA102" s="31">
        <f t="shared" si="32"/>
        <v>629.2225</v>
      </c>
      <c r="EB102" s="31">
        <f t="shared" si="32"/>
        <v>0.0999973</v>
      </c>
      <c r="EC102" s="31">
        <f t="shared" si="32"/>
        <v>2393.645</v>
      </c>
      <c r="ED102" s="31">
        <f t="shared" si="32"/>
        <v>1684.275</v>
      </c>
      <c r="EE102" s="31">
        <f t="shared" si="32"/>
        <v>40.187</v>
      </c>
      <c r="EF102" s="31">
        <f t="shared" si="32"/>
        <v>43.3125</v>
      </c>
      <c r="EG102" s="31">
        <f t="shared" si="32"/>
        <v>41.687</v>
      </c>
      <c r="EH102" s="31">
        <f t="shared" si="32"/>
        <v>42.9995</v>
      </c>
      <c r="EI102" s="31">
        <f t="shared" si="32"/>
        <v>42.75</v>
      </c>
      <c r="EJ102" s="31">
        <f t="shared" si="32"/>
        <v>170.945</v>
      </c>
      <c r="EK102" s="31">
        <f t="shared" si="32"/>
        <v>18.97</v>
      </c>
      <c r="EL102" s="31">
        <f t="shared" si="32"/>
        <v>0</v>
      </c>
      <c r="EM102" s="31">
        <f t="shared" si="32"/>
        <v>131.5</v>
      </c>
      <c r="EN102" s="31">
        <f t="shared" si="32"/>
        <v>0</v>
      </c>
      <c r="EO102" s="31">
        <f t="shared" si="32"/>
        <v>632.0778231</v>
      </c>
      <c r="EP102" s="31">
        <f t="shared" si="32"/>
        <v>-21.89559833</v>
      </c>
      <c r="EQ102" s="31">
        <f t="shared" si="32"/>
        <v>71.42713649</v>
      </c>
      <c r="ER102" s="31">
        <f t="shared" si="32"/>
        <v>2391.291138</v>
      </c>
      <c r="ES102" s="31">
        <f t="shared" si="32"/>
        <v>15</v>
      </c>
      <c r="ET102" s="31">
        <f t="shared" si="32"/>
        <v>1754884367</v>
      </c>
      <c r="EU102" s="42">
        <f t="shared" si="32"/>
        <v>0.4949884259</v>
      </c>
      <c r="EV102" s="31">
        <f t="shared" si="32"/>
        <v>1754884367</v>
      </c>
      <c r="EW102" s="31">
        <f t="shared" si="32"/>
        <v>1754876535</v>
      </c>
      <c r="EX102" s="31">
        <f t="shared" si="32"/>
        <v>14</v>
      </c>
      <c r="EY102" s="31">
        <f t="shared" si="32"/>
        <v>-0.085</v>
      </c>
      <c r="EZ102" s="31">
        <f t="shared" si="32"/>
        <v>-0.002</v>
      </c>
      <c r="FA102" s="31">
        <f t="shared" si="32"/>
        <v>2.891</v>
      </c>
      <c r="FB102" s="31">
        <f t="shared" si="32"/>
        <v>0.297</v>
      </c>
      <c r="FC102" s="31">
        <f t="shared" si="32"/>
        <v>460</v>
      </c>
      <c r="FD102" s="31">
        <f t="shared" si="32"/>
        <v>20</v>
      </c>
      <c r="FE102" s="31">
        <f t="shared" si="32"/>
        <v>0.64</v>
      </c>
      <c r="FF102" s="31">
        <f t="shared" si="32"/>
        <v>0.06</v>
      </c>
      <c r="FG102" s="31">
        <f t="shared" si="32"/>
        <v>100</v>
      </c>
      <c r="FH102" s="31">
        <f t="shared" si="32"/>
        <v>100</v>
      </c>
      <c r="FI102" s="31">
        <f t="shared" si="32"/>
        <v>2.893</v>
      </c>
      <c r="FJ102" s="31">
        <f t="shared" si="32"/>
        <v>0.55185</v>
      </c>
      <c r="FK102" s="31">
        <f t="shared" si="32"/>
        <v>2.993279494</v>
      </c>
      <c r="FL102" s="31">
        <f t="shared" si="32"/>
        <v>-0.000225954287</v>
      </c>
      <c r="FM102" s="43">
        <f t="shared" si="32"/>
        <v>0.000000005204173011</v>
      </c>
      <c r="FN102" s="43">
        <f t="shared" si="32"/>
        <v>0</v>
      </c>
      <c r="FO102" s="31">
        <f t="shared" si="32"/>
        <v>0.5518733385</v>
      </c>
      <c r="FP102" s="31">
        <f t="shared" si="32"/>
        <v>0</v>
      </c>
      <c r="FQ102" s="31">
        <f t="shared" si="32"/>
        <v>0</v>
      </c>
      <c r="FR102" s="31">
        <f t="shared" si="32"/>
        <v>0</v>
      </c>
      <c r="FS102" s="31">
        <f t="shared" si="32"/>
        <v>1</v>
      </c>
      <c r="FT102" s="31">
        <f t="shared" si="32"/>
        <v>2266</v>
      </c>
      <c r="FU102" s="31">
        <f t="shared" si="32"/>
        <v>1</v>
      </c>
      <c r="FV102" s="31">
        <f t="shared" si="32"/>
        <v>26</v>
      </c>
      <c r="FW102" s="31">
        <f t="shared" si="32"/>
        <v>7.55</v>
      </c>
      <c r="FX102" s="31">
        <f t="shared" si="32"/>
        <v>138.1</v>
      </c>
      <c r="FY102" s="31">
        <f t="shared" si="32"/>
        <v>1.12366</v>
      </c>
      <c r="FZ102" s="31">
        <f t="shared" si="32"/>
        <v>2.5592</v>
      </c>
      <c r="GA102" s="31">
        <f t="shared" si="32"/>
        <v>1.59668</v>
      </c>
      <c r="GB102" s="31">
        <f t="shared" si="32"/>
        <v>2.31689</v>
      </c>
      <c r="GC102" s="31">
        <f t="shared" si="32"/>
        <v>1.5979</v>
      </c>
      <c r="GD102" s="31">
        <f t="shared" si="32"/>
        <v>2.354735</v>
      </c>
      <c r="GE102" s="31">
        <f t="shared" si="32"/>
        <v>43.76805</v>
      </c>
      <c r="GF102" s="31">
        <f t="shared" si="32"/>
        <v>15.14335</v>
      </c>
      <c r="GG102" s="31">
        <f t="shared" si="32"/>
        <v>18</v>
      </c>
      <c r="GH102" s="31">
        <f t="shared" si="32"/>
        <v>508.218</v>
      </c>
      <c r="GI102" s="31">
        <f t="shared" si="32"/>
        <v>466.013</v>
      </c>
      <c r="GJ102" s="31">
        <f t="shared" si="32"/>
        <v>35.0891</v>
      </c>
      <c r="GK102" s="31">
        <f t="shared" si="32"/>
        <v>35.0289</v>
      </c>
      <c r="GL102" s="31">
        <f t="shared" si="32"/>
        <v>29.9996</v>
      </c>
      <c r="GM102" s="31">
        <f t="shared" si="32"/>
        <v>35.0582</v>
      </c>
      <c r="GN102" s="31">
        <f t="shared" si="32"/>
        <v>34.998</v>
      </c>
      <c r="GO102" s="31">
        <f t="shared" si="32"/>
        <v>22.54405</v>
      </c>
      <c r="GP102" s="31">
        <f t="shared" si="32"/>
        <v>100</v>
      </c>
      <c r="GQ102" s="31">
        <f t="shared" si="32"/>
        <v>0</v>
      </c>
      <c r="GR102" s="31">
        <f t="shared" si="32"/>
        <v>-999.9</v>
      </c>
      <c r="GS102" s="31">
        <f t="shared" si="32"/>
        <v>460</v>
      </c>
      <c r="GT102" s="31">
        <f t="shared" si="32"/>
        <v>15.5881</v>
      </c>
      <c r="GU102" s="31">
        <f t="shared" si="32"/>
        <v>102.576</v>
      </c>
      <c r="GV102" s="31">
        <f t="shared" si="32"/>
        <v>99.7856</v>
      </c>
    </row>
    <row r="103" ht="14.2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 s="39"/>
      <c r="GL103" s="39"/>
      <c r="GM103" s="39"/>
      <c r="GN103" s="39"/>
      <c r="GO103" s="39"/>
      <c r="GP103" s="39"/>
      <c r="GQ103" s="39"/>
      <c r="GR103" s="39"/>
      <c r="GS103" s="39"/>
      <c r="GT103" s="39"/>
      <c r="GU103" s="39"/>
      <c r="GV103" s="39"/>
    </row>
    <row r="104" ht="14.2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1" t="s">
        <v>53</v>
      </c>
      <c r="K104" s="39"/>
      <c r="L104" s="31">
        <f t="shared" ref="L104:AI104" si="33">(AVERAGE(L72,L80,L88,L96))</f>
        <v>3.529874873</v>
      </c>
      <c r="M104" s="31">
        <f t="shared" si="33"/>
        <v>2.003006626</v>
      </c>
      <c r="N104" s="31">
        <f t="shared" si="33"/>
        <v>455.6717471</v>
      </c>
      <c r="O104" s="31">
        <f t="shared" si="33"/>
        <v>427.3346878</v>
      </c>
      <c r="P104" s="31">
        <f t="shared" si="33"/>
        <v>43.16149539</v>
      </c>
      <c r="Q104" s="31">
        <f t="shared" si="33"/>
        <v>46.02362383</v>
      </c>
      <c r="R104" s="31">
        <f t="shared" si="33"/>
        <v>0.2139035052</v>
      </c>
      <c r="S104" s="31">
        <f t="shared" si="33"/>
        <v>2.762153232</v>
      </c>
      <c r="T104" s="31">
        <f t="shared" si="33"/>
        <v>0.2042705429</v>
      </c>
      <c r="U104" s="31">
        <f t="shared" si="33"/>
        <v>0.1284959975</v>
      </c>
      <c r="V104" s="31">
        <f t="shared" si="33"/>
        <v>31.41370714</v>
      </c>
      <c r="W104" s="31">
        <f t="shared" si="33"/>
        <v>34.71251893</v>
      </c>
      <c r="X104" s="31">
        <f t="shared" si="33"/>
        <v>34.95035</v>
      </c>
      <c r="Y104" s="31">
        <f t="shared" si="33"/>
        <v>5.636892114</v>
      </c>
      <c r="Z104" s="31">
        <f t="shared" si="33"/>
        <v>67.6047385</v>
      </c>
      <c r="AA104" s="31">
        <f t="shared" si="33"/>
        <v>3.920844428</v>
      </c>
      <c r="AB104" s="31">
        <f t="shared" si="33"/>
        <v>5.801850518</v>
      </c>
      <c r="AC104" s="31">
        <f t="shared" si="33"/>
        <v>1.716047686</v>
      </c>
      <c r="AD104" s="31">
        <f t="shared" si="33"/>
        <v>-155.6674819</v>
      </c>
      <c r="AE104" s="31">
        <f t="shared" si="33"/>
        <v>79.10037465</v>
      </c>
      <c r="AF104" s="31">
        <f t="shared" si="33"/>
        <v>6.67883882</v>
      </c>
      <c r="AG104" s="31">
        <f t="shared" si="33"/>
        <v>-38.47456128</v>
      </c>
      <c r="AH104" s="31">
        <f t="shared" si="33"/>
        <v>0</v>
      </c>
      <c r="AI104" s="31">
        <f t="shared" si="33"/>
        <v>0</v>
      </c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  <c r="FX104" s="39"/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 s="39"/>
      <c r="GL104" s="39"/>
      <c r="GM104" s="39"/>
      <c r="GN104" s="39"/>
      <c r="GO104" s="39"/>
      <c r="GP104" s="39"/>
      <c r="GQ104" s="39"/>
      <c r="GR104" s="39"/>
      <c r="GS104" s="39"/>
      <c r="GT104" s="39"/>
      <c r="GU104" s="39"/>
      <c r="GV104" s="39"/>
    </row>
    <row r="105" ht="14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1" t="s">
        <v>57</v>
      </c>
      <c r="K105" s="39"/>
      <c r="L105" s="31">
        <f t="shared" ref="L105:AI105" si="34">(AVERAGE(L73,L81,L89,L97))</f>
        <v>3.81856183</v>
      </c>
      <c r="M105" s="31">
        <f t="shared" si="34"/>
        <v>3.32616046</v>
      </c>
      <c r="N105" s="31">
        <f t="shared" si="34"/>
        <v>453.9126203</v>
      </c>
      <c r="O105" s="31">
        <f t="shared" si="34"/>
        <v>423.4874647</v>
      </c>
      <c r="P105" s="31">
        <f t="shared" si="34"/>
        <v>42.77936669</v>
      </c>
      <c r="Q105" s="31">
        <f t="shared" si="34"/>
        <v>45.85306499</v>
      </c>
      <c r="R105" s="31">
        <f t="shared" si="34"/>
        <v>0.302235735</v>
      </c>
      <c r="S105" s="31">
        <f t="shared" si="34"/>
        <v>2.763358111</v>
      </c>
      <c r="T105" s="31">
        <f t="shared" si="34"/>
        <v>0.2817683713</v>
      </c>
      <c r="U105" s="31">
        <f t="shared" si="34"/>
        <v>0.1778164086</v>
      </c>
      <c r="V105" s="31">
        <f t="shared" si="34"/>
        <v>31.43009419</v>
      </c>
      <c r="W105" s="31">
        <f t="shared" si="34"/>
        <v>34.21526825</v>
      </c>
      <c r="X105" s="31">
        <f t="shared" si="34"/>
        <v>34.3040125</v>
      </c>
      <c r="Y105" s="31">
        <f t="shared" si="34"/>
        <v>5.441989343</v>
      </c>
      <c r="Z105" s="31">
        <f t="shared" si="34"/>
        <v>70.58600125</v>
      </c>
      <c r="AA105" s="31">
        <f t="shared" si="34"/>
        <v>3.997541714</v>
      </c>
      <c r="AB105" s="31">
        <f t="shared" si="34"/>
        <v>5.673650553</v>
      </c>
      <c r="AC105" s="31">
        <f t="shared" si="34"/>
        <v>1.444447629</v>
      </c>
      <c r="AD105" s="31">
        <f t="shared" si="34"/>
        <v>-168.3985767</v>
      </c>
      <c r="AE105" s="31">
        <f t="shared" si="34"/>
        <v>113.1061564</v>
      </c>
      <c r="AF105" s="31">
        <f t="shared" si="34"/>
        <v>9.507112739</v>
      </c>
      <c r="AG105" s="31">
        <f t="shared" si="34"/>
        <v>-14.35521341</v>
      </c>
      <c r="AH105" s="31">
        <f t="shared" si="34"/>
        <v>0</v>
      </c>
      <c r="AI105" s="31">
        <f t="shared" si="34"/>
        <v>0</v>
      </c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 s="39"/>
      <c r="GL105" s="39"/>
      <c r="GM105" s="39"/>
      <c r="GN105" s="39"/>
      <c r="GO105" s="39"/>
      <c r="GP105" s="39"/>
      <c r="GQ105" s="39"/>
      <c r="GR105" s="39"/>
      <c r="GS105" s="39"/>
      <c r="GT105" s="39"/>
      <c r="GU105" s="39"/>
      <c r="GV105" s="39"/>
    </row>
    <row r="106" ht="14.2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1" t="s">
        <v>59</v>
      </c>
      <c r="K106" s="39"/>
      <c r="L106" s="31">
        <f t="shared" ref="L106:AI106" si="35">(AVERAGE(L74,L82,L90,L98))</f>
        <v>3.350768806</v>
      </c>
      <c r="M106" s="31">
        <f t="shared" si="35"/>
        <v>3.020998065</v>
      </c>
      <c r="N106" s="31">
        <f t="shared" si="35"/>
        <v>454.5379957</v>
      </c>
      <c r="O106" s="31">
        <f t="shared" si="35"/>
        <v>415.5903561</v>
      </c>
      <c r="P106" s="31">
        <f t="shared" si="35"/>
        <v>41.98303339</v>
      </c>
      <c r="Q106" s="31">
        <f t="shared" si="35"/>
        <v>45.91749793</v>
      </c>
      <c r="R106" s="31">
        <f t="shared" si="35"/>
        <v>0.232371714</v>
      </c>
      <c r="S106" s="31">
        <f t="shared" si="35"/>
        <v>2.765127424</v>
      </c>
      <c r="T106" s="31">
        <f t="shared" si="35"/>
        <v>0.2192497056</v>
      </c>
      <c r="U106" s="31">
        <f t="shared" si="35"/>
        <v>0.1381337549</v>
      </c>
      <c r="V106" s="31">
        <f t="shared" si="35"/>
        <v>31.42974365</v>
      </c>
      <c r="W106" s="31">
        <f t="shared" si="35"/>
        <v>34.99979001</v>
      </c>
      <c r="X106" s="31">
        <f t="shared" si="35"/>
        <v>34.7168625</v>
      </c>
      <c r="Y106" s="31">
        <f t="shared" si="35"/>
        <v>5.56204159</v>
      </c>
      <c r="Z106" s="31">
        <f t="shared" si="35"/>
        <v>67.85749223</v>
      </c>
      <c r="AA106" s="31">
        <f t="shared" si="35"/>
        <v>3.986881718</v>
      </c>
      <c r="AB106" s="31">
        <f t="shared" si="35"/>
        <v>5.878095306</v>
      </c>
      <c r="AC106" s="31">
        <f t="shared" si="35"/>
        <v>1.575159872</v>
      </c>
      <c r="AD106" s="31">
        <f t="shared" si="35"/>
        <v>-147.7689043</v>
      </c>
      <c r="AE106" s="31">
        <f t="shared" si="35"/>
        <v>149.4330598</v>
      </c>
      <c r="AF106" s="31">
        <f t="shared" si="35"/>
        <v>12.64106082</v>
      </c>
      <c r="AG106" s="31">
        <f t="shared" si="35"/>
        <v>45.73495995</v>
      </c>
      <c r="AH106" s="31">
        <f t="shared" si="35"/>
        <v>0</v>
      </c>
      <c r="AI106" s="31">
        <f t="shared" si="35"/>
        <v>0</v>
      </c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</row>
    <row r="107" ht="14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1" t="s">
        <v>61</v>
      </c>
      <c r="K107" s="39"/>
      <c r="L107" s="31">
        <f t="shared" ref="L107:AI107" si="36">(AVERAGE(L75,L83,L91,L99))</f>
        <v>2.642064944</v>
      </c>
      <c r="M107" s="31">
        <f t="shared" si="36"/>
        <v>2.708448966</v>
      </c>
      <c r="N107" s="31">
        <f t="shared" si="36"/>
        <v>455.4068712</v>
      </c>
      <c r="O107" s="31">
        <f t="shared" si="36"/>
        <v>415.6456471</v>
      </c>
      <c r="P107" s="31">
        <f t="shared" si="36"/>
        <v>41.979598</v>
      </c>
      <c r="Q107" s="31">
        <f t="shared" si="36"/>
        <v>45.99547193</v>
      </c>
      <c r="R107" s="31">
        <f t="shared" si="36"/>
        <v>0.1803371544</v>
      </c>
      <c r="S107" s="31">
        <f t="shared" si="36"/>
        <v>2.762143509</v>
      </c>
      <c r="T107" s="31">
        <f t="shared" si="36"/>
        <v>0.1728700519</v>
      </c>
      <c r="U107" s="31">
        <f t="shared" si="36"/>
        <v>0.1086857858</v>
      </c>
      <c r="V107" s="31">
        <f t="shared" si="36"/>
        <v>31.41237274</v>
      </c>
      <c r="W107" s="31">
        <f t="shared" si="36"/>
        <v>33.45406308</v>
      </c>
      <c r="X107" s="31">
        <f t="shared" si="36"/>
        <v>33.2707</v>
      </c>
      <c r="Y107" s="31">
        <f t="shared" si="36"/>
        <v>5.156967371</v>
      </c>
      <c r="Z107" s="31">
        <f t="shared" si="36"/>
        <v>66.32400691</v>
      </c>
      <c r="AA107" s="31">
        <f t="shared" si="36"/>
        <v>3.557702721</v>
      </c>
      <c r="AB107" s="31">
        <f t="shared" si="36"/>
        <v>5.361912846</v>
      </c>
      <c r="AC107" s="31">
        <f t="shared" si="36"/>
        <v>1.59926465</v>
      </c>
      <c r="AD107" s="31">
        <f t="shared" si="36"/>
        <v>-116.515064</v>
      </c>
      <c r="AE107" s="31">
        <f t="shared" si="36"/>
        <v>105.9031857</v>
      </c>
      <c r="AF107" s="31">
        <f t="shared" si="36"/>
        <v>8.79686913</v>
      </c>
      <c r="AG107" s="31">
        <f t="shared" si="36"/>
        <v>29.59736357</v>
      </c>
      <c r="AH107" s="31">
        <f t="shared" si="36"/>
        <v>0.125</v>
      </c>
      <c r="AI107" s="31">
        <f t="shared" si="36"/>
        <v>0</v>
      </c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  <c r="FU107" s="39"/>
      <c r="FV107" s="39"/>
      <c r="FW107" s="39"/>
      <c r="FX107" s="39"/>
      <c r="FY107" s="39"/>
      <c r="FZ107" s="39"/>
      <c r="GA107" s="39"/>
      <c r="GB107" s="39"/>
      <c r="GC107" s="39"/>
      <c r="GD107" s="39"/>
      <c r="GE107" s="39"/>
      <c r="GF107" s="39"/>
      <c r="GG107" s="39"/>
      <c r="GH107" s="39"/>
      <c r="GI107" s="39"/>
      <c r="GJ107" s="39"/>
      <c r="GK107" s="39"/>
      <c r="GL107" s="39"/>
      <c r="GM107" s="39"/>
      <c r="GN107" s="39"/>
      <c r="GO107" s="39"/>
      <c r="GP107" s="39"/>
      <c r="GQ107" s="39"/>
      <c r="GR107" s="39"/>
      <c r="GS107" s="39"/>
      <c r="GT107" s="39"/>
      <c r="GU107" s="39"/>
      <c r="GV107" s="39"/>
    </row>
    <row r="108" ht="14.2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1" t="s">
        <v>62</v>
      </c>
      <c r="K108" s="39"/>
      <c r="L108" s="31">
        <f t="shared" ref="L108:AI108" si="37">(AVERAGE(L76,L84,L92,L100))</f>
        <v>4.202036214</v>
      </c>
      <c r="M108" s="31">
        <f t="shared" si="37"/>
        <v>3.243576671</v>
      </c>
      <c r="N108" s="31">
        <f t="shared" si="37"/>
        <v>453.7952454</v>
      </c>
      <c r="O108" s="31">
        <f t="shared" si="37"/>
        <v>426.0920758</v>
      </c>
      <c r="P108" s="31">
        <f t="shared" si="37"/>
        <v>43.03921738</v>
      </c>
      <c r="Q108" s="31">
        <f t="shared" si="37"/>
        <v>45.83743501</v>
      </c>
      <c r="R108" s="31">
        <f t="shared" si="37"/>
        <v>0.3158247632</v>
      </c>
      <c r="S108" s="31">
        <f t="shared" si="37"/>
        <v>2.762104046</v>
      </c>
      <c r="T108" s="31">
        <f t="shared" si="37"/>
        <v>0.2947765968</v>
      </c>
      <c r="U108" s="31">
        <f t="shared" si="37"/>
        <v>0.1859948754</v>
      </c>
      <c r="V108" s="31">
        <f t="shared" si="37"/>
        <v>31.42498976</v>
      </c>
      <c r="W108" s="31">
        <f t="shared" si="37"/>
        <v>33.92657962</v>
      </c>
      <c r="X108" s="31">
        <f t="shared" si="37"/>
        <v>33.9213875</v>
      </c>
      <c r="Y108" s="31">
        <f t="shared" si="37"/>
        <v>5.322019472</v>
      </c>
      <c r="Z108" s="31">
        <f t="shared" si="37"/>
        <v>69.79677841</v>
      </c>
      <c r="AA108" s="31">
        <f t="shared" si="37"/>
        <v>3.916061566</v>
      </c>
      <c r="AB108" s="31">
        <f t="shared" si="37"/>
        <v>5.612563745</v>
      </c>
      <c r="AC108" s="31">
        <f t="shared" si="37"/>
        <v>1.405957906</v>
      </c>
      <c r="AD108" s="31">
        <f t="shared" si="37"/>
        <v>-185.3097971</v>
      </c>
      <c r="AE108" s="31">
        <f t="shared" si="37"/>
        <v>142.6986917</v>
      </c>
      <c r="AF108" s="31">
        <f t="shared" si="37"/>
        <v>11.98962817</v>
      </c>
      <c r="AG108" s="31">
        <f t="shared" si="37"/>
        <v>0.8035125362</v>
      </c>
      <c r="AH108" s="31">
        <f t="shared" si="37"/>
        <v>0</v>
      </c>
      <c r="AI108" s="31">
        <f t="shared" si="37"/>
        <v>0</v>
      </c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  <c r="FU108" s="39"/>
      <c r="FV108" s="39"/>
      <c r="FW108" s="39"/>
      <c r="FX108" s="39"/>
      <c r="FY108" s="39"/>
      <c r="FZ108" s="39"/>
      <c r="GA108" s="39"/>
      <c r="GB108" s="39"/>
      <c r="GC108" s="39"/>
      <c r="GD108" s="39"/>
      <c r="GE108" s="39"/>
      <c r="GF108" s="39"/>
      <c r="GG108" s="39"/>
      <c r="GH108" s="39"/>
      <c r="GI108" s="39"/>
      <c r="GJ108" s="39"/>
      <c r="GK108" s="39"/>
      <c r="GL108" s="39"/>
      <c r="GM108" s="39"/>
      <c r="GN108" s="39"/>
      <c r="GO108" s="39"/>
      <c r="GP108" s="39"/>
      <c r="GQ108" s="39"/>
      <c r="GR108" s="39"/>
      <c r="GS108" s="39"/>
      <c r="GT108" s="39"/>
      <c r="GU108" s="39"/>
      <c r="GV108" s="39"/>
    </row>
    <row r="109" ht="14.2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1" t="s">
        <v>64</v>
      </c>
      <c r="K109" s="39"/>
      <c r="L109" s="31">
        <f t="shared" ref="L109:AI109" si="38">(AVERAGE(L77,L85,L93,L101))</f>
        <v>4.030702119</v>
      </c>
      <c r="M109" s="31">
        <f t="shared" si="38"/>
        <v>5.060267705</v>
      </c>
      <c r="N109" s="31">
        <f t="shared" si="38"/>
        <v>451.7142428</v>
      </c>
      <c r="O109" s="31">
        <f t="shared" si="38"/>
        <v>415.9151503</v>
      </c>
      <c r="P109" s="31">
        <f t="shared" si="38"/>
        <v>42.00266343</v>
      </c>
      <c r="Q109" s="31">
        <f t="shared" si="38"/>
        <v>45.6179269</v>
      </c>
      <c r="R109" s="31">
        <f t="shared" si="38"/>
        <v>0.334809131</v>
      </c>
      <c r="S109" s="31">
        <f t="shared" si="38"/>
        <v>2.762127199</v>
      </c>
      <c r="T109" s="31">
        <f t="shared" si="38"/>
        <v>0.3128890207</v>
      </c>
      <c r="U109" s="31">
        <f t="shared" si="38"/>
        <v>0.1973995958</v>
      </c>
      <c r="V109" s="31">
        <f t="shared" si="38"/>
        <v>31.40600206</v>
      </c>
      <c r="W109" s="31">
        <f t="shared" si="38"/>
        <v>33.21792177</v>
      </c>
      <c r="X109" s="31">
        <f t="shared" si="38"/>
        <v>33.1170375</v>
      </c>
      <c r="Y109" s="31">
        <f t="shared" si="38"/>
        <v>5.085966603</v>
      </c>
      <c r="Z109" s="31">
        <f t="shared" si="38"/>
        <v>71.25036612</v>
      </c>
      <c r="AA109" s="31">
        <f t="shared" si="38"/>
        <v>3.834455333</v>
      </c>
      <c r="AB109" s="31">
        <f t="shared" si="38"/>
        <v>5.380890932</v>
      </c>
      <c r="AC109" s="31">
        <f t="shared" si="38"/>
        <v>1.251511269</v>
      </c>
      <c r="AD109" s="31">
        <f t="shared" si="38"/>
        <v>-177.7539634</v>
      </c>
      <c r="AE109" s="31">
        <f t="shared" si="38"/>
        <v>150.0474983</v>
      </c>
      <c r="AF109" s="31">
        <f t="shared" si="38"/>
        <v>12.51737345</v>
      </c>
      <c r="AG109" s="31">
        <f t="shared" si="38"/>
        <v>16.21691042</v>
      </c>
      <c r="AH109" s="31">
        <f t="shared" si="38"/>
        <v>0</v>
      </c>
      <c r="AI109" s="31">
        <f t="shared" si="38"/>
        <v>0</v>
      </c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  <c r="FU109" s="39"/>
      <c r="FV109" s="39"/>
      <c r="FW109" s="39"/>
      <c r="FX109" s="39"/>
      <c r="FY109" s="39"/>
      <c r="FZ109" s="39"/>
      <c r="GA109" s="39"/>
      <c r="GB109" s="39"/>
      <c r="GC109" s="39"/>
      <c r="GD109" s="39"/>
      <c r="GE109" s="39"/>
      <c r="GF109" s="39"/>
      <c r="GG109" s="39"/>
      <c r="GH109" s="39"/>
      <c r="GI109" s="39"/>
      <c r="GJ109" s="39"/>
      <c r="GK109" s="39"/>
      <c r="GL109" s="39"/>
      <c r="GM109" s="39"/>
      <c r="GN109" s="39"/>
      <c r="GO109" s="39"/>
      <c r="GP109" s="39"/>
      <c r="GQ109" s="39"/>
      <c r="GR109" s="39"/>
      <c r="GS109" s="39"/>
      <c r="GT109" s="39"/>
      <c r="GU109" s="39"/>
      <c r="GV109" s="39"/>
    </row>
    <row r="110" ht="14.2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1" t="s">
        <v>66</v>
      </c>
      <c r="K110" s="39"/>
      <c r="L110" s="31">
        <f t="shared" ref="L110:AI110" si="39">(AVERAGE(L78,L86,L94,L102))</f>
        <v>4.434721544</v>
      </c>
      <c r="M110" s="31">
        <f t="shared" si="39"/>
        <v>4.448600907</v>
      </c>
      <c r="N110" s="31">
        <f t="shared" si="39"/>
        <v>452.2372437</v>
      </c>
      <c r="O110" s="31">
        <f t="shared" si="39"/>
        <v>420.1156217</v>
      </c>
      <c r="P110" s="31">
        <f t="shared" si="39"/>
        <v>42.43089321</v>
      </c>
      <c r="Q110" s="31">
        <f t="shared" si="39"/>
        <v>45.67513213</v>
      </c>
      <c r="R110" s="31">
        <f t="shared" si="39"/>
        <v>0.3482972842</v>
      </c>
      <c r="S110" s="31">
        <f t="shared" si="39"/>
        <v>2.763420019</v>
      </c>
      <c r="T110" s="31">
        <f t="shared" si="39"/>
        <v>0.3236246133</v>
      </c>
      <c r="U110" s="31">
        <f t="shared" si="39"/>
        <v>0.2043282069</v>
      </c>
      <c r="V110" s="31">
        <f t="shared" si="39"/>
        <v>31.42259057</v>
      </c>
      <c r="W110" s="31">
        <f t="shared" si="39"/>
        <v>33.38779736</v>
      </c>
      <c r="X110" s="31">
        <f t="shared" si="39"/>
        <v>33.4341875</v>
      </c>
      <c r="Y110" s="31">
        <f t="shared" si="39"/>
        <v>5.186406001</v>
      </c>
      <c r="Z110" s="31">
        <f t="shared" si="39"/>
        <v>69.64423993</v>
      </c>
      <c r="AA110" s="31">
        <f t="shared" si="39"/>
        <v>3.81279908</v>
      </c>
      <c r="AB110" s="31">
        <f t="shared" si="39"/>
        <v>5.474769296</v>
      </c>
      <c r="AC110" s="31">
        <f t="shared" si="39"/>
        <v>1.373606921</v>
      </c>
      <c r="AD110" s="31">
        <f t="shared" si="39"/>
        <v>-195.5712201</v>
      </c>
      <c r="AE110" s="31">
        <f t="shared" si="39"/>
        <v>144.5085331</v>
      </c>
      <c r="AF110" s="31">
        <f t="shared" si="39"/>
        <v>12.08512856</v>
      </c>
      <c r="AG110" s="31">
        <f t="shared" si="39"/>
        <v>-7.554967839</v>
      </c>
      <c r="AH110" s="31">
        <f t="shared" si="39"/>
        <v>0</v>
      </c>
      <c r="AI110" s="31">
        <f t="shared" si="39"/>
        <v>0</v>
      </c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  <c r="FU110" s="39"/>
      <c r="FV110" s="39"/>
      <c r="FW110" s="39"/>
      <c r="FX110" s="39"/>
      <c r="FY110" s="39"/>
      <c r="FZ110" s="39"/>
      <c r="GA110" s="39"/>
      <c r="GB110" s="39"/>
      <c r="GC110" s="39"/>
      <c r="GD110" s="39"/>
      <c r="GE110" s="39"/>
      <c r="GF110" s="39"/>
      <c r="GG110" s="39"/>
      <c r="GH110" s="39"/>
      <c r="GI110" s="39"/>
      <c r="GJ110" s="39"/>
      <c r="GK110" s="39"/>
      <c r="GL110" s="39"/>
      <c r="GM110" s="39"/>
      <c r="GN110" s="39"/>
      <c r="GO110" s="39"/>
      <c r="GP110" s="39"/>
      <c r="GQ110" s="39"/>
      <c r="GR110" s="39"/>
      <c r="GS110" s="39"/>
      <c r="GT110" s="39"/>
      <c r="GU110" s="39"/>
      <c r="GV110" s="39"/>
    </row>
    <row r="111" ht="14.2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1" t="s">
        <v>67</v>
      </c>
      <c r="K111" s="39"/>
      <c r="L111" s="31">
        <f t="shared" ref="L111:AI111" si="40">(AVERAGE(L79,L87,L95,L103))</f>
        <v>1.384759697</v>
      </c>
      <c r="M111" s="31">
        <f t="shared" si="40"/>
        <v>0.6688344299</v>
      </c>
      <c r="N111" s="31">
        <f t="shared" si="40"/>
        <v>458.426499</v>
      </c>
      <c r="O111" s="31">
        <f t="shared" si="40"/>
        <v>432.0477543</v>
      </c>
      <c r="P111" s="31">
        <f t="shared" si="40"/>
        <v>43.63861639</v>
      </c>
      <c r="Q111" s="31">
        <f t="shared" si="40"/>
        <v>46.30267629</v>
      </c>
      <c r="R111" s="31">
        <f t="shared" si="40"/>
        <v>0.07447052785</v>
      </c>
      <c r="S111" s="31">
        <f t="shared" si="40"/>
        <v>2.76024849</v>
      </c>
      <c r="T111" s="31">
        <f t="shared" si="40"/>
        <v>0.07327313753</v>
      </c>
      <c r="U111" s="31">
        <f t="shared" si="40"/>
        <v>0.04590154189</v>
      </c>
      <c r="V111" s="31">
        <f t="shared" si="40"/>
        <v>31.41104654</v>
      </c>
      <c r="W111" s="31">
        <f t="shared" si="40"/>
        <v>34.44484906</v>
      </c>
      <c r="X111" s="31">
        <f t="shared" si="40"/>
        <v>34.5265</v>
      </c>
      <c r="Y111" s="31">
        <f t="shared" si="40"/>
        <v>5.505819311</v>
      </c>
      <c r="Z111" s="31">
        <f t="shared" si="40"/>
        <v>65.57731094</v>
      </c>
      <c r="AA111" s="31">
        <f t="shared" si="40"/>
        <v>3.625902024</v>
      </c>
      <c r="AB111" s="31">
        <f t="shared" si="40"/>
        <v>5.536527915</v>
      </c>
      <c r="AC111" s="31">
        <f t="shared" si="40"/>
        <v>1.879917287</v>
      </c>
      <c r="AD111" s="31">
        <f t="shared" si="40"/>
        <v>-61.06790265</v>
      </c>
      <c r="AE111" s="31">
        <f t="shared" si="40"/>
        <v>15.20111368</v>
      </c>
      <c r="AF111" s="31">
        <f t="shared" si="40"/>
        <v>1.276362637</v>
      </c>
      <c r="AG111" s="31">
        <f t="shared" si="40"/>
        <v>-13.17937979</v>
      </c>
      <c r="AH111" s="31">
        <f t="shared" si="40"/>
        <v>0</v>
      </c>
      <c r="AI111" s="31">
        <f t="shared" si="40"/>
        <v>0</v>
      </c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  <c r="FU111" s="39"/>
      <c r="FV111" s="39"/>
      <c r="FW111" s="39"/>
      <c r="FX111" s="39"/>
      <c r="FY111" s="39"/>
      <c r="FZ111" s="39"/>
      <c r="GA111" s="39"/>
      <c r="GB111" s="39"/>
      <c r="GC111" s="39"/>
      <c r="GD111" s="39"/>
      <c r="GE111" s="39"/>
      <c r="GF111" s="39"/>
      <c r="GG111" s="39"/>
      <c r="GH111" s="39"/>
      <c r="GI111" s="39"/>
      <c r="GJ111" s="39"/>
      <c r="GK111" s="39"/>
      <c r="GL111" s="39"/>
      <c r="GM111" s="39"/>
      <c r="GN111" s="39"/>
      <c r="GO111" s="39"/>
      <c r="GP111" s="39"/>
      <c r="GQ111" s="39"/>
      <c r="GR111" s="39"/>
      <c r="GS111" s="39"/>
      <c r="GT111" s="39"/>
      <c r="GU111" s="39"/>
      <c r="GV111" s="39"/>
    </row>
    <row r="112" ht="14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  <c r="FU112" s="39"/>
      <c r="FV112" s="39"/>
      <c r="FW112" s="39"/>
      <c r="FX112" s="39"/>
      <c r="FY112" s="39"/>
      <c r="FZ112" s="39"/>
      <c r="GA112" s="39"/>
      <c r="GB112" s="39"/>
      <c r="GC112" s="39"/>
      <c r="GD112" s="39"/>
      <c r="GE112" s="39"/>
      <c r="GF112" s="39"/>
      <c r="GG112" s="39"/>
      <c r="GH112" s="39"/>
      <c r="GI112" s="39"/>
      <c r="GJ112" s="39"/>
      <c r="GK112" s="39"/>
      <c r="GL112" s="39"/>
      <c r="GM112" s="39"/>
      <c r="GN112" s="39"/>
      <c r="GO112" s="39"/>
      <c r="GP112" s="39"/>
      <c r="GQ112" s="39"/>
      <c r="GR112" s="39"/>
      <c r="GS112" s="39"/>
      <c r="GT112" s="39"/>
      <c r="GU112" s="39"/>
      <c r="GV112" s="39"/>
    </row>
    <row r="113" ht="14.2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  <c r="FU113" s="39"/>
      <c r="FV113" s="39"/>
      <c r="FW113" s="39"/>
      <c r="FX113" s="39"/>
      <c r="FY113" s="39"/>
      <c r="FZ113" s="39"/>
      <c r="GA113" s="39"/>
      <c r="GB113" s="39"/>
      <c r="GC113" s="39"/>
      <c r="GD113" s="39"/>
      <c r="GE113" s="39"/>
      <c r="GF113" s="39"/>
      <c r="GG113" s="39"/>
      <c r="GH113" s="39"/>
      <c r="GI113" s="39"/>
      <c r="GJ113" s="39"/>
      <c r="GK113" s="39"/>
      <c r="GL113" s="39"/>
      <c r="GM113" s="39"/>
      <c r="GN113" s="39"/>
      <c r="GO113" s="39"/>
      <c r="GP113" s="39"/>
      <c r="GQ113" s="39"/>
      <c r="GR113" s="39"/>
      <c r="GS113" s="39"/>
      <c r="GT113" s="39"/>
      <c r="GU113" s="39"/>
      <c r="GV113" s="39"/>
    </row>
    <row r="114" ht="14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</row>
    <row r="115" ht="14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  <c r="FX115" s="39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</row>
    <row r="116" ht="14.2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  <c r="FU116" s="39"/>
      <c r="FV116" s="39"/>
      <c r="FW116" s="39"/>
      <c r="FX116" s="39"/>
      <c r="FY116" s="39"/>
      <c r="FZ116" s="39"/>
      <c r="GA116" s="39"/>
      <c r="GB116" s="39"/>
      <c r="GC116" s="39"/>
      <c r="GD116" s="39"/>
      <c r="GE116" s="39"/>
      <c r="GF116" s="39"/>
      <c r="GG116" s="39"/>
      <c r="GH116" s="39"/>
      <c r="GI116" s="39"/>
      <c r="GJ116" s="39"/>
      <c r="GK116" s="39"/>
      <c r="GL116" s="39"/>
      <c r="GM116" s="39"/>
      <c r="GN116" s="39"/>
      <c r="GO116" s="39"/>
      <c r="GP116" s="39"/>
      <c r="GQ116" s="39"/>
      <c r="GR116" s="39"/>
      <c r="GS116" s="39"/>
      <c r="GT116" s="39"/>
      <c r="GU116" s="39"/>
      <c r="GV116" s="39"/>
    </row>
    <row r="117" ht="14.2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  <c r="FU117" s="39"/>
      <c r="FV117" s="39"/>
      <c r="FW117" s="39"/>
      <c r="FX117" s="39"/>
      <c r="FY117" s="39"/>
      <c r="FZ117" s="39"/>
      <c r="GA117" s="39"/>
      <c r="GB117" s="39"/>
      <c r="GC117" s="39"/>
      <c r="GD117" s="39"/>
      <c r="GE117" s="39"/>
      <c r="GF117" s="39"/>
      <c r="GG117" s="39"/>
      <c r="GH117" s="39"/>
      <c r="GI117" s="39"/>
      <c r="GJ117" s="39"/>
      <c r="GK117" s="39"/>
      <c r="GL117" s="39"/>
      <c r="GM117" s="39"/>
      <c r="GN117" s="39"/>
      <c r="GO117" s="39"/>
      <c r="GP117" s="39"/>
      <c r="GQ117" s="39"/>
      <c r="GR117" s="39"/>
      <c r="GS117" s="39"/>
      <c r="GT117" s="39"/>
      <c r="GU117" s="39"/>
      <c r="GV117" s="39"/>
    </row>
    <row r="118" ht="14.2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  <c r="FU118" s="39"/>
      <c r="FV118" s="39"/>
      <c r="FW118" s="39"/>
      <c r="FX118" s="39"/>
      <c r="FY118" s="39"/>
      <c r="FZ118" s="39"/>
      <c r="GA118" s="39"/>
      <c r="GB118" s="39"/>
      <c r="GC118" s="39"/>
      <c r="GD118" s="39"/>
      <c r="GE118" s="39"/>
      <c r="GF118" s="39"/>
      <c r="GG118" s="39"/>
      <c r="GH118" s="39"/>
      <c r="GI118" s="39"/>
      <c r="GJ118" s="39"/>
      <c r="GK118" s="39"/>
      <c r="GL118" s="39"/>
      <c r="GM118" s="39"/>
      <c r="GN118" s="39"/>
      <c r="GO118" s="39"/>
      <c r="GP118" s="39"/>
      <c r="GQ118" s="39"/>
      <c r="GR118" s="39"/>
      <c r="GS118" s="39"/>
      <c r="GT118" s="39"/>
      <c r="GU118" s="39"/>
      <c r="GV118" s="39"/>
    </row>
    <row r="119" ht="14.2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</row>
    <row r="120" ht="14.2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  <c r="FU120" s="39"/>
      <c r="FV120" s="39"/>
      <c r="FW120" s="39"/>
      <c r="FX120" s="39"/>
      <c r="FY120" s="39"/>
      <c r="FZ120" s="39"/>
      <c r="GA120" s="39"/>
      <c r="GB120" s="39"/>
      <c r="GC120" s="39"/>
      <c r="GD120" s="39"/>
      <c r="GE120" s="39"/>
      <c r="GF120" s="39"/>
      <c r="GG120" s="39"/>
      <c r="GH120" s="39"/>
      <c r="GI120" s="39"/>
      <c r="GJ120" s="39"/>
      <c r="GK120" s="39"/>
      <c r="GL120" s="39"/>
      <c r="GM120" s="39"/>
      <c r="GN120" s="39"/>
      <c r="GO120" s="39"/>
      <c r="GP120" s="39"/>
      <c r="GQ120" s="39"/>
      <c r="GR120" s="39"/>
      <c r="GS120" s="39"/>
      <c r="GT120" s="39"/>
      <c r="GU120" s="39"/>
      <c r="GV120" s="39"/>
    </row>
    <row r="121" ht="14.2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  <c r="FU121" s="39"/>
      <c r="FV121" s="39"/>
      <c r="FW121" s="39"/>
      <c r="FX121" s="39"/>
      <c r="FY121" s="39"/>
      <c r="FZ121" s="39"/>
      <c r="GA121" s="39"/>
      <c r="GB121" s="39"/>
      <c r="GC121" s="39"/>
      <c r="GD121" s="39"/>
      <c r="GE121" s="39"/>
      <c r="GF121" s="39"/>
      <c r="GG121" s="39"/>
      <c r="GH121" s="39"/>
      <c r="GI121" s="39"/>
      <c r="GJ121" s="39"/>
      <c r="GK121" s="39"/>
      <c r="GL121" s="39"/>
      <c r="GM121" s="39"/>
      <c r="GN121" s="39"/>
      <c r="GO121" s="39"/>
      <c r="GP121" s="39"/>
      <c r="GQ121" s="39"/>
      <c r="GR121" s="39"/>
      <c r="GS121" s="39"/>
      <c r="GT121" s="39"/>
      <c r="GU121" s="39"/>
      <c r="GV121" s="39"/>
    </row>
    <row r="122" ht="14.2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  <c r="FU122" s="39"/>
      <c r="FV122" s="39"/>
      <c r="FW122" s="39"/>
      <c r="FX122" s="39"/>
      <c r="FY122" s="39"/>
      <c r="FZ122" s="39"/>
      <c r="GA122" s="39"/>
      <c r="GB122" s="39"/>
      <c r="GC122" s="39"/>
      <c r="GD122" s="39"/>
      <c r="GE122" s="39"/>
      <c r="GF122" s="39"/>
      <c r="GG122" s="39"/>
      <c r="GH122" s="39"/>
      <c r="GI122" s="39"/>
      <c r="GJ122" s="39"/>
      <c r="GK122" s="39"/>
      <c r="GL122" s="39"/>
      <c r="GM122" s="39"/>
      <c r="GN122" s="39"/>
      <c r="GO122" s="39"/>
      <c r="GP122" s="39"/>
      <c r="GQ122" s="39"/>
      <c r="GR122" s="39"/>
      <c r="GS122" s="39"/>
      <c r="GT122" s="39"/>
      <c r="GU122" s="39"/>
      <c r="GV122" s="39"/>
    </row>
    <row r="123" ht="14.2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  <c r="FU123" s="39"/>
      <c r="FV123" s="39"/>
      <c r="FW123" s="39"/>
      <c r="FX123" s="39"/>
      <c r="FY123" s="39"/>
      <c r="FZ123" s="39"/>
      <c r="GA123" s="39"/>
      <c r="GB123" s="39"/>
      <c r="GC123" s="39"/>
      <c r="GD123" s="39"/>
      <c r="GE123" s="39"/>
      <c r="GF123" s="39"/>
      <c r="GG123" s="39"/>
      <c r="GH123" s="39"/>
      <c r="GI123" s="39"/>
      <c r="GJ123" s="39"/>
      <c r="GK123" s="39"/>
      <c r="GL123" s="39"/>
      <c r="GM123" s="39"/>
      <c r="GN123" s="39"/>
      <c r="GO123" s="39"/>
      <c r="GP123" s="39"/>
      <c r="GQ123" s="39"/>
      <c r="GR123" s="39"/>
      <c r="GS123" s="39"/>
      <c r="GT123" s="39"/>
      <c r="GU123" s="39"/>
      <c r="GV123" s="39"/>
    </row>
    <row r="124" ht="14.2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  <c r="FU124" s="39"/>
      <c r="FV124" s="39"/>
      <c r="FW124" s="39"/>
      <c r="FX124" s="39"/>
      <c r="FY124" s="39"/>
      <c r="FZ124" s="39"/>
      <c r="GA124" s="39"/>
      <c r="GB124" s="39"/>
      <c r="GC124" s="39"/>
      <c r="GD124" s="39"/>
      <c r="GE124" s="39"/>
      <c r="GF124" s="39"/>
      <c r="GG124" s="39"/>
      <c r="GH124" s="39"/>
      <c r="GI124" s="39"/>
      <c r="GJ124" s="39"/>
      <c r="GK124" s="39"/>
      <c r="GL124" s="39"/>
      <c r="GM124" s="39"/>
      <c r="GN124" s="39"/>
      <c r="GO124" s="39"/>
      <c r="GP124" s="39"/>
      <c r="GQ124" s="39"/>
      <c r="GR124" s="39"/>
      <c r="GS124" s="39"/>
      <c r="GT124" s="39"/>
      <c r="GU124" s="39"/>
      <c r="GV124" s="39"/>
    </row>
    <row r="125" ht="14.2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  <c r="FU125" s="39"/>
      <c r="FV125" s="39"/>
      <c r="FW125" s="39"/>
      <c r="FX125" s="39"/>
      <c r="FY125" s="39"/>
      <c r="FZ125" s="39"/>
      <c r="GA125" s="39"/>
      <c r="GB125" s="39"/>
      <c r="GC125" s="39"/>
      <c r="GD125" s="39"/>
      <c r="GE125" s="39"/>
      <c r="GF125" s="39"/>
      <c r="GG125" s="39"/>
      <c r="GH125" s="39"/>
      <c r="GI125" s="39"/>
      <c r="GJ125" s="39"/>
      <c r="GK125" s="39"/>
      <c r="GL125" s="39"/>
      <c r="GM125" s="39"/>
      <c r="GN125" s="39"/>
      <c r="GO125" s="39"/>
      <c r="GP125" s="39"/>
      <c r="GQ125" s="39"/>
      <c r="GR125" s="39"/>
      <c r="GS125" s="39"/>
      <c r="GT125" s="39"/>
      <c r="GU125" s="39"/>
      <c r="GV125" s="39"/>
    </row>
    <row r="126" ht="14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  <c r="FU126" s="39"/>
      <c r="FV126" s="39"/>
      <c r="FW126" s="39"/>
      <c r="FX126" s="39"/>
      <c r="FY126" s="39"/>
      <c r="FZ126" s="39"/>
      <c r="GA126" s="39"/>
      <c r="GB126" s="39"/>
      <c r="GC126" s="39"/>
      <c r="GD126" s="39"/>
      <c r="GE126" s="39"/>
      <c r="GF126" s="39"/>
      <c r="GG126" s="39"/>
      <c r="GH126" s="39"/>
      <c r="GI126" s="39"/>
      <c r="GJ126" s="39"/>
      <c r="GK126" s="39"/>
      <c r="GL126" s="39"/>
      <c r="GM126" s="39"/>
      <c r="GN126" s="39"/>
      <c r="GO126" s="39"/>
      <c r="GP126" s="39"/>
      <c r="GQ126" s="39"/>
      <c r="GR126" s="39"/>
      <c r="GS126" s="39"/>
      <c r="GT126" s="39"/>
      <c r="GU126" s="39"/>
      <c r="GV126" s="39"/>
    </row>
    <row r="127" ht="14.2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  <c r="FU127" s="39"/>
      <c r="FV127" s="39"/>
      <c r="FW127" s="39"/>
      <c r="FX127" s="39"/>
      <c r="FY127" s="39"/>
      <c r="FZ127" s="39"/>
      <c r="GA127" s="39"/>
      <c r="GB127" s="39"/>
      <c r="GC127" s="39"/>
      <c r="GD127" s="39"/>
      <c r="GE127" s="39"/>
      <c r="GF127" s="39"/>
      <c r="GG127" s="39"/>
      <c r="GH127" s="39"/>
      <c r="GI127" s="39"/>
      <c r="GJ127" s="39"/>
      <c r="GK127" s="39"/>
      <c r="GL127" s="39"/>
      <c r="GM127" s="39"/>
      <c r="GN127" s="39"/>
      <c r="GO127" s="39"/>
      <c r="GP127" s="39"/>
      <c r="GQ127" s="39"/>
      <c r="GR127" s="39"/>
      <c r="GS127" s="39"/>
      <c r="GT127" s="39"/>
      <c r="GU127" s="39"/>
      <c r="GV127" s="39"/>
    </row>
    <row r="128" ht="14.2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  <c r="FU128" s="39"/>
      <c r="FV128" s="39"/>
      <c r="FW128" s="39"/>
      <c r="FX128" s="39"/>
      <c r="FY128" s="39"/>
      <c r="FZ128" s="39"/>
      <c r="GA128" s="39"/>
      <c r="GB128" s="39"/>
      <c r="GC128" s="39"/>
      <c r="GD128" s="39"/>
      <c r="GE128" s="39"/>
      <c r="GF128" s="39"/>
      <c r="GG128" s="39"/>
      <c r="GH128" s="39"/>
      <c r="GI128" s="39"/>
      <c r="GJ128" s="39"/>
      <c r="GK128" s="39"/>
      <c r="GL128" s="39"/>
      <c r="GM128" s="39"/>
      <c r="GN128" s="39"/>
      <c r="GO128" s="39"/>
      <c r="GP128" s="39"/>
      <c r="GQ128" s="39"/>
      <c r="GR128" s="39"/>
      <c r="GS128" s="39"/>
      <c r="GT128" s="39"/>
      <c r="GU128" s="39"/>
      <c r="GV128" s="39"/>
    </row>
    <row r="129" ht="14.2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  <c r="FU129" s="39"/>
      <c r="FV129" s="39"/>
      <c r="FW129" s="39"/>
      <c r="FX129" s="39"/>
      <c r="FY129" s="39"/>
      <c r="FZ129" s="39"/>
      <c r="GA129" s="39"/>
      <c r="GB129" s="39"/>
      <c r="GC129" s="39"/>
      <c r="GD129" s="39"/>
      <c r="GE129" s="39"/>
      <c r="GF129" s="39"/>
      <c r="GG129" s="39"/>
      <c r="GH129" s="39"/>
      <c r="GI129" s="39"/>
      <c r="GJ129" s="39"/>
      <c r="GK129" s="39"/>
      <c r="GL129" s="39"/>
      <c r="GM129" s="39"/>
      <c r="GN129" s="39"/>
      <c r="GO129" s="39"/>
      <c r="GP129" s="39"/>
      <c r="GQ129" s="39"/>
      <c r="GR129" s="39"/>
      <c r="GS129" s="39"/>
      <c r="GT129" s="39"/>
      <c r="GU129" s="39"/>
      <c r="GV129" s="39"/>
    </row>
    <row r="130" ht="14.2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  <c r="FX130" s="39"/>
      <c r="FY130" s="39"/>
      <c r="FZ130" s="39"/>
      <c r="GA130" s="39"/>
      <c r="GB130" s="39"/>
      <c r="GC130" s="39"/>
      <c r="GD130" s="39"/>
      <c r="GE130" s="39"/>
      <c r="GF130" s="39"/>
      <c r="GG130" s="39"/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9"/>
      <c r="GT130" s="39"/>
      <c r="GU130" s="39"/>
      <c r="GV130" s="39"/>
    </row>
    <row r="131" ht="14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  <c r="FU131" s="39"/>
      <c r="FV131" s="39"/>
      <c r="FW131" s="39"/>
      <c r="FX131" s="39"/>
      <c r="FY131" s="39"/>
      <c r="FZ131" s="39"/>
      <c r="GA131" s="39"/>
      <c r="GB131" s="39"/>
      <c r="GC131" s="39"/>
      <c r="GD131" s="39"/>
      <c r="GE131" s="39"/>
      <c r="GF131" s="39"/>
      <c r="GG131" s="39"/>
      <c r="GH131" s="39"/>
      <c r="GI131" s="39"/>
      <c r="GJ131" s="39"/>
      <c r="GK131" s="39"/>
      <c r="GL131" s="39"/>
      <c r="GM131" s="39"/>
      <c r="GN131" s="39"/>
      <c r="GO131" s="39"/>
      <c r="GP131" s="39"/>
      <c r="GQ131" s="39"/>
      <c r="GR131" s="39"/>
      <c r="GS131" s="39"/>
      <c r="GT131" s="39"/>
      <c r="GU131" s="39"/>
      <c r="GV131" s="39"/>
    </row>
    <row r="132" ht="14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9"/>
      <c r="GE132" s="39"/>
      <c r="GF132" s="39"/>
      <c r="GG132" s="39"/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9"/>
      <c r="GT132" s="39"/>
      <c r="GU132" s="39"/>
      <c r="GV132" s="39"/>
    </row>
    <row r="133" ht="14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9"/>
      <c r="GE133" s="39"/>
      <c r="GF133" s="39"/>
      <c r="GG133" s="39"/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9"/>
      <c r="GT133" s="39"/>
      <c r="GU133" s="39"/>
      <c r="GV133" s="39"/>
    </row>
    <row r="134" ht="14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9"/>
      <c r="GT134" s="39"/>
      <c r="GU134" s="39"/>
      <c r="GV134" s="39"/>
    </row>
    <row r="135" ht="14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9"/>
      <c r="GT135" s="39"/>
      <c r="GU135" s="39"/>
      <c r="GV135" s="39"/>
    </row>
    <row r="136" ht="14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9"/>
      <c r="GT136" s="39"/>
      <c r="GU136" s="39"/>
      <c r="GV136" s="39"/>
    </row>
    <row r="137" ht="14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  <c r="FU137" s="39"/>
      <c r="FV137" s="39"/>
      <c r="FW137" s="39"/>
      <c r="FX137" s="39"/>
      <c r="FY137" s="39"/>
      <c r="FZ137" s="39"/>
      <c r="GA137" s="39"/>
      <c r="GB137" s="39"/>
      <c r="GC137" s="39"/>
      <c r="GD137" s="39"/>
      <c r="GE137" s="39"/>
      <c r="GF137" s="39"/>
      <c r="GG137" s="39"/>
      <c r="GH137" s="39"/>
      <c r="GI137" s="39"/>
      <c r="GJ137" s="39"/>
      <c r="GK137" s="39"/>
      <c r="GL137" s="39"/>
      <c r="GM137" s="39"/>
      <c r="GN137" s="39"/>
      <c r="GO137" s="39"/>
      <c r="GP137" s="39"/>
      <c r="GQ137" s="39"/>
      <c r="GR137" s="39"/>
      <c r="GS137" s="39"/>
      <c r="GT137" s="39"/>
      <c r="GU137" s="39"/>
      <c r="GV137" s="39"/>
    </row>
    <row r="138" ht="14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</row>
    <row r="139" ht="14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</row>
    <row r="140" ht="14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</row>
    <row r="141" ht="14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</row>
    <row r="142" ht="14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</row>
    <row r="144" ht="14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  <c r="FU144" s="39"/>
      <c r="FV144" s="39"/>
      <c r="FW144" s="39"/>
      <c r="FX144" s="39"/>
      <c r="FY144" s="39"/>
      <c r="FZ144" s="39"/>
      <c r="GA144" s="39"/>
      <c r="GB144" s="39"/>
      <c r="GC144" s="39"/>
      <c r="GD144" s="39"/>
      <c r="GE144" s="39"/>
      <c r="GF144" s="39"/>
      <c r="GG144" s="39"/>
      <c r="GH144" s="39"/>
      <c r="GI144" s="39"/>
      <c r="GJ144" s="39"/>
      <c r="GK144" s="39"/>
      <c r="GL144" s="39"/>
      <c r="GM144" s="39"/>
      <c r="GN144" s="39"/>
      <c r="GO144" s="39"/>
      <c r="GP144" s="39"/>
      <c r="GQ144" s="39"/>
      <c r="GR144" s="39"/>
      <c r="GS144" s="39"/>
      <c r="GT144" s="39"/>
      <c r="GU144" s="39"/>
      <c r="GV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  <c r="FU145" s="39"/>
      <c r="FV145" s="39"/>
      <c r="FW145" s="39"/>
      <c r="FX145" s="39"/>
      <c r="FY145" s="39"/>
      <c r="FZ145" s="39"/>
      <c r="GA145" s="39"/>
      <c r="GB145" s="39"/>
      <c r="GC145" s="39"/>
      <c r="GD145" s="39"/>
      <c r="GE145" s="39"/>
      <c r="GF145" s="39"/>
      <c r="GG145" s="39"/>
      <c r="GH145" s="39"/>
      <c r="GI145" s="39"/>
      <c r="GJ145" s="39"/>
      <c r="GK145" s="39"/>
      <c r="GL145" s="39"/>
      <c r="GM145" s="39"/>
      <c r="GN145" s="39"/>
      <c r="GO145" s="39"/>
      <c r="GP145" s="39"/>
      <c r="GQ145" s="39"/>
      <c r="GR145" s="39"/>
      <c r="GS145" s="39"/>
      <c r="GT145" s="39"/>
      <c r="GU145" s="39"/>
      <c r="GV145" s="39"/>
    </row>
    <row r="146" ht="14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  <c r="FU146" s="39"/>
      <c r="FV146" s="39"/>
      <c r="FW146" s="39"/>
      <c r="FX146" s="39"/>
      <c r="FY146" s="39"/>
      <c r="FZ146" s="39"/>
      <c r="GA146" s="39"/>
      <c r="GB146" s="39"/>
      <c r="GC146" s="39"/>
      <c r="GD146" s="39"/>
      <c r="GE146" s="39"/>
      <c r="GF146" s="39"/>
      <c r="GG146" s="39"/>
      <c r="GH146" s="39"/>
      <c r="GI146" s="39"/>
      <c r="GJ146" s="39"/>
      <c r="GK146" s="39"/>
      <c r="GL146" s="39"/>
      <c r="GM146" s="39"/>
      <c r="GN146" s="39"/>
      <c r="GO146" s="39"/>
      <c r="GP146" s="39"/>
      <c r="GQ146" s="39"/>
      <c r="GR146" s="39"/>
      <c r="GS146" s="39"/>
      <c r="GT146" s="39"/>
      <c r="GU146" s="39"/>
      <c r="GV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  <c r="FU147" s="39"/>
      <c r="FV147" s="39"/>
      <c r="FW147" s="39"/>
      <c r="FX147" s="39"/>
      <c r="FY147" s="39"/>
      <c r="FZ147" s="39"/>
      <c r="GA147" s="39"/>
      <c r="GB147" s="39"/>
      <c r="GC147" s="39"/>
      <c r="GD147" s="39"/>
      <c r="GE147" s="39"/>
      <c r="GF147" s="39"/>
      <c r="GG147" s="39"/>
      <c r="GH147" s="39"/>
      <c r="GI147" s="39"/>
      <c r="GJ147" s="39"/>
      <c r="GK147" s="39"/>
      <c r="GL147" s="39"/>
      <c r="GM147" s="39"/>
      <c r="GN147" s="39"/>
      <c r="GO147" s="39"/>
      <c r="GP147" s="39"/>
      <c r="GQ147" s="39"/>
      <c r="GR147" s="39"/>
      <c r="GS147" s="39"/>
      <c r="GT147" s="39"/>
      <c r="GU147" s="39"/>
      <c r="GV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  <c r="FU148" s="39"/>
      <c r="FV148" s="39"/>
      <c r="FW148" s="39"/>
      <c r="FX148" s="39"/>
      <c r="FY148" s="39"/>
      <c r="FZ148" s="39"/>
      <c r="GA148" s="39"/>
      <c r="GB148" s="39"/>
      <c r="GC148" s="39"/>
      <c r="GD148" s="39"/>
      <c r="GE148" s="39"/>
      <c r="GF148" s="39"/>
      <c r="GG148" s="39"/>
      <c r="GH148" s="39"/>
      <c r="GI148" s="39"/>
      <c r="GJ148" s="39"/>
      <c r="GK148" s="39"/>
      <c r="GL148" s="39"/>
      <c r="GM148" s="39"/>
      <c r="GN148" s="39"/>
      <c r="GO148" s="39"/>
      <c r="GP148" s="39"/>
      <c r="GQ148" s="39"/>
      <c r="GR148" s="39"/>
      <c r="GS148" s="39"/>
      <c r="GT148" s="39"/>
      <c r="GU148" s="39"/>
      <c r="GV148" s="39"/>
    </row>
    <row r="149" ht="14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  <c r="FU149" s="39"/>
      <c r="FV149" s="39"/>
      <c r="FW149" s="39"/>
      <c r="FX149" s="39"/>
      <c r="FY149" s="39"/>
      <c r="FZ149" s="39"/>
      <c r="GA149" s="39"/>
      <c r="GB149" s="39"/>
      <c r="GC149" s="39"/>
      <c r="GD149" s="39"/>
      <c r="GE149" s="39"/>
      <c r="GF149" s="39"/>
      <c r="GG149" s="39"/>
      <c r="GH149" s="39"/>
      <c r="GI149" s="39"/>
      <c r="GJ149" s="39"/>
      <c r="GK149" s="39"/>
      <c r="GL149" s="39"/>
      <c r="GM149" s="39"/>
      <c r="GN149" s="39"/>
      <c r="GO149" s="39"/>
      <c r="GP149" s="39"/>
      <c r="GQ149" s="39"/>
      <c r="GR149" s="39"/>
      <c r="GS149" s="39"/>
      <c r="GT149" s="39"/>
      <c r="GU149" s="39"/>
      <c r="GV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  <c r="FU150" s="39"/>
      <c r="FV150" s="39"/>
      <c r="FW150" s="39"/>
      <c r="FX150" s="39"/>
      <c r="FY150" s="39"/>
      <c r="FZ150" s="39"/>
      <c r="GA150" s="39"/>
      <c r="GB150" s="39"/>
      <c r="GC150" s="39"/>
      <c r="GD150" s="39"/>
      <c r="GE150" s="39"/>
      <c r="GF150" s="39"/>
      <c r="GG150" s="39"/>
      <c r="GH150" s="39"/>
      <c r="GI150" s="39"/>
      <c r="GJ150" s="39"/>
      <c r="GK150" s="39"/>
      <c r="GL150" s="39"/>
      <c r="GM150" s="39"/>
      <c r="GN150" s="39"/>
      <c r="GO150" s="39"/>
      <c r="GP150" s="39"/>
      <c r="GQ150" s="39"/>
      <c r="GR150" s="39"/>
      <c r="GS150" s="39"/>
      <c r="GT150" s="39"/>
      <c r="GU150" s="39"/>
      <c r="GV150" s="39"/>
    </row>
    <row r="151" ht="14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  <c r="FU151" s="39"/>
      <c r="FV151" s="39"/>
      <c r="FW151" s="39"/>
      <c r="FX151" s="39"/>
      <c r="FY151" s="39"/>
      <c r="FZ151" s="39"/>
      <c r="GA151" s="39"/>
      <c r="GB151" s="39"/>
      <c r="GC151" s="39"/>
      <c r="GD151" s="39"/>
      <c r="GE151" s="39"/>
      <c r="GF151" s="39"/>
      <c r="GG151" s="39"/>
      <c r="GH151" s="39"/>
      <c r="GI151" s="39"/>
      <c r="GJ151" s="39"/>
      <c r="GK151" s="39"/>
      <c r="GL151" s="39"/>
      <c r="GM151" s="39"/>
      <c r="GN151" s="39"/>
      <c r="GO151" s="39"/>
      <c r="GP151" s="39"/>
      <c r="GQ151" s="39"/>
      <c r="GR151" s="39"/>
      <c r="GS151" s="39"/>
      <c r="GT151" s="39"/>
      <c r="GU151" s="39"/>
      <c r="GV151" s="39"/>
    </row>
    <row r="152" ht="14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39"/>
      <c r="FF152" s="39"/>
      <c r="FG152" s="39"/>
      <c r="FH152" s="39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39"/>
      <c r="FU152" s="39"/>
      <c r="FV152" s="39"/>
      <c r="FW152" s="39"/>
      <c r="FX152" s="39"/>
      <c r="FY152" s="39"/>
      <c r="FZ152" s="39"/>
      <c r="GA152" s="39"/>
      <c r="GB152" s="39"/>
      <c r="GC152" s="39"/>
      <c r="GD152" s="39"/>
      <c r="GE152" s="39"/>
      <c r="GF152" s="39"/>
      <c r="GG152" s="39"/>
      <c r="GH152" s="39"/>
      <c r="GI152" s="39"/>
      <c r="GJ152" s="39"/>
      <c r="GK152" s="39"/>
      <c r="GL152" s="39"/>
      <c r="GM152" s="39"/>
      <c r="GN152" s="39"/>
      <c r="GO152" s="39"/>
      <c r="GP152" s="39"/>
      <c r="GQ152" s="39"/>
      <c r="GR152" s="39"/>
      <c r="GS152" s="39"/>
      <c r="GT152" s="39"/>
      <c r="GU152" s="39"/>
      <c r="GV152" s="39"/>
    </row>
    <row r="153" ht="14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  <c r="FU153" s="39"/>
      <c r="FV153" s="39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</row>
    <row r="154" ht="14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  <c r="EZ154" s="39"/>
      <c r="FA154" s="39"/>
      <c r="FB154" s="39"/>
      <c r="FC154" s="39"/>
      <c r="FD154" s="39"/>
      <c r="FE154" s="39"/>
      <c r="FF154" s="39"/>
      <c r="FG154" s="39"/>
      <c r="FH154" s="39"/>
      <c r="FI154" s="39"/>
      <c r="FJ154" s="39"/>
      <c r="FK154" s="39"/>
      <c r="FL154" s="39"/>
      <c r="FM154" s="39"/>
      <c r="FN154" s="39"/>
      <c r="FO154" s="39"/>
      <c r="FP154" s="39"/>
      <c r="FQ154" s="39"/>
      <c r="FR154" s="39"/>
      <c r="FS154" s="39"/>
      <c r="FT154" s="39"/>
      <c r="FU154" s="39"/>
      <c r="FV154" s="39"/>
      <c r="FW154" s="39"/>
      <c r="FX154" s="39"/>
      <c r="FY154" s="39"/>
      <c r="FZ154" s="39"/>
      <c r="GA154" s="39"/>
      <c r="GB154" s="39"/>
      <c r="GC154" s="39"/>
      <c r="GD154" s="39"/>
      <c r="GE154" s="39"/>
      <c r="GF154" s="39"/>
      <c r="GG154" s="39"/>
      <c r="GH154" s="39"/>
      <c r="GI154" s="39"/>
      <c r="GJ154" s="39"/>
      <c r="GK154" s="39"/>
      <c r="GL154" s="39"/>
      <c r="GM154" s="39"/>
      <c r="GN154" s="39"/>
      <c r="GO154" s="39"/>
      <c r="GP154" s="39"/>
      <c r="GQ154" s="39"/>
      <c r="GR154" s="39"/>
      <c r="GS154" s="39"/>
      <c r="GT154" s="39"/>
      <c r="GU154" s="39"/>
      <c r="GV154" s="39"/>
    </row>
    <row r="155" ht="14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  <c r="EZ155" s="39"/>
      <c r="FA155" s="39"/>
      <c r="FB155" s="39"/>
      <c r="FC155" s="39"/>
      <c r="FD155" s="39"/>
      <c r="FE155" s="39"/>
      <c r="FF155" s="39"/>
      <c r="FG155" s="39"/>
      <c r="FH155" s="39"/>
      <c r="FI155" s="39"/>
      <c r="FJ155" s="39"/>
      <c r="FK155" s="39"/>
      <c r="FL155" s="39"/>
      <c r="FM155" s="39"/>
      <c r="FN155" s="39"/>
      <c r="FO155" s="39"/>
      <c r="FP155" s="39"/>
      <c r="FQ155" s="39"/>
      <c r="FR155" s="39"/>
      <c r="FS155" s="39"/>
      <c r="FT155" s="39"/>
      <c r="FU155" s="39"/>
      <c r="FV155" s="39"/>
      <c r="FW155" s="39"/>
      <c r="FX155" s="39"/>
      <c r="FY155" s="39"/>
      <c r="FZ155" s="39"/>
      <c r="GA155" s="39"/>
      <c r="GB155" s="39"/>
      <c r="GC155" s="39"/>
      <c r="GD155" s="39"/>
      <c r="GE155" s="39"/>
      <c r="GF155" s="39"/>
      <c r="GG155" s="39"/>
      <c r="GH155" s="39"/>
      <c r="GI155" s="39"/>
      <c r="GJ155" s="39"/>
      <c r="GK155" s="39"/>
      <c r="GL155" s="39"/>
      <c r="GM155" s="39"/>
      <c r="GN155" s="39"/>
      <c r="GO155" s="39"/>
      <c r="GP155" s="39"/>
      <c r="GQ155" s="39"/>
      <c r="GR155" s="39"/>
      <c r="GS155" s="39"/>
      <c r="GT155" s="39"/>
      <c r="GU155" s="39"/>
      <c r="GV155" s="39"/>
    </row>
    <row r="156" ht="14.2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  <c r="EZ156" s="39"/>
      <c r="FA156" s="39"/>
      <c r="FB156" s="39"/>
      <c r="FC156" s="39"/>
      <c r="FD156" s="39"/>
      <c r="FE156" s="39"/>
      <c r="FF156" s="39"/>
      <c r="FG156" s="39"/>
      <c r="FH156" s="39"/>
      <c r="FI156" s="39"/>
      <c r="FJ156" s="39"/>
      <c r="FK156" s="39"/>
      <c r="FL156" s="39"/>
      <c r="FM156" s="39"/>
      <c r="FN156" s="39"/>
      <c r="FO156" s="39"/>
      <c r="FP156" s="39"/>
      <c r="FQ156" s="39"/>
      <c r="FR156" s="39"/>
      <c r="FS156" s="39"/>
      <c r="FT156" s="39"/>
      <c r="FU156" s="39"/>
      <c r="FV156" s="39"/>
      <c r="FW156" s="39"/>
      <c r="FX156" s="39"/>
      <c r="FY156" s="39"/>
      <c r="FZ156" s="39"/>
      <c r="GA156" s="39"/>
      <c r="GB156" s="39"/>
      <c r="GC156" s="39"/>
      <c r="GD156" s="39"/>
      <c r="GE156" s="39"/>
      <c r="GF156" s="39"/>
      <c r="GG156" s="39"/>
      <c r="GH156" s="39"/>
      <c r="GI156" s="39"/>
      <c r="GJ156" s="39"/>
      <c r="GK156" s="39"/>
      <c r="GL156" s="39"/>
      <c r="GM156" s="39"/>
      <c r="GN156" s="39"/>
      <c r="GO156" s="39"/>
      <c r="GP156" s="39"/>
      <c r="GQ156" s="39"/>
      <c r="GR156" s="39"/>
      <c r="GS156" s="39"/>
      <c r="GT156" s="39"/>
      <c r="GU156" s="39"/>
      <c r="GV156" s="39"/>
    </row>
    <row r="157" ht="14.2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  <c r="EZ157" s="39"/>
      <c r="FA157" s="39"/>
      <c r="FB157" s="39"/>
      <c r="FC157" s="39"/>
      <c r="FD157" s="39"/>
      <c r="FE157" s="39"/>
      <c r="FF157" s="39"/>
      <c r="FG157" s="39"/>
      <c r="FH157" s="39"/>
      <c r="FI157" s="39"/>
      <c r="FJ157" s="39"/>
      <c r="FK157" s="39"/>
      <c r="FL157" s="39"/>
      <c r="FM157" s="39"/>
      <c r="FN157" s="39"/>
      <c r="FO157" s="39"/>
      <c r="FP157" s="39"/>
      <c r="FQ157" s="39"/>
      <c r="FR157" s="39"/>
      <c r="FS157" s="39"/>
      <c r="FT157" s="39"/>
      <c r="FU157" s="39"/>
      <c r="FV157" s="39"/>
      <c r="FW157" s="39"/>
      <c r="FX157" s="39"/>
      <c r="FY157" s="39"/>
      <c r="FZ157" s="39"/>
      <c r="GA157" s="39"/>
      <c r="GB157" s="39"/>
      <c r="GC157" s="39"/>
      <c r="GD157" s="39"/>
      <c r="GE157" s="39"/>
      <c r="GF157" s="39"/>
      <c r="GG157" s="39"/>
      <c r="GH157" s="39"/>
      <c r="GI157" s="39"/>
      <c r="GJ157" s="39"/>
      <c r="GK157" s="39"/>
      <c r="GL157" s="39"/>
      <c r="GM157" s="39"/>
      <c r="GN157" s="39"/>
      <c r="GO157" s="39"/>
      <c r="GP157" s="39"/>
      <c r="GQ157" s="39"/>
      <c r="GR157" s="39"/>
      <c r="GS157" s="39"/>
      <c r="GT157" s="39"/>
      <c r="GU157" s="39"/>
      <c r="GV157" s="39"/>
    </row>
    <row r="158" ht="14.2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  <c r="EZ158" s="39"/>
      <c r="FA158" s="39"/>
      <c r="FB158" s="39"/>
      <c r="FC158" s="39"/>
      <c r="FD158" s="39"/>
      <c r="FE158" s="39"/>
      <c r="FF158" s="39"/>
      <c r="FG158" s="39"/>
      <c r="FH158" s="39"/>
      <c r="FI158" s="39"/>
      <c r="FJ158" s="39"/>
      <c r="FK158" s="39"/>
      <c r="FL158" s="39"/>
      <c r="FM158" s="39"/>
      <c r="FN158" s="39"/>
      <c r="FO158" s="39"/>
      <c r="FP158" s="39"/>
      <c r="FQ158" s="39"/>
      <c r="FR158" s="39"/>
      <c r="FS158" s="39"/>
      <c r="FT158" s="39"/>
      <c r="FU158" s="39"/>
      <c r="FV158" s="39"/>
      <c r="FW158" s="39"/>
      <c r="FX158" s="39"/>
      <c r="FY158" s="39"/>
      <c r="FZ158" s="39"/>
      <c r="GA158" s="39"/>
      <c r="GB158" s="39"/>
      <c r="GC158" s="39"/>
      <c r="GD158" s="39"/>
      <c r="GE158" s="39"/>
      <c r="GF158" s="39"/>
      <c r="GG158" s="39"/>
      <c r="GH158" s="39"/>
      <c r="GI158" s="39"/>
      <c r="GJ158" s="39"/>
      <c r="GK158" s="39"/>
      <c r="GL158" s="39"/>
      <c r="GM158" s="39"/>
      <c r="GN158" s="39"/>
      <c r="GO158" s="39"/>
      <c r="GP158" s="39"/>
      <c r="GQ158" s="39"/>
      <c r="GR158" s="39"/>
      <c r="GS158" s="39"/>
      <c r="GT158" s="39"/>
      <c r="GU158" s="39"/>
      <c r="GV158" s="39"/>
    </row>
    <row r="159" ht="14.2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39"/>
      <c r="FA159" s="39"/>
      <c r="FB159" s="39"/>
      <c r="FC159" s="39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39"/>
      <c r="FQ159" s="39"/>
      <c r="FR159" s="39"/>
      <c r="FS159" s="39"/>
      <c r="FT159" s="39"/>
      <c r="FU159" s="39"/>
      <c r="FV159" s="39"/>
      <c r="FW159" s="39"/>
      <c r="FX159" s="39"/>
      <c r="FY159" s="39"/>
      <c r="FZ159" s="39"/>
      <c r="GA159" s="39"/>
      <c r="GB159" s="39"/>
      <c r="GC159" s="39"/>
      <c r="GD159" s="39"/>
      <c r="GE159" s="39"/>
      <c r="GF159" s="39"/>
      <c r="GG159" s="39"/>
      <c r="GH159" s="39"/>
      <c r="GI159" s="39"/>
      <c r="GJ159" s="39"/>
      <c r="GK159" s="39"/>
      <c r="GL159" s="39"/>
      <c r="GM159" s="39"/>
      <c r="GN159" s="39"/>
      <c r="GO159" s="39"/>
      <c r="GP159" s="39"/>
      <c r="GQ159" s="39"/>
      <c r="GR159" s="39"/>
      <c r="GS159" s="39"/>
      <c r="GT159" s="39"/>
      <c r="GU159" s="39"/>
      <c r="GV159" s="39"/>
    </row>
    <row r="160" ht="14.2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  <c r="EZ160" s="39"/>
      <c r="FA160" s="39"/>
      <c r="FB160" s="39"/>
      <c r="FC160" s="39"/>
      <c r="FD160" s="39"/>
      <c r="FE160" s="39"/>
      <c r="FF160" s="39"/>
      <c r="FG160" s="39"/>
      <c r="FH160" s="39"/>
      <c r="FI160" s="39"/>
      <c r="FJ160" s="39"/>
      <c r="FK160" s="39"/>
      <c r="FL160" s="39"/>
      <c r="FM160" s="39"/>
      <c r="FN160" s="39"/>
      <c r="FO160" s="39"/>
      <c r="FP160" s="39"/>
      <c r="FQ160" s="39"/>
      <c r="FR160" s="39"/>
      <c r="FS160" s="39"/>
      <c r="FT160" s="39"/>
      <c r="FU160" s="39"/>
      <c r="FV160" s="39"/>
      <c r="FW160" s="39"/>
      <c r="FX160" s="39"/>
      <c r="FY160" s="39"/>
      <c r="FZ160" s="39"/>
      <c r="GA160" s="39"/>
      <c r="GB160" s="39"/>
      <c r="GC160" s="39"/>
      <c r="GD160" s="39"/>
      <c r="GE160" s="39"/>
      <c r="GF160" s="39"/>
      <c r="GG160" s="39"/>
      <c r="GH160" s="39"/>
      <c r="GI160" s="39"/>
      <c r="GJ160" s="39"/>
      <c r="GK160" s="39"/>
      <c r="GL160" s="39"/>
      <c r="GM160" s="39"/>
      <c r="GN160" s="39"/>
      <c r="GO160" s="39"/>
      <c r="GP160" s="39"/>
      <c r="GQ160" s="39"/>
      <c r="GR160" s="39"/>
      <c r="GS160" s="39"/>
      <c r="GT160" s="39"/>
      <c r="GU160" s="39"/>
      <c r="GV160" s="39"/>
    </row>
    <row r="161" ht="14.2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  <c r="EZ161" s="39"/>
      <c r="FA161" s="39"/>
      <c r="FB161" s="39"/>
      <c r="FC161" s="39"/>
      <c r="FD161" s="39"/>
      <c r="FE161" s="39"/>
      <c r="FF161" s="39"/>
      <c r="FG161" s="39"/>
      <c r="FH161" s="39"/>
      <c r="FI161" s="39"/>
      <c r="FJ161" s="39"/>
      <c r="FK161" s="39"/>
      <c r="FL161" s="39"/>
      <c r="FM161" s="39"/>
      <c r="FN161" s="39"/>
      <c r="FO161" s="39"/>
      <c r="FP161" s="39"/>
      <c r="FQ161" s="39"/>
      <c r="FR161" s="39"/>
      <c r="FS161" s="39"/>
      <c r="FT161" s="39"/>
      <c r="FU161" s="39"/>
      <c r="FV161" s="39"/>
      <c r="FW161" s="39"/>
      <c r="FX161" s="39"/>
      <c r="FY161" s="39"/>
      <c r="FZ161" s="39"/>
      <c r="GA161" s="39"/>
      <c r="GB161" s="39"/>
      <c r="GC161" s="39"/>
      <c r="GD161" s="39"/>
      <c r="GE161" s="39"/>
      <c r="GF161" s="39"/>
      <c r="GG161" s="39"/>
      <c r="GH161" s="39"/>
      <c r="GI161" s="39"/>
      <c r="GJ161" s="39"/>
      <c r="GK161" s="39"/>
      <c r="GL161" s="39"/>
      <c r="GM161" s="39"/>
      <c r="GN161" s="39"/>
      <c r="GO161" s="39"/>
      <c r="GP161" s="39"/>
      <c r="GQ161" s="39"/>
      <c r="GR161" s="39"/>
      <c r="GS161" s="39"/>
      <c r="GT161" s="39"/>
      <c r="GU161" s="39"/>
      <c r="GV161" s="39"/>
    </row>
    <row r="162" ht="14.2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  <c r="EZ162" s="39"/>
      <c r="FA162" s="39"/>
      <c r="FB162" s="39"/>
      <c r="FC162" s="39"/>
      <c r="FD162" s="39"/>
      <c r="FE162" s="39"/>
      <c r="FF162" s="39"/>
      <c r="FG162" s="39"/>
      <c r="FH162" s="39"/>
      <c r="FI162" s="39"/>
      <c r="FJ162" s="39"/>
      <c r="FK162" s="39"/>
      <c r="FL162" s="39"/>
      <c r="FM162" s="39"/>
      <c r="FN162" s="39"/>
      <c r="FO162" s="39"/>
      <c r="FP162" s="39"/>
      <c r="FQ162" s="39"/>
      <c r="FR162" s="39"/>
      <c r="FS162" s="39"/>
      <c r="FT162" s="39"/>
      <c r="FU162" s="39"/>
      <c r="FV162" s="39"/>
      <c r="FW162" s="39"/>
      <c r="FX162" s="39"/>
      <c r="FY162" s="39"/>
      <c r="FZ162" s="39"/>
      <c r="GA162" s="39"/>
      <c r="GB162" s="39"/>
      <c r="GC162" s="39"/>
      <c r="GD162" s="39"/>
      <c r="GE162" s="39"/>
      <c r="GF162" s="39"/>
      <c r="GG162" s="39"/>
      <c r="GH162" s="39"/>
      <c r="GI162" s="39"/>
      <c r="GJ162" s="39"/>
      <c r="GK162" s="39"/>
      <c r="GL162" s="39"/>
      <c r="GM162" s="39"/>
      <c r="GN162" s="39"/>
      <c r="GO162" s="39"/>
      <c r="GP162" s="39"/>
      <c r="GQ162" s="39"/>
      <c r="GR162" s="39"/>
      <c r="GS162" s="39"/>
      <c r="GT162" s="39"/>
      <c r="GU162" s="39"/>
      <c r="GV162" s="39"/>
    </row>
    <row r="163" ht="14.2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  <c r="EZ163" s="39"/>
      <c r="FA163" s="39"/>
      <c r="FB163" s="39"/>
      <c r="FC163" s="39"/>
      <c r="FD163" s="39"/>
      <c r="FE163" s="39"/>
      <c r="FF163" s="39"/>
      <c r="FG163" s="39"/>
      <c r="FH163" s="39"/>
      <c r="FI163" s="39"/>
      <c r="FJ163" s="39"/>
      <c r="FK163" s="39"/>
      <c r="FL163" s="39"/>
      <c r="FM163" s="39"/>
      <c r="FN163" s="39"/>
      <c r="FO163" s="39"/>
      <c r="FP163" s="39"/>
      <c r="FQ163" s="39"/>
      <c r="FR163" s="39"/>
      <c r="FS163" s="39"/>
      <c r="FT163" s="39"/>
      <c r="FU163" s="39"/>
      <c r="FV163" s="39"/>
      <c r="FW163" s="39"/>
      <c r="FX163" s="39"/>
      <c r="FY163" s="39"/>
      <c r="FZ163" s="39"/>
      <c r="GA163" s="39"/>
      <c r="GB163" s="39"/>
      <c r="GC163" s="39"/>
      <c r="GD163" s="39"/>
      <c r="GE163" s="39"/>
      <c r="GF163" s="39"/>
      <c r="GG163" s="39"/>
      <c r="GH163" s="39"/>
      <c r="GI163" s="39"/>
      <c r="GJ163" s="39"/>
      <c r="GK163" s="39"/>
      <c r="GL163" s="39"/>
      <c r="GM163" s="39"/>
      <c r="GN163" s="39"/>
      <c r="GO163" s="39"/>
      <c r="GP163" s="39"/>
      <c r="GQ163" s="39"/>
      <c r="GR163" s="39"/>
      <c r="GS163" s="39"/>
      <c r="GT163" s="39"/>
      <c r="GU163" s="39"/>
      <c r="GV163" s="39"/>
    </row>
    <row r="164" ht="14.2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  <c r="EV164" s="39"/>
      <c r="EW164" s="39"/>
      <c r="EX164" s="39"/>
      <c r="EY164" s="39"/>
      <c r="EZ164" s="39"/>
      <c r="FA164" s="39"/>
      <c r="FB164" s="39"/>
      <c r="FC164" s="39"/>
      <c r="FD164" s="39"/>
      <c r="FE164" s="39"/>
      <c r="FF164" s="39"/>
      <c r="FG164" s="39"/>
      <c r="FH164" s="39"/>
      <c r="FI164" s="39"/>
      <c r="FJ164" s="39"/>
      <c r="FK164" s="39"/>
      <c r="FL164" s="39"/>
      <c r="FM164" s="39"/>
      <c r="FN164" s="39"/>
      <c r="FO164" s="39"/>
      <c r="FP164" s="39"/>
      <c r="FQ164" s="39"/>
      <c r="FR164" s="39"/>
      <c r="FS164" s="39"/>
      <c r="FT164" s="39"/>
      <c r="FU164" s="39"/>
      <c r="FV164" s="39"/>
      <c r="FW164" s="39"/>
      <c r="FX164" s="39"/>
      <c r="FY164" s="39"/>
      <c r="FZ164" s="39"/>
      <c r="GA164" s="39"/>
      <c r="GB164" s="39"/>
      <c r="GC164" s="39"/>
      <c r="GD164" s="39"/>
      <c r="GE164" s="39"/>
      <c r="GF164" s="39"/>
      <c r="GG164" s="39"/>
      <c r="GH164" s="39"/>
      <c r="GI164" s="39"/>
      <c r="GJ164" s="39"/>
      <c r="GK164" s="39"/>
      <c r="GL164" s="39"/>
      <c r="GM164" s="39"/>
      <c r="GN164" s="39"/>
      <c r="GO164" s="39"/>
      <c r="GP164" s="39"/>
      <c r="GQ164" s="39"/>
      <c r="GR164" s="39"/>
      <c r="GS164" s="39"/>
      <c r="GT164" s="39"/>
      <c r="GU164" s="39"/>
      <c r="GV164" s="39"/>
    </row>
    <row r="165" ht="14.2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39"/>
      <c r="FA165" s="39"/>
      <c r="FB165" s="39"/>
      <c r="FC165" s="39"/>
      <c r="FD165" s="39"/>
      <c r="FE165" s="39"/>
      <c r="FF165" s="39"/>
      <c r="FG165" s="39"/>
      <c r="FH165" s="39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  <c r="FU165" s="39"/>
      <c r="FV165" s="39"/>
      <c r="FW165" s="39"/>
      <c r="FX165" s="39"/>
      <c r="FY165" s="39"/>
      <c r="FZ165" s="39"/>
      <c r="GA165" s="39"/>
      <c r="GB165" s="39"/>
      <c r="GC165" s="39"/>
      <c r="GD165" s="39"/>
      <c r="GE165" s="39"/>
      <c r="GF165" s="39"/>
      <c r="GG165" s="39"/>
      <c r="GH165" s="39"/>
      <c r="GI165" s="39"/>
      <c r="GJ165" s="39"/>
      <c r="GK165" s="39"/>
      <c r="GL165" s="39"/>
      <c r="GM165" s="39"/>
      <c r="GN165" s="39"/>
      <c r="GO165" s="39"/>
      <c r="GP165" s="39"/>
      <c r="GQ165" s="39"/>
      <c r="GR165" s="39"/>
      <c r="GS165" s="39"/>
      <c r="GT165" s="39"/>
      <c r="GU165" s="39"/>
      <c r="GV165" s="39"/>
    </row>
    <row r="166" ht="14.2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</row>
    <row r="167" ht="14.2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39"/>
      <c r="FF167" s="39"/>
      <c r="FG167" s="39"/>
      <c r="FH167" s="39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39"/>
      <c r="FU167" s="39"/>
      <c r="FV167" s="39"/>
      <c r="FW167" s="39"/>
      <c r="FX167" s="39"/>
      <c r="FY167" s="39"/>
      <c r="FZ167" s="39"/>
      <c r="GA167" s="39"/>
      <c r="GB167" s="39"/>
      <c r="GC167" s="39"/>
      <c r="GD167" s="39"/>
      <c r="GE167" s="39"/>
      <c r="GF167" s="39"/>
      <c r="GG167" s="39"/>
      <c r="GH167" s="39"/>
      <c r="GI167" s="39"/>
      <c r="GJ167" s="39"/>
      <c r="GK167" s="39"/>
      <c r="GL167" s="39"/>
      <c r="GM167" s="39"/>
      <c r="GN167" s="39"/>
      <c r="GO167" s="39"/>
      <c r="GP167" s="39"/>
      <c r="GQ167" s="39"/>
      <c r="GR167" s="39"/>
      <c r="GS167" s="39"/>
      <c r="GT167" s="39"/>
      <c r="GU167" s="39"/>
      <c r="GV167" s="39"/>
    </row>
    <row r="168" ht="14.2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39"/>
      <c r="FA168" s="39"/>
      <c r="FB168" s="39"/>
      <c r="FC168" s="39"/>
      <c r="FD168" s="39"/>
      <c r="FE168" s="39"/>
      <c r="FF168" s="39"/>
      <c r="FG168" s="39"/>
      <c r="FH168" s="39"/>
      <c r="FI168" s="39"/>
      <c r="FJ168" s="39"/>
      <c r="FK168" s="39"/>
      <c r="FL168" s="39"/>
      <c r="FM168" s="39"/>
      <c r="FN168" s="39"/>
      <c r="FO168" s="39"/>
      <c r="FP168" s="39"/>
      <c r="FQ168" s="39"/>
      <c r="FR168" s="39"/>
      <c r="FS168" s="39"/>
      <c r="FT168" s="39"/>
      <c r="FU168" s="39"/>
      <c r="FV168" s="39"/>
      <c r="FW168" s="39"/>
      <c r="FX168" s="39"/>
      <c r="FY168" s="39"/>
      <c r="FZ168" s="39"/>
      <c r="GA168" s="39"/>
      <c r="GB168" s="39"/>
      <c r="GC168" s="39"/>
      <c r="GD168" s="39"/>
      <c r="GE168" s="39"/>
      <c r="GF168" s="39"/>
      <c r="GG168" s="39"/>
      <c r="GH168" s="39"/>
      <c r="GI168" s="39"/>
      <c r="GJ168" s="39"/>
      <c r="GK168" s="39"/>
      <c r="GL168" s="39"/>
      <c r="GM168" s="39"/>
      <c r="GN168" s="39"/>
      <c r="GO168" s="39"/>
      <c r="GP168" s="39"/>
      <c r="GQ168" s="39"/>
      <c r="GR168" s="39"/>
      <c r="GS168" s="39"/>
      <c r="GT168" s="39"/>
      <c r="GU168" s="39"/>
      <c r="GV168" s="39"/>
    </row>
    <row r="169" ht="14.2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  <c r="EV169" s="39"/>
      <c r="EW169" s="39"/>
      <c r="EX169" s="39"/>
      <c r="EY169" s="39"/>
      <c r="EZ169" s="39"/>
      <c r="FA169" s="39"/>
      <c r="FB169" s="39"/>
      <c r="FC169" s="39"/>
      <c r="FD169" s="39"/>
      <c r="FE169" s="39"/>
      <c r="FF169" s="39"/>
      <c r="FG169" s="39"/>
      <c r="FH169" s="39"/>
      <c r="FI169" s="39"/>
      <c r="FJ169" s="39"/>
      <c r="FK169" s="39"/>
      <c r="FL169" s="39"/>
      <c r="FM169" s="39"/>
      <c r="FN169" s="39"/>
      <c r="FO169" s="39"/>
      <c r="FP169" s="39"/>
      <c r="FQ169" s="39"/>
      <c r="FR169" s="39"/>
      <c r="FS169" s="39"/>
      <c r="FT169" s="39"/>
      <c r="FU169" s="39"/>
      <c r="FV169" s="39"/>
      <c r="FW169" s="39"/>
      <c r="FX169" s="39"/>
      <c r="FY169" s="39"/>
      <c r="FZ169" s="39"/>
      <c r="GA169" s="39"/>
      <c r="GB169" s="39"/>
      <c r="GC169" s="39"/>
      <c r="GD169" s="39"/>
      <c r="GE169" s="39"/>
      <c r="GF169" s="39"/>
      <c r="GG169" s="39"/>
      <c r="GH169" s="39"/>
      <c r="GI169" s="39"/>
      <c r="GJ169" s="39"/>
      <c r="GK169" s="39"/>
      <c r="GL169" s="39"/>
      <c r="GM169" s="39"/>
      <c r="GN169" s="39"/>
      <c r="GO169" s="39"/>
      <c r="GP169" s="39"/>
      <c r="GQ169" s="39"/>
      <c r="GR169" s="39"/>
      <c r="GS169" s="39"/>
      <c r="GT169" s="39"/>
      <c r="GU169" s="39"/>
      <c r="GV169" s="39"/>
    </row>
    <row r="170" ht="14.2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  <c r="EZ170" s="39"/>
      <c r="FA170" s="39"/>
      <c r="FB170" s="39"/>
      <c r="FC170" s="39"/>
      <c r="FD170" s="39"/>
      <c r="FE170" s="39"/>
      <c r="FF170" s="39"/>
      <c r="FG170" s="39"/>
      <c r="FH170" s="39"/>
      <c r="FI170" s="39"/>
      <c r="FJ170" s="39"/>
      <c r="FK170" s="39"/>
      <c r="FL170" s="39"/>
      <c r="FM170" s="39"/>
      <c r="FN170" s="39"/>
      <c r="FO170" s="39"/>
      <c r="FP170" s="39"/>
      <c r="FQ170" s="39"/>
      <c r="FR170" s="39"/>
      <c r="FS170" s="39"/>
      <c r="FT170" s="39"/>
      <c r="FU170" s="39"/>
      <c r="FV170" s="39"/>
      <c r="FW170" s="39"/>
      <c r="FX170" s="39"/>
      <c r="FY170" s="39"/>
      <c r="FZ170" s="39"/>
      <c r="GA170" s="39"/>
      <c r="GB170" s="39"/>
      <c r="GC170" s="39"/>
      <c r="GD170" s="39"/>
      <c r="GE170" s="39"/>
      <c r="GF170" s="39"/>
      <c r="GG170" s="39"/>
      <c r="GH170" s="39"/>
      <c r="GI170" s="39"/>
      <c r="GJ170" s="39"/>
      <c r="GK170" s="39"/>
      <c r="GL170" s="39"/>
      <c r="GM170" s="39"/>
      <c r="GN170" s="39"/>
      <c r="GO170" s="39"/>
      <c r="GP170" s="39"/>
      <c r="GQ170" s="39"/>
      <c r="GR170" s="39"/>
      <c r="GS170" s="39"/>
      <c r="GT170" s="39"/>
      <c r="GU170" s="39"/>
      <c r="GV170" s="39"/>
    </row>
    <row r="171" ht="14.2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  <c r="EZ171" s="39"/>
      <c r="FA171" s="39"/>
      <c r="FB171" s="39"/>
      <c r="FC171" s="39"/>
      <c r="FD171" s="39"/>
      <c r="FE171" s="39"/>
      <c r="FF171" s="39"/>
      <c r="FG171" s="39"/>
      <c r="FH171" s="39"/>
      <c r="FI171" s="39"/>
      <c r="FJ171" s="39"/>
      <c r="FK171" s="39"/>
      <c r="FL171" s="39"/>
      <c r="FM171" s="39"/>
      <c r="FN171" s="39"/>
      <c r="FO171" s="39"/>
      <c r="FP171" s="39"/>
      <c r="FQ171" s="39"/>
      <c r="FR171" s="39"/>
      <c r="FS171" s="39"/>
      <c r="FT171" s="39"/>
      <c r="FU171" s="39"/>
      <c r="FV171" s="39"/>
      <c r="FW171" s="39"/>
      <c r="FX171" s="39"/>
      <c r="FY171" s="39"/>
      <c r="FZ171" s="39"/>
      <c r="GA171" s="39"/>
      <c r="GB171" s="39"/>
      <c r="GC171" s="39"/>
      <c r="GD171" s="39"/>
      <c r="GE171" s="39"/>
      <c r="GF171" s="39"/>
      <c r="GG171" s="39"/>
      <c r="GH171" s="39"/>
      <c r="GI171" s="39"/>
      <c r="GJ171" s="39"/>
      <c r="GK171" s="39"/>
      <c r="GL171" s="39"/>
      <c r="GM171" s="39"/>
      <c r="GN171" s="39"/>
      <c r="GO171" s="39"/>
      <c r="GP171" s="39"/>
      <c r="GQ171" s="39"/>
      <c r="GR171" s="39"/>
      <c r="GS171" s="39"/>
      <c r="GT171" s="39"/>
      <c r="GU171" s="39"/>
      <c r="GV171" s="39"/>
    </row>
    <row r="172" ht="14.2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  <c r="EZ172" s="39"/>
      <c r="FA172" s="39"/>
      <c r="FB172" s="39"/>
      <c r="FC172" s="39"/>
      <c r="FD172" s="39"/>
      <c r="FE172" s="39"/>
      <c r="FF172" s="39"/>
      <c r="FG172" s="39"/>
      <c r="FH172" s="39"/>
      <c r="FI172" s="39"/>
      <c r="FJ172" s="39"/>
      <c r="FK172" s="39"/>
      <c r="FL172" s="39"/>
      <c r="FM172" s="39"/>
      <c r="FN172" s="39"/>
      <c r="FO172" s="39"/>
      <c r="FP172" s="39"/>
      <c r="FQ172" s="39"/>
      <c r="FR172" s="39"/>
      <c r="FS172" s="39"/>
      <c r="FT172" s="39"/>
      <c r="FU172" s="39"/>
      <c r="FV172" s="39"/>
      <c r="FW172" s="39"/>
      <c r="FX172" s="39"/>
      <c r="FY172" s="39"/>
      <c r="FZ172" s="39"/>
      <c r="GA172" s="39"/>
      <c r="GB172" s="39"/>
      <c r="GC172" s="39"/>
      <c r="GD172" s="39"/>
      <c r="GE172" s="39"/>
      <c r="GF172" s="39"/>
      <c r="GG172" s="39"/>
      <c r="GH172" s="39"/>
      <c r="GI172" s="39"/>
      <c r="GJ172" s="39"/>
      <c r="GK172" s="39"/>
      <c r="GL172" s="39"/>
      <c r="GM172" s="39"/>
      <c r="GN172" s="39"/>
      <c r="GO172" s="39"/>
      <c r="GP172" s="39"/>
      <c r="GQ172" s="39"/>
      <c r="GR172" s="39"/>
      <c r="GS172" s="39"/>
      <c r="GT172" s="39"/>
      <c r="GU172" s="39"/>
      <c r="GV172" s="39"/>
    </row>
    <row r="173" ht="14.2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  <c r="EZ173" s="39"/>
      <c r="FA173" s="39"/>
      <c r="FB173" s="39"/>
      <c r="FC173" s="39"/>
      <c r="FD173" s="39"/>
      <c r="FE173" s="39"/>
      <c r="FF173" s="39"/>
      <c r="FG173" s="39"/>
      <c r="FH173" s="39"/>
      <c r="FI173" s="39"/>
      <c r="FJ173" s="39"/>
      <c r="FK173" s="39"/>
      <c r="FL173" s="39"/>
      <c r="FM173" s="39"/>
      <c r="FN173" s="39"/>
      <c r="FO173" s="39"/>
      <c r="FP173" s="39"/>
      <c r="FQ173" s="39"/>
      <c r="FR173" s="39"/>
      <c r="FS173" s="39"/>
      <c r="FT173" s="39"/>
      <c r="FU173" s="39"/>
      <c r="FV173" s="39"/>
      <c r="FW173" s="39"/>
      <c r="FX173" s="39"/>
      <c r="FY173" s="39"/>
      <c r="FZ173" s="39"/>
      <c r="GA173" s="39"/>
      <c r="GB173" s="39"/>
      <c r="GC173" s="39"/>
      <c r="GD173" s="39"/>
      <c r="GE173" s="39"/>
      <c r="GF173" s="39"/>
      <c r="GG173" s="39"/>
      <c r="GH173" s="39"/>
      <c r="GI173" s="39"/>
      <c r="GJ173" s="39"/>
      <c r="GK173" s="39"/>
      <c r="GL173" s="39"/>
      <c r="GM173" s="39"/>
      <c r="GN173" s="39"/>
      <c r="GO173" s="39"/>
      <c r="GP173" s="39"/>
      <c r="GQ173" s="39"/>
      <c r="GR173" s="39"/>
      <c r="GS173" s="39"/>
      <c r="GT173" s="39"/>
      <c r="GU173" s="39"/>
      <c r="GV173" s="39"/>
    </row>
    <row r="174" ht="14.2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  <c r="EV174" s="39"/>
      <c r="EW174" s="39"/>
      <c r="EX174" s="39"/>
      <c r="EY174" s="39"/>
      <c r="EZ174" s="39"/>
      <c r="FA174" s="39"/>
      <c r="FB174" s="39"/>
      <c r="FC174" s="39"/>
      <c r="FD174" s="39"/>
      <c r="FE174" s="39"/>
      <c r="FF174" s="39"/>
      <c r="FG174" s="39"/>
      <c r="FH174" s="39"/>
      <c r="FI174" s="39"/>
      <c r="FJ174" s="39"/>
      <c r="FK174" s="39"/>
      <c r="FL174" s="39"/>
      <c r="FM174" s="39"/>
      <c r="FN174" s="39"/>
      <c r="FO174" s="39"/>
      <c r="FP174" s="39"/>
      <c r="FQ174" s="39"/>
      <c r="FR174" s="39"/>
      <c r="FS174" s="39"/>
      <c r="FT174" s="39"/>
      <c r="FU174" s="39"/>
      <c r="FV174" s="39"/>
      <c r="FW174" s="39"/>
      <c r="FX174" s="39"/>
      <c r="FY174" s="39"/>
      <c r="FZ174" s="39"/>
      <c r="GA174" s="39"/>
      <c r="GB174" s="39"/>
      <c r="GC174" s="39"/>
      <c r="GD174" s="39"/>
      <c r="GE174" s="39"/>
      <c r="GF174" s="39"/>
      <c r="GG174" s="39"/>
      <c r="GH174" s="39"/>
      <c r="GI174" s="39"/>
      <c r="GJ174" s="39"/>
      <c r="GK174" s="39"/>
      <c r="GL174" s="39"/>
      <c r="GM174" s="39"/>
      <c r="GN174" s="39"/>
      <c r="GO174" s="39"/>
      <c r="GP174" s="39"/>
      <c r="GQ174" s="39"/>
      <c r="GR174" s="39"/>
      <c r="GS174" s="39"/>
      <c r="GT174" s="39"/>
      <c r="GU174" s="39"/>
      <c r="GV174" s="39"/>
    </row>
    <row r="175" ht="14.2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  <c r="EZ175" s="39"/>
      <c r="FA175" s="39"/>
      <c r="FB175" s="39"/>
      <c r="FC175" s="39"/>
      <c r="FD175" s="39"/>
      <c r="FE175" s="39"/>
      <c r="FF175" s="39"/>
      <c r="FG175" s="39"/>
      <c r="FH175" s="39"/>
      <c r="FI175" s="39"/>
      <c r="FJ175" s="39"/>
      <c r="FK175" s="39"/>
      <c r="FL175" s="39"/>
      <c r="FM175" s="39"/>
      <c r="FN175" s="39"/>
      <c r="FO175" s="39"/>
      <c r="FP175" s="39"/>
      <c r="FQ175" s="39"/>
      <c r="FR175" s="39"/>
      <c r="FS175" s="39"/>
      <c r="FT175" s="39"/>
      <c r="FU175" s="39"/>
      <c r="FV175" s="39"/>
      <c r="FW175" s="39"/>
      <c r="FX175" s="39"/>
      <c r="FY175" s="39"/>
      <c r="FZ175" s="39"/>
      <c r="GA175" s="39"/>
      <c r="GB175" s="39"/>
      <c r="GC175" s="39"/>
      <c r="GD175" s="39"/>
      <c r="GE175" s="39"/>
      <c r="GF175" s="39"/>
      <c r="GG175" s="39"/>
      <c r="GH175" s="39"/>
      <c r="GI175" s="39"/>
      <c r="GJ175" s="39"/>
      <c r="GK175" s="39"/>
      <c r="GL175" s="39"/>
      <c r="GM175" s="39"/>
      <c r="GN175" s="39"/>
      <c r="GO175" s="39"/>
      <c r="GP175" s="39"/>
      <c r="GQ175" s="39"/>
      <c r="GR175" s="39"/>
      <c r="GS175" s="39"/>
      <c r="GT175" s="39"/>
      <c r="GU175" s="39"/>
      <c r="GV175" s="39"/>
    </row>
    <row r="176" ht="14.2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  <c r="EZ176" s="39"/>
      <c r="FA176" s="39"/>
      <c r="FB176" s="39"/>
      <c r="FC176" s="39"/>
      <c r="FD176" s="39"/>
      <c r="FE176" s="39"/>
      <c r="FF176" s="39"/>
      <c r="FG176" s="39"/>
      <c r="FH176" s="39"/>
      <c r="FI176" s="39"/>
      <c r="FJ176" s="39"/>
      <c r="FK176" s="39"/>
      <c r="FL176" s="39"/>
      <c r="FM176" s="39"/>
      <c r="FN176" s="39"/>
      <c r="FO176" s="39"/>
      <c r="FP176" s="39"/>
      <c r="FQ176" s="39"/>
      <c r="FR176" s="39"/>
      <c r="FS176" s="39"/>
      <c r="FT176" s="39"/>
      <c r="FU176" s="39"/>
      <c r="FV176" s="39"/>
      <c r="FW176" s="39"/>
      <c r="FX176" s="39"/>
      <c r="FY176" s="39"/>
      <c r="FZ176" s="39"/>
      <c r="GA176" s="39"/>
      <c r="GB176" s="39"/>
      <c r="GC176" s="39"/>
      <c r="GD176" s="39"/>
      <c r="GE176" s="39"/>
      <c r="GF176" s="39"/>
      <c r="GG176" s="39"/>
      <c r="GH176" s="39"/>
      <c r="GI176" s="39"/>
      <c r="GJ176" s="39"/>
      <c r="GK176" s="39"/>
      <c r="GL176" s="39"/>
      <c r="GM176" s="39"/>
      <c r="GN176" s="39"/>
      <c r="GO176" s="39"/>
      <c r="GP176" s="39"/>
      <c r="GQ176" s="39"/>
      <c r="GR176" s="39"/>
      <c r="GS176" s="39"/>
      <c r="GT176" s="39"/>
      <c r="GU176" s="39"/>
      <c r="GV176" s="39"/>
    </row>
    <row r="177" ht="14.2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39"/>
      <c r="FA177" s="39"/>
      <c r="FB177" s="39"/>
      <c r="FC177" s="39"/>
      <c r="FD177" s="39"/>
      <c r="FE177" s="39"/>
      <c r="FF177" s="39"/>
      <c r="FG177" s="39"/>
      <c r="FH177" s="39"/>
      <c r="FI177" s="39"/>
      <c r="FJ177" s="39"/>
      <c r="FK177" s="39"/>
      <c r="FL177" s="39"/>
      <c r="FM177" s="39"/>
      <c r="FN177" s="39"/>
      <c r="FO177" s="39"/>
      <c r="FP177" s="39"/>
      <c r="FQ177" s="39"/>
      <c r="FR177" s="39"/>
      <c r="FS177" s="39"/>
      <c r="FT177" s="39"/>
      <c r="FU177" s="39"/>
      <c r="FV177" s="39"/>
      <c r="FW177" s="39"/>
      <c r="FX177" s="39"/>
      <c r="FY177" s="39"/>
      <c r="FZ177" s="39"/>
      <c r="GA177" s="39"/>
      <c r="GB177" s="39"/>
      <c r="GC177" s="39"/>
      <c r="GD177" s="39"/>
      <c r="GE177" s="39"/>
      <c r="GF177" s="39"/>
      <c r="GG177" s="39"/>
      <c r="GH177" s="39"/>
      <c r="GI177" s="39"/>
      <c r="GJ177" s="39"/>
      <c r="GK177" s="39"/>
      <c r="GL177" s="39"/>
      <c r="GM177" s="39"/>
      <c r="GN177" s="39"/>
      <c r="GO177" s="39"/>
      <c r="GP177" s="39"/>
      <c r="GQ177" s="39"/>
      <c r="GR177" s="39"/>
      <c r="GS177" s="39"/>
      <c r="GT177" s="39"/>
      <c r="GU177" s="39"/>
      <c r="GV177" s="39"/>
    </row>
    <row r="178" ht="14.2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  <c r="EZ178" s="39"/>
      <c r="FA178" s="39"/>
      <c r="FB178" s="39"/>
      <c r="FC178" s="39"/>
      <c r="FD178" s="39"/>
      <c r="FE178" s="39"/>
      <c r="FF178" s="39"/>
      <c r="FG178" s="39"/>
      <c r="FH178" s="39"/>
      <c r="FI178" s="39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</row>
    <row r="179" ht="14.2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  <c r="EZ179" s="39"/>
      <c r="FA179" s="39"/>
      <c r="FB179" s="39"/>
      <c r="FC179" s="39"/>
      <c r="FD179" s="39"/>
      <c r="FE179" s="39"/>
      <c r="FF179" s="39"/>
      <c r="FG179" s="39"/>
      <c r="FH179" s="39"/>
      <c r="FI179" s="39"/>
      <c r="FJ179" s="39"/>
      <c r="FK179" s="39"/>
      <c r="FL179" s="39"/>
      <c r="FM179" s="39"/>
      <c r="FN179" s="39"/>
      <c r="FO179" s="39"/>
      <c r="FP179" s="39"/>
      <c r="FQ179" s="39"/>
      <c r="FR179" s="39"/>
      <c r="FS179" s="39"/>
      <c r="FT179" s="39"/>
      <c r="FU179" s="39"/>
      <c r="FV179" s="39"/>
      <c r="FW179" s="39"/>
      <c r="FX179" s="39"/>
      <c r="FY179" s="39"/>
      <c r="FZ179" s="39"/>
      <c r="GA179" s="39"/>
      <c r="GB179" s="39"/>
      <c r="GC179" s="39"/>
      <c r="GD179" s="39"/>
      <c r="GE179" s="39"/>
      <c r="GF179" s="39"/>
      <c r="GG179" s="39"/>
      <c r="GH179" s="39"/>
      <c r="GI179" s="39"/>
      <c r="GJ179" s="39"/>
      <c r="GK179" s="39"/>
      <c r="GL179" s="39"/>
      <c r="GM179" s="39"/>
      <c r="GN179" s="39"/>
      <c r="GO179" s="39"/>
      <c r="GP179" s="39"/>
      <c r="GQ179" s="39"/>
      <c r="GR179" s="39"/>
      <c r="GS179" s="39"/>
      <c r="GT179" s="39"/>
      <c r="GU179" s="39"/>
      <c r="GV179" s="39"/>
    </row>
    <row r="180" ht="14.2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9"/>
      <c r="FE180" s="39"/>
      <c r="FF180" s="39"/>
      <c r="FG180" s="39"/>
      <c r="FH180" s="39"/>
      <c r="FI180" s="39"/>
      <c r="FJ180" s="39"/>
      <c r="FK180" s="39"/>
      <c r="FL180" s="39"/>
      <c r="FM180" s="39"/>
      <c r="FN180" s="39"/>
      <c r="FO180" s="39"/>
      <c r="FP180" s="39"/>
      <c r="FQ180" s="39"/>
      <c r="FR180" s="39"/>
      <c r="FS180" s="39"/>
      <c r="FT180" s="39"/>
      <c r="FU180" s="39"/>
      <c r="FV180" s="39"/>
      <c r="FW180" s="39"/>
      <c r="FX180" s="39"/>
      <c r="FY180" s="39"/>
      <c r="FZ180" s="39"/>
      <c r="GA180" s="39"/>
      <c r="GB180" s="39"/>
      <c r="GC180" s="39"/>
      <c r="GD180" s="39"/>
      <c r="GE180" s="39"/>
      <c r="GF180" s="39"/>
      <c r="GG180" s="39"/>
      <c r="GH180" s="39"/>
      <c r="GI180" s="39"/>
      <c r="GJ180" s="39"/>
      <c r="GK180" s="39"/>
      <c r="GL180" s="39"/>
      <c r="GM180" s="39"/>
      <c r="GN180" s="39"/>
      <c r="GO180" s="39"/>
      <c r="GP180" s="39"/>
      <c r="GQ180" s="39"/>
      <c r="GR180" s="39"/>
      <c r="GS180" s="39"/>
      <c r="GT180" s="39"/>
      <c r="GU180" s="39"/>
      <c r="GV180" s="39"/>
    </row>
    <row r="181" ht="14.2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  <c r="EZ181" s="39"/>
      <c r="FA181" s="39"/>
      <c r="FB181" s="39"/>
      <c r="FC181" s="39"/>
      <c r="FD181" s="39"/>
      <c r="FE181" s="39"/>
      <c r="FF181" s="39"/>
      <c r="FG181" s="39"/>
      <c r="FH181" s="39"/>
      <c r="FI181" s="39"/>
      <c r="FJ181" s="39"/>
      <c r="FK181" s="39"/>
      <c r="FL181" s="39"/>
      <c r="FM181" s="39"/>
      <c r="FN181" s="39"/>
      <c r="FO181" s="39"/>
      <c r="FP181" s="39"/>
      <c r="FQ181" s="39"/>
      <c r="FR181" s="39"/>
      <c r="FS181" s="39"/>
      <c r="FT181" s="39"/>
      <c r="FU181" s="39"/>
      <c r="FV181" s="39"/>
      <c r="FW181" s="39"/>
      <c r="FX181" s="39"/>
      <c r="FY181" s="39"/>
      <c r="FZ181" s="39"/>
      <c r="GA181" s="39"/>
      <c r="GB181" s="39"/>
      <c r="GC181" s="39"/>
      <c r="GD181" s="39"/>
      <c r="GE181" s="39"/>
      <c r="GF181" s="39"/>
      <c r="GG181" s="39"/>
      <c r="GH181" s="39"/>
      <c r="GI181" s="39"/>
      <c r="GJ181" s="39"/>
      <c r="GK181" s="39"/>
      <c r="GL181" s="39"/>
      <c r="GM181" s="39"/>
      <c r="GN181" s="39"/>
      <c r="GO181" s="39"/>
      <c r="GP181" s="39"/>
      <c r="GQ181" s="39"/>
      <c r="GR181" s="39"/>
      <c r="GS181" s="39"/>
      <c r="GT181" s="39"/>
      <c r="GU181" s="39"/>
      <c r="GV181" s="39"/>
    </row>
    <row r="182" ht="14.2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  <c r="EZ182" s="39"/>
      <c r="FA182" s="39"/>
      <c r="FB182" s="39"/>
      <c r="FC182" s="39"/>
      <c r="FD182" s="39"/>
      <c r="FE182" s="39"/>
      <c r="FF182" s="39"/>
      <c r="FG182" s="39"/>
      <c r="FH182" s="39"/>
      <c r="FI182" s="39"/>
      <c r="FJ182" s="39"/>
      <c r="FK182" s="39"/>
      <c r="FL182" s="39"/>
      <c r="FM182" s="39"/>
      <c r="FN182" s="39"/>
      <c r="FO182" s="39"/>
      <c r="FP182" s="39"/>
      <c r="FQ182" s="39"/>
      <c r="FR182" s="39"/>
      <c r="FS182" s="39"/>
      <c r="FT182" s="39"/>
      <c r="FU182" s="39"/>
      <c r="FV182" s="39"/>
      <c r="FW182" s="39"/>
      <c r="FX182" s="39"/>
      <c r="FY182" s="39"/>
      <c r="FZ182" s="39"/>
      <c r="GA182" s="39"/>
      <c r="GB182" s="39"/>
      <c r="GC182" s="39"/>
      <c r="GD182" s="39"/>
      <c r="GE182" s="39"/>
      <c r="GF182" s="39"/>
      <c r="GG182" s="39"/>
      <c r="GH182" s="39"/>
      <c r="GI182" s="39"/>
      <c r="GJ182" s="39"/>
      <c r="GK182" s="39"/>
      <c r="GL182" s="39"/>
      <c r="GM182" s="39"/>
      <c r="GN182" s="39"/>
      <c r="GO182" s="39"/>
      <c r="GP182" s="39"/>
      <c r="GQ182" s="39"/>
      <c r="GR182" s="39"/>
      <c r="GS182" s="39"/>
      <c r="GT182" s="39"/>
      <c r="GU182" s="39"/>
      <c r="GV182" s="39"/>
    </row>
    <row r="183" ht="14.2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  <c r="EZ183" s="39"/>
      <c r="FA183" s="39"/>
      <c r="FB183" s="39"/>
      <c r="FC183" s="39"/>
      <c r="FD183" s="39"/>
      <c r="FE183" s="39"/>
      <c r="FF183" s="39"/>
      <c r="FG183" s="39"/>
      <c r="FH183" s="39"/>
      <c r="FI183" s="39"/>
      <c r="FJ183" s="39"/>
      <c r="FK183" s="39"/>
      <c r="FL183" s="39"/>
      <c r="FM183" s="39"/>
      <c r="FN183" s="39"/>
      <c r="FO183" s="39"/>
      <c r="FP183" s="39"/>
      <c r="FQ183" s="39"/>
      <c r="FR183" s="39"/>
      <c r="FS183" s="39"/>
      <c r="FT183" s="39"/>
      <c r="FU183" s="39"/>
      <c r="FV183" s="39"/>
      <c r="FW183" s="39"/>
      <c r="FX183" s="39"/>
      <c r="FY183" s="39"/>
      <c r="FZ183" s="39"/>
      <c r="GA183" s="39"/>
      <c r="GB183" s="39"/>
      <c r="GC183" s="39"/>
      <c r="GD183" s="39"/>
      <c r="GE183" s="39"/>
      <c r="GF183" s="39"/>
      <c r="GG183" s="39"/>
      <c r="GH183" s="39"/>
      <c r="GI183" s="39"/>
      <c r="GJ183" s="39"/>
      <c r="GK183" s="39"/>
      <c r="GL183" s="39"/>
      <c r="GM183" s="39"/>
      <c r="GN183" s="39"/>
      <c r="GO183" s="39"/>
      <c r="GP183" s="39"/>
      <c r="GQ183" s="39"/>
      <c r="GR183" s="39"/>
      <c r="GS183" s="39"/>
      <c r="GT183" s="39"/>
      <c r="GU183" s="39"/>
      <c r="GV183" s="39"/>
    </row>
    <row r="184" ht="14.2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  <c r="EZ184" s="39"/>
      <c r="FA184" s="39"/>
      <c r="FB184" s="39"/>
      <c r="FC184" s="39"/>
      <c r="FD184" s="39"/>
      <c r="FE184" s="39"/>
      <c r="FF184" s="39"/>
      <c r="FG184" s="39"/>
      <c r="FH184" s="39"/>
      <c r="FI184" s="39"/>
      <c r="FJ184" s="39"/>
      <c r="FK184" s="39"/>
      <c r="FL184" s="39"/>
      <c r="FM184" s="39"/>
      <c r="FN184" s="39"/>
      <c r="FO184" s="39"/>
      <c r="FP184" s="39"/>
      <c r="FQ184" s="39"/>
      <c r="FR184" s="39"/>
      <c r="FS184" s="39"/>
      <c r="FT184" s="39"/>
      <c r="FU184" s="39"/>
      <c r="FV184" s="39"/>
      <c r="FW184" s="39"/>
      <c r="FX184" s="39"/>
      <c r="FY184" s="39"/>
      <c r="FZ184" s="39"/>
      <c r="GA184" s="39"/>
      <c r="GB184" s="39"/>
      <c r="GC184" s="39"/>
      <c r="GD184" s="39"/>
      <c r="GE184" s="39"/>
      <c r="GF184" s="39"/>
      <c r="GG184" s="39"/>
      <c r="GH184" s="39"/>
      <c r="GI184" s="39"/>
      <c r="GJ184" s="39"/>
      <c r="GK184" s="39"/>
      <c r="GL184" s="39"/>
      <c r="GM184" s="39"/>
      <c r="GN184" s="39"/>
      <c r="GO184" s="39"/>
      <c r="GP184" s="39"/>
      <c r="GQ184" s="39"/>
      <c r="GR184" s="39"/>
      <c r="GS184" s="39"/>
      <c r="GT184" s="39"/>
      <c r="GU184" s="39"/>
      <c r="GV184" s="39"/>
    </row>
    <row r="185" ht="14.2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  <c r="EZ185" s="39"/>
      <c r="FA185" s="39"/>
      <c r="FB185" s="39"/>
      <c r="FC185" s="39"/>
      <c r="FD185" s="39"/>
      <c r="FE185" s="39"/>
      <c r="FF185" s="39"/>
      <c r="FG185" s="39"/>
      <c r="FH185" s="39"/>
      <c r="FI185" s="39"/>
      <c r="FJ185" s="39"/>
      <c r="FK185" s="39"/>
      <c r="FL185" s="39"/>
      <c r="FM185" s="39"/>
      <c r="FN185" s="39"/>
      <c r="FO185" s="39"/>
      <c r="FP185" s="39"/>
      <c r="FQ185" s="39"/>
      <c r="FR185" s="39"/>
      <c r="FS185" s="39"/>
      <c r="FT185" s="39"/>
      <c r="FU185" s="39"/>
      <c r="FV185" s="39"/>
      <c r="FW185" s="39"/>
      <c r="FX185" s="39"/>
      <c r="FY185" s="39"/>
      <c r="FZ185" s="39"/>
      <c r="GA185" s="39"/>
      <c r="GB185" s="39"/>
      <c r="GC185" s="39"/>
      <c r="GD185" s="39"/>
      <c r="GE185" s="39"/>
      <c r="GF185" s="39"/>
      <c r="GG185" s="39"/>
      <c r="GH185" s="39"/>
      <c r="GI185" s="39"/>
      <c r="GJ185" s="39"/>
      <c r="GK185" s="39"/>
      <c r="GL185" s="39"/>
      <c r="GM185" s="39"/>
      <c r="GN185" s="39"/>
      <c r="GO185" s="39"/>
      <c r="GP185" s="39"/>
      <c r="GQ185" s="39"/>
      <c r="GR185" s="39"/>
      <c r="GS185" s="39"/>
      <c r="GT185" s="39"/>
      <c r="GU185" s="39"/>
      <c r="GV185" s="39"/>
    </row>
    <row r="186" ht="14.2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  <c r="EZ186" s="39"/>
      <c r="FA186" s="39"/>
      <c r="FB186" s="39"/>
      <c r="FC186" s="39"/>
      <c r="FD186" s="39"/>
      <c r="FE186" s="39"/>
      <c r="FF186" s="39"/>
      <c r="FG186" s="39"/>
      <c r="FH186" s="39"/>
      <c r="FI186" s="39"/>
      <c r="FJ186" s="39"/>
      <c r="FK186" s="39"/>
      <c r="FL186" s="39"/>
      <c r="FM186" s="39"/>
      <c r="FN186" s="39"/>
      <c r="FO186" s="39"/>
      <c r="FP186" s="39"/>
      <c r="FQ186" s="39"/>
      <c r="FR186" s="39"/>
      <c r="FS186" s="39"/>
      <c r="FT186" s="39"/>
      <c r="FU186" s="39"/>
      <c r="FV186" s="39"/>
      <c r="FW186" s="39"/>
      <c r="FX186" s="39"/>
      <c r="FY186" s="39"/>
      <c r="FZ186" s="39"/>
      <c r="GA186" s="39"/>
      <c r="GB186" s="39"/>
      <c r="GC186" s="39"/>
      <c r="GD186" s="39"/>
      <c r="GE186" s="39"/>
      <c r="GF186" s="39"/>
      <c r="GG186" s="39"/>
      <c r="GH186" s="39"/>
      <c r="GI186" s="39"/>
      <c r="GJ186" s="39"/>
      <c r="GK186" s="39"/>
      <c r="GL186" s="39"/>
      <c r="GM186" s="39"/>
      <c r="GN186" s="39"/>
      <c r="GO186" s="39"/>
      <c r="GP186" s="39"/>
      <c r="GQ186" s="39"/>
      <c r="GR186" s="39"/>
      <c r="GS186" s="39"/>
      <c r="GT186" s="39"/>
      <c r="GU186" s="39"/>
      <c r="GV186" s="39"/>
    </row>
    <row r="187" ht="14.2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  <c r="EZ187" s="39"/>
      <c r="FA187" s="39"/>
      <c r="FB187" s="39"/>
      <c r="FC187" s="39"/>
      <c r="FD187" s="39"/>
      <c r="FE187" s="39"/>
      <c r="FF187" s="39"/>
      <c r="FG187" s="39"/>
      <c r="FH187" s="39"/>
      <c r="FI187" s="39"/>
      <c r="FJ187" s="39"/>
      <c r="FK187" s="39"/>
      <c r="FL187" s="39"/>
      <c r="FM187" s="39"/>
      <c r="FN187" s="39"/>
      <c r="FO187" s="39"/>
      <c r="FP187" s="39"/>
      <c r="FQ187" s="39"/>
      <c r="FR187" s="39"/>
      <c r="FS187" s="39"/>
      <c r="FT187" s="39"/>
      <c r="FU187" s="39"/>
      <c r="FV187" s="39"/>
      <c r="FW187" s="39"/>
      <c r="FX187" s="39"/>
      <c r="FY187" s="39"/>
      <c r="FZ187" s="39"/>
      <c r="GA187" s="39"/>
      <c r="GB187" s="39"/>
      <c r="GC187" s="39"/>
      <c r="GD187" s="39"/>
      <c r="GE187" s="39"/>
      <c r="GF187" s="39"/>
      <c r="GG187" s="39"/>
      <c r="GH187" s="39"/>
      <c r="GI187" s="39"/>
      <c r="GJ187" s="39"/>
      <c r="GK187" s="39"/>
      <c r="GL187" s="39"/>
      <c r="GM187" s="39"/>
      <c r="GN187" s="39"/>
      <c r="GO187" s="39"/>
      <c r="GP187" s="39"/>
      <c r="GQ187" s="39"/>
      <c r="GR187" s="39"/>
      <c r="GS187" s="39"/>
      <c r="GT187" s="39"/>
      <c r="GU187" s="39"/>
      <c r="GV187" s="39"/>
    </row>
    <row r="188" ht="14.2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  <c r="EZ188" s="39"/>
      <c r="FA188" s="39"/>
      <c r="FB188" s="39"/>
      <c r="FC188" s="39"/>
      <c r="FD188" s="39"/>
      <c r="FE188" s="39"/>
      <c r="FF188" s="39"/>
      <c r="FG188" s="39"/>
      <c r="FH188" s="39"/>
      <c r="FI188" s="39"/>
      <c r="FJ188" s="39"/>
      <c r="FK188" s="39"/>
      <c r="FL188" s="39"/>
      <c r="FM188" s="39"/>
      <c r="FN188" s="39"/>
      <c r="FO188" s="39"/>
      <c r="FP188" s="39"/>
      <c r="FQ188" s="39"/>
      <c r="FR188" s="39"/>
      <c r="FS188" s="39"/>
      <c r="FT188" s="39"/>
      <c r="FU188" s="39"/>
      <c r="FV188" s="39"/>
      <c r="FW188" s="39"/>
      <c r="FX188" s="39"/>
      <c r="FY188" s="39"/>
      <c r="FZ188" s="39"/>
      <c r="GA188" s="39"/>
      <c r="GB188" s="39"/>
      <c r="GC188" s="39"/>
      <c r="GD188" s="39"/>
      <c r="GE188" s="39"/>
      <c r="GF188" s="39"/>
      <c r="GG188" s="39"/>
      <c r="GH188" s="39"/>
      <c r="GI188" s="39"/>
      <c r="GJ188" s="39"/>
      <c r="GK188" s="39"/>
      <c r="GL188" s="39"/>
      <c r="GM188" s="39"/>
      <c r="GN188" s="39"/>
      <c r="GO188" s="39"/>
      <c r="GP188" s="39"/>
      <c r="GQ188" s="39"/>
      <c r="GR188" s="39"/>
      <c r="GS188" s="39"/>
      <c r="GT188" s="39"/>
      <c r="GU188" s="39"/>
      <c r="GV188" s="39"/>
    </row>
    <row r="189" ht="14.2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9"/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  <c r="FP189" s="39"/>
      <c r="FQ189" s="39"/>
      <c r="FR189" s="39"/>
      <c r="FS189" s="39"/>
      <c r="FT189" s="39"/>
      <c r="FU189" s="39"/>
      <c r="FV189" s="39"/>
      <c r="FW189" s="39"/>
      <c r="FX189" s="39"/>
      <c r="FY189" s="39"/>
      <c r="FZ189" s="39"/>
      <c r="GA189" s="39"/>
      <c r="GB189" s="39"/>
      <c r="GC189" s="39"/>
      <c r="GD189" s="39"/>
      <c r="GE189" s="39"/>
      <c r="GF189" s="39"/>
      <c r="GG189" s="39"/>
      <c r="GH189" s="39"/>
      <c r="GI189" s="39"/>
      <c r="GJ189" s="39"/>
      <c r="GK189" s="39"/>
      <c r="GL189" s="39"/>
      <c r="GM189" s="39"/>
      <c r="GN189" s="39"/>
      <c r="GO189" s="39"/>
      <c r="GP189" s="39"/>
      <c r="GQ189" s="39"/>
      <c r="GR189" s="39"/>
      <c r="GS189" s="39"/>
      <c r="GT189" s="39"/>
      <c r="GU189" s="39"/>
      <c r="GV189" s="39"/>
    </row>
    <row r="190" ht="14.2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  <c r="EV190" s="39"/>
      <c r="EW190" s="39"/>
      <c r="EX190" s="39"/>
      <c r="EY190" s="39"/>
      <c r="EZ190" s="39"/>
      <c r="FA190" s="39"/>
      <c r="FB190" s="39"/>
      <c r="FC190" s="39"/>
      <c r="FD190" s="39"/>
      <c r="FE190" s="39"/>
      <c r="FF190" s="39"/>
      <c r="FG190" s="39"/>
      <c r="FH190" s="39"/>
      <c r="FI190" s="39"/>
      <c r="FJ190" s="39"/>
      <c r="FK190" s="39"/>
      <c r="FL190" s="39"/>
      <c r="FM190" s="39"/>
      <c r="FN190" s="39"/>
      <c r="FO190" s="39"/>
      <c r="FP190" s="39"/>
      <c r="FQ190" s="39"/>
      <c r="FR190" s="39"/>
      <c r="FS190" s="39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39"/>
      <c r="GF190" s="39"/>
      <c r="GG190" s="39"/>
      <c r="GH190" s="39"/>
      <c r="GI190" s="39"/>
      <c r="GJ190" s="39"/>
      <c r="GK190" s="39"/>
      <c r="GL190" s="39"/>
      <c r="GM190" s="39"/>
      <c r="GN190" s="39"/>
      <c r="GO190" s="39"/>
      <c r="GP190" s="39"/>
      <c r="GQ190" s="39"/>
      <c r="GR190" s="39"/>
      <c r="GS190" s="39"/>
      <c r="GT190" s="39"/>
      <c r="GU190" s="39"/>
      <c r="GV190" s="39"/>
    </row>
    <row r="191" ht="14.2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  <c r="EZ191" s="39"/>
      <c r="FA191" s="39"/>
      <c r="FB191" s="39"/>
      <c r="FC191" s="39"/>
      <c r="FD191" s="39"/>
      <c r="FE191" s="39"/>
      <c r="FF191" s="39"/>
      <c r="FG191" s="39"/>
      <c r="FH191" s="39"/>
      <c r="FI191" s="39"/>
      <c r="FJ191" s="39"/>
      <c r="FK191" s="39"/>
      <c r="FL191" s="39"/>
      <c r="FM191" s="39"/>
      <c r="FN191" s="39"/>
      <c r="FO191" s="39"/>
      <c r="FP191" s="39"/>
      <c r="FQ191" s="39"/>
      <c r="FR191" s="39"/>
      <c r="FS191" s="39"/>
      <c r="FT191" s="39"/>
      <c r="FU191" s="39"/>
      <c r="FV191" s="39"/>
      <c r="FW191" s="39"/>
      <c r="FX191" s="39"/>
      <c r="FY191" s="39"/>
      <c r="FZ191" s="39"/>
      <c r="GA191" s="39"/>
      <c r="GB191" s="39"/>
      <c r="GC191" s="39"/>
      <c r="GD191" s="39"/>
      <c r="GE191" s="39"/>
      <c r="GF191" s="39"/>
      <c r="GG191" s="39"/>
      <c r="GH191" s="39"/>
      <c r="GI191" s="39"/>
      <c r="GJ191" s="39"/>
      <c r="GK191" s="39"/>
      <c r="GL191" s="39"/>
      <c r="GM191" s="39"/>
      <c r="GN191" s="39"/>
      <c r="GO191" s="39"/>
      <c r="GP191" s="39"/>
      <c r="GQ191" s="39"/>
      <c r="GR191" s="39"/>
      <c r="GS191" s="39"/>
      <c r="GT191" s="39"/>
      <c r="GU191" s="39"/>
      <c r="GV191" s="39"/>
    </row>
    <row r="192" ht="14.2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  <c r="EZ192" s="39"/>
      <c r="FA192" s="39"/>
      <c r="FB192" s="39"/>
      <c r="FC192" s="39"/>
      <c r="FD192" s="39"/>
      <c r="FE192" s="39"/>
      <c r="FF192" s="39"/>
      <c r="FG192" s="39"/>
      <c r="FH192" s="39"/>
      <c r="FI192" s="39"/>
      <c r="FJ192" s="39"/>
      <c r="FK192" s="39"/>
      <c r="FL192" s="39"/>
      <c r="FM192" s="39"/>
      <c r="FN192" s="39"/>
      <c r="FO192" s="39"/>
      <c r="FP192" s="39"/>
      <c r="FQ192" s="39"/>
      <c r="FR192" s="39"/>
      <c r="FS192" s="39"/>
      <c r="FT192" s="39"/>
      <c r="FU192" s="39"/>
      <c r="FV192" s="39"/>
      <c r="FW192" s="39"/>
      <c r="FX192" s="39"/>
      <c r="FY192" s="39"/>
      <c r="FZ192" s="39"/>
      <c r="GA192" s="39"/>
      <c r="GB192" s="39"/>
      <c r="GC192" s="39"/>
      <c r="GD192" s="39"/>
      <c r="GE192" s="39"/>
      <c r="GF192" s="39"/>
      <c r="GG192" s="39"/>
      <c r="GH192" s="39"/>
      <c r="GI192" s="39"/>
      <c r="GJ192" s="39"/>
      <c r="GK192" s="39"/>
      <c r="GL192" s="39"/>
      <c r="GM192" s="39"/>
      <c r="GN192" s="39"/>
      <c r="GO192" s="39"/>
      <c r="GP192" s="39"/>
      <c r="GQ192" s="39"/>
      <c r="GR192" s="39"/>
      <c r="GS192" s="39"/>
      <c r="GT192" s="39"/>
      <c r="GU192" s="39"/>
      <c r="GV192" s="39"/>
    </row>
    <row r="193" ht="14.2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  <c r="EV193" s="39"/>
      <c r="EW193" s="39"/>
      <c r="EX193" s="39"/>
      <c r="EY193" s="39"/>
      <c r="EZ193" s="39"/>
      <c r="FA193" s="39"/>
      <c r="FB193" s="39"/>
      <c r="FC193" s="39"/>
      <c r="FD193" s="39"/>
      <c r="FE193" s="39"/>
      <c r="FF193" s="39"/>
      <c r="FG193" s="39"/>
      <c r="FH193" s="39"/>
      <c r="FI193" s="39"/>
      <c r="FJ193" s="39"/>
      <c r="FK193" s="39"/>
      <c r="FL193" s="39"/>
      <c r="FM193" s="39"/>
      <c r="FN193" s="39"/>
      <c r="FO193" s="39"/>
      <c r="FP193" s="39"/>
      <c r="FQ193" s="39"/>
      <c r="FR193" s="39"/>
      <c r="FS193" s="39"/>
      <c r="FT193" s="39"/>
      <c r="FU193" s="39"/>
      <c r="FV193" s="39"/>
      <c r="FW193" s="39"/>
      <c r="FX193" s="39"/>
      <c r="FY193" s="39"/>
      <c r="FZ193" s="39"/>
      <c r="GA193" s="39"/>
      <c r="GB193" s="39"/>
      <c r="GC193" s="39"/>
      <c r="GD193" s="39"/>
      <c r="GE193" s="39"/>
      <c r="GF193" s="39"/>
      <c r="GG193" s="39"/>
      <c r="GH193" s="39"/>
      <c r="GI193" s="39"/>
      <c r="GJ193" s="39"/>
      <c r="GK193" s="39"/>
      <c r="GL193" s="39"/>
      <c r="GM193" s="39"/>
      <c r="GN193" s="39"/>
      <c r="GO193" s="39"/>
      <c r="GP193" s="39"/>
      <c r="GQ193" s="39"/>
      <c r="GR193" s="39"/>
      <c r="GS193" s="39"/>
      <c r="GT193" s="39"/>
      <c r="GU193" s="39"/>
      <c r="GV193" s="39"/>
    </row>
    <row r="194" ht="14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  <c r="EV194" s="39"/>
      <c r="EW194" s="39"/>
      <c r="EX194" s="39"/>
      <c r="EY194" s="39"/>
      <c r="EZ194" s="39"/>
      <c r="FA194" s="39"/>
      <c r="FB194" s="39"/>
      <c r="FC194" s="39"/>
      <c r="FD194" s="39"/>
      <c r="FE194" s="39"/>
      <c r="FF194" s="39"/>
      <c r="FG194" s="39"/>
      <c r="FH194" s="39"/>
      <c r="FI194" s="39"/>
      <c r="FJ194" s="39"/>
      <c r="FK194" s="39"/>
      <c r="FL194" s="39"/>
      <c r="FM194" s="39"/>
      <c r="FN194" s="39"/>
      <c r="FO194" s="39"/>
      <c r="FP194" s="39"/>
      <c r="FQ194" s="39"/>
      <c r="FR194" s="39"/>
      <c r="FS194" s="39"/>
      <c r="FT194" s="39"/>
      <c r="FU194" s="39"/>
      <c r="FV194" s="39"/>
      <c r="FW194" s="39"/>
      <c r="FX194" s="39"/>
      <c r="FY194" s="39"/>
      <c r="FZ194" s="39"/>
      <c r="GA194" s="39"/>
      <c r="GB194" s="39"/>
      <c r="GC194" s="39"/>
      <c r="GD194" s="39"/>
      <c r="GE194" s="39"/>
      <c r="GF194" s="39"/>
      <c r="GG194" s="39"/>
      <c r="GH194" s="39"/>
      <c r="GI194" s="39"/>
      <c r="GJ194" s="39"/>
      <c r="GK194" s="39"/>
      <c r="GL194" s="39"/>
      <c r="GM194" s="39"/>
      <c r="GN194" s="39"/>
      <c r="GO194" s="39"/>
      <c r="GP194" s="39"/>
      <c r="GQ194" s="39"/>
      <c r="GR194" s="39"/>
      <c r="GS194" s="39"/>
      <c r="GT194" s="39"/>
      <c r="GU194" s="39"/>
      <c r="GV194" s="39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  <c r="EZ195" s="39"/>
      <c r="FA195" s="39"/>
      <c r="FB195" s="39"/>
      <c r="FC195" s="39"/>
      <c r="FD195" s="39"/>
      <c r="FE195" s="39"/>
      <c r="FF195" s="39"/>
      <c r="FG195" s="39"/>
      <c r="FH195" s="39"/>
      <c r="FI195" s="39"/>
      <c r="FJ195" s="39"/>
      <c r="FK195" s="39"/>
      <c r="FL195" s="39"/>
      <c r="FM195" s="39"/>
      <c r="FN195" s="39"/>
      <c r="FO195" s="39"/>
      <c r="FP195" s="39"/>
      <c r="FQ195" s="39"/>
      <c r="FR195" s="39"/>
      <c r="FS195" s="39"/>
      <c r="FT195" s="39"/>
      <c r="FU195" s="39"/>
      <c r="FV195" s="39"/>
      <c r="FW195" s="39"/>
      <c r="FX195" s="39"/>
      <c r="FY195" s="39"/>
      <c r="FZ195" s="39"/>
      <c r="GA195" s="39"/>
      <c r="GB195" s="39"/>
      <c r="GC195" s="39"/>
      <c r="GD195" s="39"/>
      <c r="GE195" s="39"/>
      <c r="GF195" s="39"/>
      <c r="GG195" s="39"/>
      <c r="GH195" s="39"/>
      <c r="GI195" s="39"/>
      <c r="GJ195" s="39"/>
      <c r="GK195" s="39"/>
      <c r="GL195" s="39"/>
      <c r="GM195" s="39"/>
      <c r="GN195" s="39"/>
      <c r="GO195" s="39"/>
      <c r="GP195" s="39"/>
      <c r="GQ195" s="39"/>
      <c r="GR195" s="39"/>
      <c r="GS195" s="39"/>
      <c r="GT195" s="39"/>
      <c r="GU195" s="39"/>
      <c r="GV195" s="39"/>
    </row>
    <row r="196" ht="14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  <c r="EZ196" s="39"/>
      <c r="FA196" s="39"/>
      <c r="FB196" s="39"/>
      <c r="FC196" s="39"/>
      <c r="FD196" s="39"/>
      <c r="FE196" s="39"/>
      <c r="FF196" s="39"/>
      <c r="FG196" s="39"/>
      <c r="FH196" s="39"/>
      <c r="FI196" s="39"/>
      <c r="FJ196" s="39"/>
      <c r="FK196" s="39"/>
      <c r="FL196" s="39"/>
      <c r="FM196" s="39"/>
      <c r="FN196" s="39"/>
      <c r="FO196" s="39"/>
      <c r="FP196" s="39"/>
      <c r="FQ196" s="39"/>
      <c r="FR196" s="39"/>
      <c r="FS196" s="39"/>
      <c r="FT196" s="39"/>
      <c r="FU196" s="39"/>
      <c r="FV196" s="39"/>
      <c r="FW196" s="39"/>
      <c r="FX196" s="39"/>
      <c r="FY196" s="39"/>
      <c r="FZ196" s="39"/>
      <c r="GA196" s="39"/>
      <c r="GB196" s="39"/>
      <c r="GC196" s="39"/>
      <c r="GD196" s="39"/>
      <c r="GE196" s="39"/>
      <c r="GF196" s="39"/>
      <c r="GG196" s="39"/>
      <c r="GH196" s="39"/>
      <c r="GI196" s="39"/>
      <c r="GJ196" s="39"/>
      <c r="GK196" s="39"/>
      <c r="GL196" s="39"/>
      <c r="GM196" s="39"/>
      <c r="GN196" s="39"/>
      <c r="GO196" s="39"/>
      <c r="GP196" s="39"/>
      <c r="GQ196" s="39"/>
      <c r="GR196" s="39"/>
      <c r="GS196" s="39"/>
      <c r="GT196" s="39"/>
      <c r="GU196" s="39"/>
      <c r="GV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  <c r="EZ197" s="39"/>
      <c r="FA197" s="39"/>
      <c r="FB197" s="39"/>
      <c r="FC197" s="39"/>
      <c r="FD197" s="39"/>
      <c r="FE197" s="39"/>
      <c r="FF197" s="39"/>
      <c r="FG197" s="39"/>
      <c r="FH197" s="39"/>
      <c r="FI197" s="39"/>
      <c r="FJ197" s="39"/>
      <c r="FK197" s="39"/>
      <c r="FL197" s="39"/>
      <c r="FM197" s="39"/>
      <c r="FN197" s="39"/>
      <c r="FO197" s="39"/>
      <c r="FP197" s="39"/>
      <c r="FQ197" s="39"/>
      <c r="FR197" s="39"/>
      <c r="FS197" s="39"/>
      <c r="FT197" s="39"/>
      <c r="FU197" s="39"/>
      <c r="FV197" s="39"/>
      <c r="FW197" s="39"/>
      <c r="FX197" s="39"/>
      <c r="FY197" s="39"/>
      <c r="FZ197" s="39"/>
      <c r="GA197" s="39"/>
      <c r="GB197" s="39"/>
      <c r="GC197" s="39"/>
      <c r="GD197" s="39"/>
      <c r="GE197" s="39"/>
      <c r="GF197" s="39"/>
      <c r="GG197" s="39"/>
      <c r="GH197" s="39"/>
      <c r="GI197" s="39"/>
      <c r="GJ197" s="39"/>
      <c r="GK197" s="39"/>
      <c r="GL197" s="39"/>
      <c r="GM197" s="39"/>
      <c r="GN197" s="39"/>
      <c r="GO197" s="39"/>
      <c r="GP197" s="39"/>
      <c r="GQ197" s="39"/>
      <c r="GR197" s="39"/>
      <c r="GS197" s="39"/>
      <c r="GT197" s="39"/>
      <c r="GU197" s="39"/>
      <c r="GV197" s="39"/>
    </row>
    <row r="198" ht="14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  <c r="EZ198" s="39"/>
      <c r="FA198" s="39"/>
      <c r="FB198" s="39"/>
      <c r="FC198" s="39"/>
      <c r="FD198" s="39"/>
      <c r="FE198" s="39"/>
      <c r="FF198" s="39"/>
      <c r="FG198" s="39"/>
      <c r="FH198" s="39"/>
      <c r="FI198" s="39"/>
      <c r="FJ198" s="39"/>
      <c r="FK198" s="39"/>
      <c r="FL198" s="39"/>
      <c r="FM198" s="39"/>
      <c r="FN198" s="39"/>
      <c r="FO198" s="39"/>
      <c r="FP198" s="39"/>
      <c r="FQ198" s="39"/>
      <c r="FR198" s="39"/>
      <c r="FS198" s="39"/>
      <c r="FT198" s="39"/>
      <c r="FU198" s="39"/>
      <c r="FV198" s="39"/>
      <c r="FW198" s="39"/>
      <c r="FX198" s="39"/>
      <c r="FY198" s="39"/>
      <c r="FZ198" s="39"/>
      <c r="GA198" s="39"/>
      <c r="GB198" s="39"/>
      <c r="GC198" s="39"/>
      <c r="GD198" s="39"/>
      <c r="GE198" s="39"/>
      <c r="GF198" s="39"/>
      <c r="GG198" s="39"/>
      <c r="GH198" s="39"/>
      <c r="GI198" s="39"/>
      <c r="GJ198" s="39"/>
      <c r="GK198" s="39"/>
      <c r="GL198" s="39"/>
      <c r="GM198" s="39"/>
      <c r="GN198" s="39"/>
      <c r="GO198" s="39"/>
      <c r="GP198" s="39"/>
      <c r="GQ198" s="39"/>
      <c r="GR198" s="39"/>
      <c r="GS198" s="39"/>
      <c r="GT198" s="39"/>
      <c r="GU198" s="39"/>
      <c r="GV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  <c r="EV199" s="39"/>
      <c r="EW199" s="39"/>
      <c r="EX199" s="39"/>
      <c r="EY199" s="39"/>
      <c r="EZ199" s="39"/>
      <c r="FA199" s="39"/>
      <c r="FB199" s="39"/>
      <c r="FC199" s="39"/>
      <c r="FD199" s="39"/>
      <c r="FE199" s="39"/>
      <c r="FF199" s="39"/>
      <c r="FG199" s="39"/>
      <c r="FH199" s="39"/>
      <c r="FI199" s="39"/>
      <c r="FJ199" s="39"/>
      <c r="FK199" s="39"/>
      <c r="FL199" s="39"/>
      <c r="FM199" s="39"/>
      <c r="FN199" s="39"/>
      <c r="FO199" s="39"/>
      <c r="FP199" s="39"/>
      <c r="FQ199" s="39"/>
      <c r="FR199" s="39"/>
      <c r="FS199" s="39"/>
      <c r="FT199" s="39"/>
      <c r="FU199" s="39"/>
      <c r="FV199" s="39"/>
      <c r="FW199" s="39"/>
      <c r="FX199" s="39"/>
      <c r="FY199" s="39"/>
      <c r="FZ199" s="39"/>
      <c r="GA199" s="39"/>
      <c r="GB199" s="39"/>
      <c r="GC199" s="39"/>
      <c r="GD199" s="39"/>
      <c r="GE199" s="39"/>
      <c r="GF199" s="39"/>
      <c r="GG199" s="39"/>
      <c r="GH199" s="39"/>
      <c r="GI199" s="39"/>
      <c r="GJ199" s="39"/>
      <c r="GK199" s="39"/>
      <c r="GL199" s="39"/>
      <c r="GM199" s="39"/>
      <c r="GN199" s="39"/>
      <c r="GO199" s="39"/>
      <c r="GP199" s="39"/>
      <c r="GQ199" s="39"/>
      <c r="GR199" s="39"/>
      <c r="GS199" s="39"/>
      <c r="GT199" s="39"/>
      <c r="GU199" s="39"/>
      <c r="GV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  <c r="EZ200" s="39"/>
      <c r="FA200" s="39"/>
      <c r="FB200" s="39"/>
      <c r="FC200" s="39"/>
      <c r="FD200" s="39"/>
      <c r="FE200" s="39"/>
      <c r="FF200" s="39"/>
      <c r="FG200" s="39"/>
      <c r="FH200" s="39"/>
      <c r="FI200" s="39"/>
      <c r="FJ200" s="39"/>
      <c r="FK200" s="39"/>
      <c r="FL200" s="39"/>
      <c r="FM200" s="39"/>
      <c r="FN200" s="39"/>
      <c r="FO200" s="39"/>
      <c r="FP200" s="39"/>
      <c r="FQ200" s="39"/>
      <c r="FR200" s="39"/>
      <c r="FS200" s="39"/>
      <c r="FT200" s="39"/>
      <c r="FU200" s="39"/>
      <c r="FV200" s="39"/>
      <c r="FW200" s="39"/>
      <c r="FX200" s="39"/>
      <c r="FY200" s="39"/>
      <c r="FZ200" s="39"/>
      <c r="GA200" s="39"/>
      <c r="GB200" s="39"/>
      <c r="GC200" s="39"/>
      <c r="GD200" s="39"/>
      <c r="GE200" s="39"/>
      <c r="GF200" s="39"/>
      <c r="GG200" s="39"/>
      <c r="GH200" s="39"/>
      <c r="GI200" s="39"/>
      <c r="GJ200" s="39"/>
      <c r="GK200" s="39"/>
      <c r="GL200" s="39"/>
      <c r="GM200" s="39"/>
      <c r="GN200" s="39"/>
      <c r="GO200" s="39"/>
      <c r="GP200" s="39"/>
      <c r="GQ200" s="39"/>
      <c r="GR200" s="39"/>
      <c r="GS200" s="39"/>
      <c r="GT200" s="39"/>
      <c r="GU200" s="39"/>
      <c r="GV200" s="39"/>
    </row>
    <row r="201" ht="14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  <c r="EV201" s="39"/>
      <c r="EW201" s="39"/>
      <c r="EX201" s="39"/>
      <c r="EY201" s="39"/>
      <c r="EZ201" s="39"/>
      <c r="FA201" s="39"/>
      <c r="FB201" s="39"/>
      <c r="FC201" s="39"/>
      <c r="FD201" s="39"/>
      <c r="FE201" s="39"/>
      <c r="FF201" s="39"/>
      <c r="FG201" s="39"/>
      <c r="FH201" s="39"/>
      <c r="FI201" s="39"/>
      <c r="FJ201" s="39"/>
      <c r="FK201" s="39"/>
      <c r="FL201" s="39"/>
      <c r="FM201" s="39"/>
      <c r="FN201" s="39"/>
      <c r="FO201" s="39"/>
      <c r="FP201" s="39"/>
      <c r="FQ201" s="39"/>
      <c r="FR201" s="39"/>
      <c r="FS201" s="39"/>
      <c r="FT201" s="39"/>
      <c r="FU201" s="39"/>
      <c r="FV201" s="39"/>
      <c r="FW201" s="39"/>
      <c r="FX201" s="39"/>
      <c r="FY201" s="39"/>
      <c r="FZ201" s="39"/>
      <c r="GA201" s="39"/>
      <c r="GB201" s="39"/>
      <c r="GC201" s="39"/>
      <c r="GD201" s="39"/>
      <c r="GE201" s="39"/>
      <c r="GF201" s="39"/>
      <c r="GG201" s="39"/>
      <c r="GH201" s="39"/>
      <c r="GI201" s="39"/>
      <c r="GJ201" s="39"/>
      <c r="GK201" s="39"/>
      <c r="GL201" s="39"/>
      <c r="GM201" s="39"/>
      <c r="GN201" s="39"/>
      <c r="GO201" s="39"/>
      <c r="GP201" s="39"/>
      <c r="GQ201" s="39"/>
      <c r="GR201" s="39"/>
      <c r="GS201" s="39"/>
      <c r="GT201" s="39"/>
      <c r="GU201" s="39"/>
      <c r="GV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  <c r="EZ202" s="39"/>
      <c r="FA202" s="39"/>
      <c r="FB202" s="39"/>
      <c r="FC202" s="39"/>
      <c r="FD202" s="39"/>
      <c r="FE202" s="39"/>
      <c r="FF202" s="39"/>
      <c r="FG202" s="39"/>
      <c r="FH202" s="39"/>
      <c r="FI202" s="39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</row>
    <row r="203" ht="14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  <c r="EV203" s="39"/>
      <c r="EW203" s="39"/>
      <c r="EX203" s="39"/>
      <c r="EY203" s="39"/>
      <c r="EZ203" s="39"/>
      <c r="FA203" s="39"/>
      <c r="FB203" s="39"/>
      <c r="FC203" s="39"/>
      <c r="FD203" s="39"/>
      <c r="FE203" s="39"/>
      <c r="FF203" s="39"/>
      <c r="FG203" s="39"/>
      <c r="FH203" s="39"/>
      <c r="FI203" s="39"/>
      <c r="FJ203" s="39"/>
      <c r="FK203" s="39"/>
      <c r="FL203" s="39"/>
      <c r="FM203" s="39"/>
      <c r="FN203" s="39"/>
      <c r="FO203" s="39"/>
      <c r="FP203" s="39"/>
      <c r="FQ203" s="39"/>
      <c r="FR203" s="39"/>
      <c r="FS203" s="39"/>
      <c r="FT203" s="39"/>
      <c r="FU203" s="39"/>
      <c r="FV203" s="39"/>
      <c r="FW203" s="39"/>
      <c r="FX203" s="39"/>
      <c r="FY203" s="39"/>
      <c r="FZ203" s="39"/>
      <c r="GA203" s="39"/>
      <c r="GB203" s="39"/>
      <c r="GC203" s="39"/>
      <c r="GD203" s="39"/>
      <c r="GE203" s="39"/>
      <c r="GF203" s="39"/>
      <c r="GG203" s="39"/>
      <c r="GH203" s="39"/>
      <c r="GI203" s="39"/>
      <c r="GJ203" s="39"/>
      <c r="GK203" s="39"/>
      <c r="GL203" s="39"/>
      <c r="GM203" s="39"/>
      <c r="GN203" s="39"/>
      <c r="GO203" s="39"/>
      <c r="GP203" s="39"/>
      <c r="GQ203" s="39"/>
      <c r="GR203" s="39"/>
      <c r="GS203" s="39"/>
      <c r="GT203" s="39"/>
      <c r="GU203" s="39"/>
      <c r="GV203" s="39"/>
    </row>
    <row r="204" ht="14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  <c r="EV204" s="39"/>
      <c r="EW204" s="39"/>
      <c r="EX204" s="39"/>
      <c r="EY204" s="39"/>
      <c r="EZ204" s="39"/>
      <c r="FA204" s="39"/>
      <c r="FB204" s="39"/>
      <c r="FC204" s="39"/>
      <c r="FD204" s="39"/>
      <c r="FE204" s="39"/>
      <c r="FF204" s="39"/>
      <c r="FG204" s="39"/>
      <c r="FH204" s="39"/>
      <c r="FI204" s="39"/>
      <c r="FJ204" s="39"/>
      <c r="FK204" s="39"/>
      <c r="FL204" s="39"/>
      <c r="FM204" s="39"/>
      <c r="FN204" s="39"/>
      <c r="FO204" s="39"/>
      <c r="FP204" s="39"/>
      <c r="FQ204" s="39"/>
      <c r="FR204" s="39"/>
      <c r="FS204" s="39"/>
      <c r="FT204" s="39"/>
      <c r="FU204" s="39"/>
      <c r="FV204" s="39"/>
      <c r="FW204" s="39"/>
      <c r="FX204" s="39"/>
      <c r="FY204" s="39"/>
      <c r="FZ204" s="39"/>
      <c r="GA204" s="39"/>
      <c r="GB204" s="39"/>
      <c r="GC204" s="39"/>
      <c r="GD204" s="39"/>
      <c r="GE204" s="39"/>
      <c r="GF204" s="39"/>
      <c r="GG204" s="39"/>
      <c r="GH204" s="39"/>
      <c r="GI204" s="39"/>
      <c r="GJ204" s="39"/>
      <c r="GK204" s="39"/>
      <c r="GL204" s="39"/>
      <c r="GM204" s="39"/>
      <c r="GN204" s="39"/>
      <c r="GO204" s="39"/>
      <c r="GP204" s="39"/>
      <c r="GQ204" s="39"/>
      <c r="GR204" s="39"/>
      <c r="GS204" s="39"/>
      <c r="GT204" s="39"/>
      <c r="GU204" s="39"/>
      <c r="GV204" s="39"/>
    </row>
    <row r="205" ht="14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  <c r="EZ205" s="39"/>
      <c r="FA205" s="39"/>
      <c r="FB205" s="39"/>
      <c r="FC205" s="39"/>
      <c r="FD205" s="39"/>
      <c r="FE205" s="39"/>
      <c r="FF205" s="39"/>
      <c r="FG205" s="39"/>
      <c r="FH205" s="39"/>
      <c r="FI205" s="39"/>
      <c r="FJ205" s="39"/>
      <c r="FK205" s="39"/>
      <c r="FL205" s="39"/>
      <c r="FM205" s="39"/>
      <c r="FN205" s="39"/>
      <c r="FO205" s="39"/>
      <c r="FP205" s="39"/>
      <c r="FQ205" s="39"/>
      <c r="FR205" s="39"/>
      <c r="FS205" s="39"/>
      <c r="FT205" s="39"/>
      <c r="FU205" s="39"/>
      <c r="FV205" s="39"/>
      <c r="FW205" s="39"/>
      <c r="FX205" s="39"/>
      <c r="FY205" s="39"/>
      <c r="FZ205" s="39"/>
      <c r="GA205" s="39"/>
      <c r="GB205" s="39"/>
      <c r="GC205" s="39"/>
      <c r="GD205" s="39"/>
      <c r="GE205" s="39"/>
      <c r="GF205" s="39"/>
      <c r="GG205" s="39"/>
      <c r="GH205" s="39"/>
      <c r="GI205" s="39"/>
      <c r="GJ205" s="39"/>
      <c r="GK205" s="39"/>
      <c r="GL205" s="39"/>
      <c r="GM205" s="39"/>
      <c r="GN205" s="39"/>
      <c r="GO205" s="39"/>
      <c r="GP205" s="39"/>
      <c r="GQ205" s="39"/>
      <c r="GR205" s="39"/>
      <c r="GS205" s="39"/>
      <c r="GT205" s="39"/>
      <c r="GU205" s="39"/>
      <c r="GV205" s="39"/>
    </row>
    <row r="206" ht="14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  <c r="EV206" s="39"/>
      <c r="EW206" s="39"/>
      <c r="EX206" s="39"/>
      <c r="EY206" s="39"/>
      <c r="EZ206" s="39"/>
      <c r="FA206" s="39"/>
      <c r="FB206" s="39"/>
      <c r="FC206" s="39"/>
      <c r="FD206" s="39"/>
      <c r="FE206" s="39"/>
      <c r="FF206" s="39"/>
      <c r="FG206" s="39"/>
      <c r="FH206" s="39"/>
      <c r="FI206" s="39"/>
      <c r="FJ206" s="39"/>
      <c r="FK206" s="39"/>
      <c r="FL206" s="39"/>
      <c r="FM206" s="39"/>
      <c r="FN206" s="39"/>
      <c r="FO206" s="39"/>
      <c r="FP206" s="39"/>
      <c r="FQ206" s="39"/>
      <c r="FR206" s="39"/>
      <c r="FS206" s="39"/>
      <c r="FT206" s="39"/>
      <c r="FU206" s="39"/>
      <c r="FV206" s="39"/>
      <c r="FW206" s="39"/>
      <c r="FX206" s="39"/>
      <c r="FY206" s="39"/>
      <c r="FZ206" s="39"/>
      <c r="GA206" s="39"/>
      <c r="GB206" s="39"/>
      <c r="GC206" s="39"/>
      <c r="GD206" s="39"/>
      <c r="GE206" s="39"/>
      <c r="GF206" s="39"/>
      <c r="GG206" s="39"/>
      <c r="GH206" s="39"/>
      <c r="GI206" s="39"/>
      <c r="GJ206" s="39"/>
      <c r="GK206" s="39"/>
      <c r="GL206" s="39"/>
      <c r="GM206" s="39"/>
      <c r="GN206" s="39"/>
      <c r="GO206" s="39"/>
      <c r="GP206" s="39"/>
      <c r="GQ206" s="39"/>
      <c r="GR206" s="39"/>
      <c r="GS206" s="39"/>
      <c r="GT206" s="39"/>
      <c r="GU206" s="39"/>
      <c r="GV206" s="39"/>
    </row>
    <row r="207" ht="14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  <c r="EV207" s="39"/>
      <c r="EW207" s="39"/>
      <c r="EX207" s="39"/>
      <c r="EY207" s="39"/>
      <c r="EZ207" s="39"/>
      <c r="FA207" s="39"/>
      <c r="FB207" s="39"/>
      <c r="FC207" s="39"/>
      <c r="FD207" s="39"/>
      <c r="FE207" s="39"/>
      <c r="FF207" s="39"/>
      <c r="FG207" s="39"/>
      <c r="FH207" s="39"/>
      <c r="FI207" s="39"/>
      <c r="FJ207" s="39"/>
      <c r="FK207" s="39"/>
      <c r="FL207" s="39"/>
      <c r="FM207" s="39"/>
      <c r="FN207" s="39"/>
      <c r="FO207" s="39"/>
      <c r="FP207" s="39"/>
      <c r="FQ207" s="39"/>
      <c r="FR207" s="39"/>
      <c r="FS207" s="39"/>
      <c r="FT207" s="39"/>
      <c r="FU207" s="39"/>
      <c r="FV207" s="39"/>
      <c r="FW207" s="39"/>
      <c r="FX207" s="39"/>
      <c r="FY207" s="39"/>
      <c r="FZ207" s="39"/>
      <c r="GA207" s="39"/>
      <c r="GB207" s="39"/>
      <c r="GC207" s="39"/>
      <c r="GD207" s="39"/>
      <c r="GE207" s="39"/>
      <c r="GF207" s="39"/>
      <c r="GG207" s="39"/>
      <c r="GH207" s="39"/>
      <c r="GI207" s="39"/>
      <c r="GJ207" s="39"/>
      <c r="GK207" s="39"/>
      <c r="GL207" s="39"/>
      <c r="GM207" s="39"/>
      <c r="GN207" s="39"/>
      <c r="GO207" s="39"/>
      <c r="GP207" s="39"/>
      <c r="GQ207" s="39"/>
      <c r="GR207" s="39"/>
      <c r="GS207" s="39"/>
      <c r="GT207" s="39"/>
      <c r="GU207" s="39"/>
      <c r="GV207" s="39"/>
    </row>
    <row r="208" ht="14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  <c r="EV208" s="39"/>
      <c r="EW208" s="39"/>
      <c r="EX208" s="39"/>
      <c r="EY208" s="39"/>
      <c r="EZ208" s="39"/>
      <c r="FA208" s="39"/>
      <c r="FB208" s="39"/>
      <c r="FC208" s="39"/>
      <c r="FD208" s="39"/>
      <c r="FE208" s="39"/>
      <c r="FF208" s="39"/>
      <c r="FG208" s="39"/>
      <c r="FH208" s="39"/>
      <c r="FI208" s="39"/>
      <c r="FJ208" s="39"/>
      <c r="FK208" s="39"/>
      <c r="FL208" s="39"/>
      <c r="FM208" s="39"/>
      <c r="FN208" s="39"/>
      <c r="FO208" s="39"/>
      <c r="FP208" s="39"/>
      <c r="FQ208" s="39"/>
      <c r="FR208" s="39"/>
      <c r="FS208" s="39"/>
      <c r="FT208" s="39"/>
      <c r="FU208" s="39"/>
      <c r="FV208" s="39"/>
      <c r="FW208" s="39"/>
      <c r="FX208" s="39"/>
      <c r="FY208" s="39"/>
      <c r="FZ208" s="39"/>
      <c r="GA208" s="39"/>
      <c r="GB208" s="39"/>
      <c r="GC208" s="39"/>
      <c r="GD208" s="39"/>
      <c r="GE208" s="39"/>
      <c r="GF208" s="39"/>
      <c r="GG208" s="39"/>
      <c r="GH208" s="39"/>
      <c r="GI208" s="39"/>
      <c r="GJ208" s="39"/>
      <c r="GK208" s="39"/>
      <c r="GL208" s="39"/>
      <c r="GM208" s="39"/>
      <c r="GN208" s="39"/>
      <c r="GO208" s="39"/>
      <c r="GP208" s="39"/>
      <c r="GQ208" s="39"/>
      <c r="GR208" s="39"/>
      <c r="GS208" s="39"/>
      <c r="GT208" s="39"/>
      <c r="GU208" s="39"/>
      <c r="GV208" s="39"/>
    </row>
    <row r="209" ht="14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  <c r="EV209" s="39"/>
      <c r="EW209" s="39"/>
      <c r="EX209" s="39"/>
      <c r="EY209" s="39"/>
      <c r="EZ209" s="39"/>
      <c r="FA209" s="39"/>
      <c r="FB209" s="39"/>
      <c r="FC209" s="39"/>
      <c r="FD209" s="39"/>
      <c r="FE209" s="39"/>
      <c r="FF209" s="39"/>
      <c r="FG209" s="39"/>
      <c r="FH209" s="39"/>
      <c r="FI209" s="39"/>
      <c r="FJ209" s="39"/>
      <c r="FK209" s="39"/>
      <c r="FL209" s="39"/>
      <c r="FM209" s="39"/>
      <c r="FN209" s="39"/>
      <c r="FO209" s="39"/>
      <c r="FP209" s="39"/>
      <c r="FQ209" s="39"/>
      <c r="FR209" s="39"/>
      <c r="FS209" s="39"/>
      <c r="FT209" s="39"/>
      <c r="FU209" s="39"/>
      <c r="FV209" s="39"/>
      <c r="FW209" s="39"/>
      <c r="FX209" s="39"/>
      <c r="FY209" s="39"/>
      <c r="FZ209" s="39"/>
      <c r="GA209" s="39"/>
      <c r="GB209" s="39"/>
      <c r="GC209" s="39"/>
      <c r="GD209" s="39"/>
      <c r="GE209" s="39"/>
      <c r="GF209" s="39"/>
      <c r="GG209" s="39"/>
      <c r="GH209" s="39"/>
      <c r="GI209" s="39"/>
      <c r="GJ209" s="39"/>
      <c r="GK209" s="39"/>
      <c r="GL209" s="39"/>
      <c r="GM209" s="39"/>
      <c r="GN209" s="39"/>
      <c r="GO209" s="39"/>
      <c r="GP209" s="39"/>
      <c r="GQ209" s="39"/>
      <c r="GR209" s="39"/>
      <c r="GS209" s="39"/>
      <c r="GT209" s="39"/>
      <c r="GU209" s="39"/>
      <c r="GV209" s="39"/>
    </row>
    <row r="210" ht="14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  <c r="EZ210" s="39"/>
      <c r="FA210" s="39"/>
      <c r="FB210" s="39"/>
      <c r="FC210" s="39"/>
      <c r="FD210" s="39"/>
      <c r="FE210" s="39"/>
      <c r="FF210" s="39"/>
      <c r="FG210" s="39"/>
      <c r="FH210" s="39"/>
      <c r="FI210" s="39"/>
      <c r="FJ210" s="39"/>
      <c r="FK210" s="39"/>
      <c r="FL210" s="39"/>
      <c r="FM210" s="39"/>
      <c r="FN210" s="39"/>
      <c r="FO210" s="39"/>
      <c r="FP210" s="39"/>
      <c r="FQ210" s="39"/>
      <c r="FR210" s="39"/>
      <c r="FS210" s="39"/>
      <c r="FT210" s="39"/>
      <c r="FU210" s="39"/>
      <c r="FV210" s="39"/>
      <c r="FW210" s="39"/>
      <c r="FX210" s="39"/>
      <c r="FY210" s="39"/>
      <c r="FZ210" s="39"/>
      <c r="GA210" s="39"/>
      <c r="GB210" s="39"/>
      <c r="GC210" s="39"/>
      <c r="GD210" s="39"/>
      <c r="GE210" s="39"/>
      <c r="GF210" s="39"/>
      <c r="GG210" s="39"/>
      <c r="GH210" s="39"/>
      <c r="GI210" s="39"/>
      <c r="GJ210" s="39"/>
      <c r="GK210" s="39"/>
      <c r="GL210" s="39"/>
      <c r="GM210" s="39"/>
      <c r="GN210" s="39"/>
      <c r="GO210" s="39"/>
      <c r="GP210" s="39"/>
      <c r="GQ210" s="39"/>
      <c r="GR210" s="39"/>
      <c r="GS210" s="39"/>
      <c r="GT210" s="39"/>
      <c r="GU210" s="39"/>
      <c r="GV210" s="39"/>
    </row>
    <row r="211" ht="14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</row>
    <row r="212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  <c r="EV212" s="39"/>
      <c r="EW212" s="39"/>
      <c r="EX212" s="39"/>
      <c r="EY212" s="39"/>
      <c r="EZ212" s="39"/>
      <c r="FA212" s="39"/>
      <c r="FB212" s="39"/>
      <c r="FC212" s="39"/>
      <c r="FD212" s="39"/>
      <c r="FE212" s="39"/>
      <c r="FF212" s="39"/>
      <c r="FG212" s="39"/>
      <c r="FH212" s="39"/>
      <c r="FI212" s="39"/>
      <c r="FJ212" s="39"/>
      <c r="FK212" s="39"/>
      <c r="FL212" s="39"/>
      <c r="FM212" s="39"/>
      <c r="FN212" s="39"/>
      <c r="FO212" s="39"/>
      <c r="FP212" s="39"/>
      <c r="FQ212" s="39"/>
      <c r="FR212" s="39"/>
      <c r="FS212" s="39"/>
      <c r="FT212" s="39"/>
      <c r="FU212" s="39"/>
      <c r="FV212" s="39"/>
      <c r="FW212" s="39"/>
      <c r="FX212" s="39"/>
      <c r="FY212" s="39"/>
      <c r="FZ212" s="39"/>
      <c r="GA212" s="39"/>
      <c r="GB212" s="39"/>
      <c r="GC212" s="39"/>
      <c r="GD212" s="39"/>
      <c r="GE212" s="39"/>
      <c r="GF212" s="39"/>
      <c r="GG212" s="39"/>
      <c r="GH212" s="39"/>
      <c r="GI212" s="39"/>
      <c r="GJ212" s="39"/>
      <c r="GK212" s="39"/>
      <c r="GL212" s="39"/>
      <c r="GM212" s="39"/>
      <c r="GN212" s="39"/>
      <c r="GO212" s="39"/>
      <c r="GP212" s="39"/>
      <c r="GQ212" s="39"/>
      <c r="GR212" s="39"/>
      <c r="GS212" s="39"/>
      <c r="GT212" s="39"/>
      <c r="GU212" s="39"/>
      <c r="GV212" s="39"/>
    </row>
    <row r="213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  <c r="EV213" s="39"/>
      <c r="EW213" s="39"/>
      <c r="EX213" s="39"/>
      <c r="EY213" s="39"/>
      <c r="EZ213" s="39"/>
      <c r="FA213" s="39"/>
      <c r="FB213" s="39"/>
      <c r="FC213" s="39"/>
      <c r="FD213" s="39"/>
      <c r="FE213" s="39"/>
      <c r="FF213" s="39"/>
      <c r="FG213" s="39"/>
      <c r="FH213" s="39"/>
      <c r="FI213" s="39"/>
      <c r="FJ213" s="39"/>
      <c r="FK213" s="39"/>
      <c r="FL213" s="39"/>
      <c r="FM213" s="39"/>
      <c r="FN213" s="39"/>
      <c r="FO213" s="39"/>
      <c r="FP213" s="39"/>
      <c r="FQ213" s="39"/>
      <c r="FR213" s="39"/>
      <c r="FS213" s="39"/>
      <c r="FT213" s="39"/>
      <c r="FU213" s="39"/>
      <c r="FV213" s="39"/>
      <c r="FW213" s="39"/>
      <c r="FX213" s="39"/>
      <c r="FY213" s="39"/>
      <c r="FZ213" s="39"/>
      <c r="GA213" s="39"/>
      <c r="GB213" s="39"/>
      <c r="GC213" s="39"/>
      <c r="GD213" s="39"/>
      <c r="GE213" s="39"/>
      <c r="GF213" s="39"/>
      <c r="GG213" s="39"/>
      <c r="GH213" s="39"/>
      <c r="GI213" s="39"/>
      <c r="GJ213" s="39"/>
      <c r="GK213" s="39"/>
      <c r="GL213" s="39"/>
      <c r="GM213" s="39"/>
      <c r="GN213" s="39"/>
      <c r="GO213" s="39"/>
      <c r="GP213" s="39"/>
      <c r="GQ213" s="39"/>
      <c r="GR213" s="39"/>
      <c r="GS213" s="39"/>
      <c r="GT213" s="39"/>
      <c r="GU213" s="39"/>
      <c r="GV213" s="39"/>
    </row>
    <row r="214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</row>
    <row r="215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  <c r="EV215" s="39"/>
      <c r="EW215" s="39"/>
      <c r="EX215" s="39"/>
      <c r="EY215" s="39"/>
      <c r="EZ215" s="39"/>
      <c r="FA215" s="39"/>
      <c r="FB215" s="39"/>
      <c r="FC215" s="39"/>
      <c r="FD215" s="39"/>
      <c r="FE215" s="39"/>
      <c r="FF215" s="39"/>
      <c r="FG215" s="39"/>
      <c r="FH215" s="39"/>
      <c r="FI215" s="39"/>
      <c r="FJ215" s="39"/>
      <c r="FK215" s="39"/>
      <c r="FL215" s="39"/>
      <c r="FM215" s="39"/>
      <c r="FN215" s="39"/>
      <c r="FO215" s="39"/>
      <c r="FP215" s="39"/>
      <c r="FQ215" s="39"/>
      <c r="FR215" s="39"/>
      <c r="FS215" s="39"/>
      <c r="FT215" s="39"/>
      <c r="FU215" s="39"/>
      <c r="FV215" s="39"/>
      <c r="FW215" s="39"/>
      <c r="FX215" s="39"/>
      <c r="FY215" s="39"/>
      <c r="FZ215" s="39"/>
      <c r="GA215" s="39"/>
      <c r="GB215" s="39"/>
      <c r="GC215" s="39"/>
      <c r="GD215" s="39"/>
      <c r="GE215" s="39"/>
      <c r="GF215" s="39"/>
      <c r="GG215" s="39"/>
      <c r="GH215" s="39"/>
      <c r="GI215" s="39"/>
      <c r="GJ215" s="39"/>
      <c r="GK215" s="39"/>
      <c r="GL215" s="39"/>
      <c r="GM215" s="39"/>
      <c r="GN215" s="39"/>
      <c r="GO215" s="39"/>
      <c r="GP215" s="39"/>
      <c r="GQ215" s="39"/>
      <c r="GR215" s="39"/>
      <c r="GS215" s="39"/>
      <c r="GT215" s="39"/>
      <c r="GU215" s="39"/>
      <c r="GV215" s="39"/>
    </row>
    <row r="216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  <c r="EV216" s="39"/>
      <c r="EW216" s="39"/>
      <c r="EX216" s="39"/>
      <c r="EY216" s="39"/>
      <c r="EZ216" s="39"/>
      <c r="FA216" s="39"/>
      <c r="FB216" s="39"/>
      <c r="FC216" s="39"/>
      <c r="FD216" s="39"/>
      <c r="FE216" s="39"/>
      <c r="FF216" s="39"/>
      <c r="FG216" s="39"/>
      <c r="FH216" s="39"/>
      <c r="FI216" s="39"/>
      <c r="FJ216" s="39"/>
      <c r="FK216" s="39"/>
      <c r="FL216" s="39"/>
      <c r="FM216" s="39"/>
      <c r="FN216" s="39"/>
      <c r="FO216" s="39"/>
      <c r="FP216" s="39"/>
      <c r="FQ216" s="39"/>
      <c r="FR216" s="39"/>
      <c r="FS216" s="39"/>
      <c r="FT216" s="39"/>
      <c r="FU216" s="39"/>
      <c r="FV216" s="39"/>
      <c r="FW216" s="39"/>
      <c r="FX216" s="39"/>
      <c r="FY216" s="39"/>
      <c r="FZ216" s="39"/>
      <c r="GA216" s="39"/>
      <c r="GB216" s="39"/>
      <c r="GC216" s="39"/>
      <c r="GD216" s="39"/>
      <c r="GE216" s="39"/>
      <c r="GF216" s="39"/>
      <c r="GG216" s="39"/>
      <c r="GH216" s="39"/>
      <c r="GI216" s="39"/>
      <c r="GJ216" s="39"/>
      <c r="GK216" s="39"/>
      <c r="GL216" s="39"/>
      <c r="GM216" s="39"/>
      <c r="GN216" s="39"/>
      <c r="GO216" s="39"/>
      <c r="GP216" s="39"/>
      <c r="GQ216" s="39"/>
      <c r="GR216" s="39"/>
      <c r="GS216" s="39"/>
      <c r="GT216" s="39"/>
      <c r="GU216" s="39"/>
      <c r="GV216" s="39"/>
    </row>
    <row r="217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  <c r="EV217" s="39"/>
      <c r="EW217" s="39"/>
      <c r="EX217" s="39"/>
      <c r="EY217" s="39"/>
      <c r="EZ217" s="39"/>
      <c r="FA217" s="39"/>
      <c r="FB217" s="39"/>
      <c r="FC217" s="39"/>
      <c r="FD217" s="39"/>
      <c r="FE217" s="39"/>
      <c r="FF217" s="39"/>
      <c r="FG217" s="39"/>
      <c r="FH217" s="39"/>
      <c r="FI217" s="39"/>
      <c r="FJ217" s="39"/>
      <c r="FK217" s="39"/>
      <c r="FL217" s="39"/>
      <c r="FM217" s="39"/>
      <c r="FN217" s="39"/>
      <c r="FO217" s="39"/>
      <c r="FP217" s="39"/>
      <c r="FQ217" s="39"/>
      <c r="FR217" s="39"/>
      <c r="FS217" s="39"/>
      <c r="FT217" s="39"/>
      <c r="FU217" s="39"/>
      <c r="FV217" s="39"/>
      <c r="FW217" s="39"/>
      <c r="FX217" s="39"/>
      <c r="FY217" s="39"/>
      <c r="FZ217" s="39"/>
      <c r="GA217" s="39"/>
      <c r="GB217" s="39"/>
      <c r="GC217" s="39"/>
      <c r="GD217" s="39"/>
      <c r="GE217" s="39"/>
      <c r="GF217" s="39"/>
      <c r="GG217" s="39"/>
      <c r="GH217" s="39"/>
      <c r="GI217" s="39"/>
      <c r="GJ217" s="39"/>
      <c r="GK217" s="39"/>
      <c r="GL217" s="39"/>
      <c r="GM217" s="39"/>
      <c r="GN217" s="39"/>
      <c r="GO217" s="39"/>
      <c r="GP217" s="39"/>
      <c r="GQ217" s="39"/>
      <c r="GR217" s="39"/>
      <c r="GS217" s="39"/>
      <c r="GT217" s="39"/>
      <c r="GU217" s="39"/>
      <c r="GV217" s="39"/>
    </row>
    <row r="218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  <c r="EZ218" s="39"/>
      <c r="FA218" s="39"/>
      <c r="FB218" s="39"/>
      <c r="FC218" s="39"/>
      <c r="FD218" s="39"/>
      <c r="FE218" s="39"/>
      <c r="FF218" s="39"/>
      <c r="FG218" s="39"/>
      <c r="FH218" s="39"/>
      <c r="FI218" s="39"/>
      <c r="FJ218" s="39"/>
      <c r="FK218" s="39"/>
      <c r="FL218" s="39"/>
      <c r="FM218" s="39"/>
      <c r="FN218" s="39"/>
      <c r="FO218" s="39"/>
      <c r="FP218" s="39"/>
      <c r="FQ218" s="39"/>
      <c r="FR218" s="39"/>
      <c r="FS218" s="39"/>
      <c r="FT218" s="39"/>
      <c r="FU218" s="39"/>
      <c r="FV218" s="39"/>
      <c r="FW218" s="39"/>
      <c r="FX218" s="39"/>
      <c r="FY218" s="39"/>
      <c r="FZ218" s="39"/>
      <c r="GA218" s="39"/>
      <c r="GB218" s="39"/>
      <c r="GC218" s="39"/>
      <c r="GD218" s="39"/>
      <c r="GE218" s="39"/>
      <c r="GF218" s="39"/>
      <c r="GG218" s="39"/>
      <c r="GH218" s="39"/>
      <c r="GI218" s="39"/>
      <c r="GJ218" s="39"/>
      <c r="GK218" s="39"/>
      <c r="GL218" s="39"/>
      <c r="GM218" s="39"/>
      <c r="GN218" s="39"/>
      <c r="GO218" s="39"/>
      <c r="GP218" s="39"/>
      <c r="GQ218" s="39"/>
      <c r="GR218" s="39"/>
      <c r="GS218" s="39"/>
      <c r="GT218" s="39"/>
      <c r="GU218" s="39"/>
      <c r="GV218" s="39"/>
    </row>
    <row r="219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  <c r="EZ219" s="39"/>
      <c r="FA219" s="39"/>
      <c r="FB219" s="39"/>
      <c r="FC219" s="39"/>
      <c r="FD219" s="39"/>
      <c r="FE219" s="39"/>
      <c r="FF219" s="39"/>
      <c r="FG219" s="39"/>
      <c r="FH219" s="39"/>
      <c r="FI219" s="39"/>
      <c r="FJ219" s="39"/>
      <c r="FK219" s="39"/>
      <c r="FL219" s="39"/>
      <c r="FM219" s="39"/>
      <c r="FN219" s="39"/>
      <c r="FO219" s="39"/>
      <c r="FP219" s="39"/>
      <c r="FQ219" s="39"/>
      <c r="FR219" s="39"/>
      <c r="FS219" s="39"/>
      <c r="FT219" s="39"/>
      <c r="FU219" s="39"/>
      <c r="FV219" s="39"/>
      <c r="FW219" s="39"/>
      <c r="FX219" s="39"/>
      <c r="FY219" s="39"/>
      <c r="FZ219" s="39"/>
      <c r="GA219" s="39"/>
      <c r="GB219" s="39"/>
      <c r="GC219" s="39"/>
      <c r="GD219" s="39"/>
      <c r="GE219" s="39"/>
      <c r="GF219" s="39"/>
      <c r="GG219" s="39"/>
      <c r="GH219" s="39"/>
      <c r="GI219" s="39"/>
      <c r="GJ219" s="39"/>
      <c r="GK219" s="39"/>
      <c r="GL219" s="39"/>
      <c r="GM219" s="39"/>
      <c r="GN219" s="39"/>
      <c r="GO219" s="39"/>
      <c r="GP219" s="39"/>
      <c r="GQ219" s="39"/>
      <c r="GR219" s="39"/>
      <c r="GS219" s="39"/>
      <c r="GT219" s="39"/>
      <c r="GU219" s="39"/>
      <c r="GV219" s="39"/>
    </row>
    <row r="220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  <c r="EZ220" s="39"/>
      <c r="FA220" s="39"/>
      <c r="FB220" s="39"/>
      <c r="FC220" s="39"/>
      <c r="FD220" s="39"/>
      <c r="FE220" s="39"/>
      <c r="FF220" s="39"/>
      <c r="FG220" s="39"/>
      <c r="FH220" s="39"/>
      <c r="FI220" s="39"/>
      <c r="FJ220" s="39"/>
      <c r="FK220" s="39"/>
      <c r="FL220" s="39"/>
      <c r="FM220" s="39"/>
      <c r="FN220" s="39"/>
      <c r="FO220" s="39"/>
      <c r="FP220" s="39"/>
      <c r="FQ220" s="39"/>
      <c r="FR220" s="39"/>
      <c r="FS220" s="39"/>
      <c r="FT220" s="39"/>
      <c r="FU220" s="39"/>
      <c r="FV220" s="39"/>
      <c r="FW220" s="39"/>
      <c r="FX220" s="39"/>
      <c r="FY220" s="39"/>
      <c r="FZ220" s="39"/>
      <c r="GA220" s="39"/>
      <c r="GB220" s="39"/>
      <c r="GC220" s="39"/>
      <c r="GD220" s="39"/>
      <c r="GE220" s="39"/>
      <c r="GF220" s="39"/>
      <c r="GG220" s="39"/>
      <c r="GH220" s="39"/>
      <c r="GI220" s="39"/>
      <c r="GJ220" s="39"/>
      <c r="GK220" s="39"/>
      <c r="GL220" s="39"/>
      <c r="GM220" s="39"/>
      <c r="GN220" s="39"/>
      <c r="GO220" s="39"/>
      <c r="GP220" s="39"/>
      <c r="GQ220" s="39"/>
      <c r="GR220" s="39"/>
      <c r="GS220" s="39"/>
      <c r="GT220" s="39"/>
      <c r="GU220" s="39"/>
      <c r="GV220" s="39"/>
    </row>
    <row r="221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  <c r="EZ221" s="39"/>
      <c r="FA221" s="39"/>
      <c r="FB221" s="39"/>
      <c r="FC221" s="39"/>
      <c r="FD221" s="39"/>
      <c r="FE221" s="39"/>
      <c r="FF221" s="39"/>
      <c r="FG221" s="39"/>
      <c r="FH221" s="39"/>
      <c r="FI221" s="39"/>
      <c r="FJ221" s="39"/>
      <c r="FK221" s="39"/>
      <c r="FL221" s="39"/>
      <c r="FM221" s="39"/>
      <c r="FN221" s="39"/>
      <c r="FO221" s="39"/>
      <c r="FP221" s="39"/>
      <c r="FQ221" s="39"/>
      <c r="FR221" s="39"/>
      <c r="FS221" s="39"/>
      <c r="FT221" s="39"/>
      <c r="FU221" s="39"/>
      <c r="FV221" s="39"/>
      <c r="FW221" s="39"/>
      <c r="FX221" s="39"/>
      <c r="FY221" s="39"/>
      <c r="FZ221" s="39"/>
      <c r="GA221" s="39"/>
      <c r="GB221" s="39"/>
      <c r="GC221" s="39"/>
      <c r="GD221" s="39"/>
      <c r="GE221" s="39"/>
      <c r="GF221" s="39"/>
      <c r="GG221" s="39"/>
      <c r="GH221" s="39"/>
      <c r="GI221" s="39"/>
      <c r="GJ221" s="39"/>
      <c r="GK221" s="39"/>
      <c r="GL221" s="39"/>
      <c r="GM221" s="39"/>
      <c r="GN221" s="39"/>
      <c r="GO221" s="39"/>
      <c r="GP221" s="39"/>
      <c r="GQ221" s="39"/>
      <c r="GR221" s="39"/>
      <c r="GS221" s="39"/>
      <c r="GT221" s="39"/>
      <c r="GU221" s="39"/>
      <c r="GV221" s="39"/>
    </row>
    <row r="222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</row>
    <row r="223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  <c r="EZ223" s="39"/>
      <c r="FA223" s="39"/>
      <c r="FB223" s="39"/>
      <c r="FC223" s="39"/>
      <c r="FD223" s="39"/>
      <c r="FE223" s="39"/>
      <c r="FF223" s="39"/>
      <c r="FG223" s="39"/>
      <c r="FH223" s="39"/>
      <c r="FI223" s="39"/>
      <c r="FJ223" s="39"/>
      <c r="FK223" s="39"/>
      <c r="FL223" s="39"/>
      <c r="FM223" s="39"/>
      <c r="FN223" s="39"/>
      <c r="FO223" s="39"/>
      <c r="FP223" s="39"/>
      <c r="FQ223" s="39"/>
      <c r="FR223" s="39"/>
      <c r="FS223" s="39"/>
      <c r="FT223" s="39"/>
      <c r="FU223" s="39"/>
      <c r="FV223" s="39"/>
      <c r="FW223" s="39"/>
      <c r="FX223" s="39"/>
      <c r="FY223" s="39"/>
      <c r="FZ223" s="39"/>
      <c r="GA223" s="39"/>
      <c r="GB223" s="39"/>
      <c r="GC223" s="39"/>
      <c r="GD223" s="39"/>
      <c r="GE223" s="39"/>
      <c r="GF223" s="39"/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</row>
    <row r="224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  <c r="EZ224" s="39"/>
      <c r="FA224" s="39"/>
      <c r="FB224" s="39"/>
      <c r="FC224" s="39"/>
      <c r="FD224" s="39"/>
      <c r="FE224" s="39"/>
      <c r="FF224" s="39"/>
      <c r="FG224" s="39"/>
      <c r="FH224" s="39"/>
      <c r="FI224" s="39"/>
      <c r="FJ224" s="39"/>
      <c r="FK224" s="39"/>
      <c r="FL224" s="39"/>
      <c r="FM224" s="39"/>
      <c r="FN224" s="39"/>
      <c r="FO224" s="39"/>
      <c r="FP224" s="39"/>
      <c r="FQ224" s="39"/>
      <c r="FR224" s="39"/>
      <c r="FS224" s="39"/>
      <c r="FT224" s="39"/>
      <c r="FU224" s="39"/>
      <c r="FV224" s="39"/>
      <c r="FW224" s="39"/>
      <c r="FX224" s="39"/>
      <c r="FY224" s="39"/>
      <c r="FZ224" s="39"/>
      <c r="GA224" s="39"/>
      <c r="GB224" s="39"/>
      <c r="GC224" s="39"/>
      <c r="GD224" s="39"/>
      <c r="GE224" s="39"/>
      <c r="GF224" s="39"/>
      <c r="GG224" s="39"/>
      <c r="GH224" s="39"/>
      <c r="GI224" s="39"/>
      <c r="GJ224" s="39"/>
      <c r="GK224" s="39"/>
      <c r="GL224" s="39"/>
      <c r="GM224" s="39"/>
      <c r="GN224" s="39"/>
      <c r="GO224" s="39"/>
      <c r="GP224" s="39"/>
      <c r="GQ224" s="39"/>
      <c r="GR224" s="39"/>
      <c r="GS224" s="39"/>
      <c r="GT224" s="39"/>
      <c r="GU224" s="39"/>
      <c r="GV224" s="39"/>
    </row>
    <row r="225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  <c r="EZ225" s="39"/>
      <c r="FA225" s="39"/>
      <c r="FB225" s="39"/>
      <c r="FC225" s="39"/>
      <c r="FD225" s="39"/>
      <c r="FE225" s="39"/>
      <c r="FF225" s="39"/>
      <c r="FG225" s="39"/>
      <c r="FH225" s="39"/>
      <c r="FI225" s="39"/>
      <c r="FJ225" s="39"/>
      <c r="FK225" s="39"/>
      <c r="FL225" s="39"/>
      <c r="FM225" s="39"/>
      <c r="FN225" s="39"/>
      <c r="FO225" s="39"/>
      <c r="FP225" s="39"/>
      <c r="FQ225" s="39"/>
      <c r="FR225" s="39"/>
      <c r="FS225" s="39"/>
      <c r="FT225" s="39"/>
      <c r="FU225" s="39"/>
      <c r="FV225" s="39"/>
      <c r="FW225" s="39"/>
      <c r="FX225" s="39"/>
      <c r="FY225" s="39"/>
      <c r="FZ225" s="39"/>
      <c r="GA225" s="39"/>
      <c r="GB225" s="39"/>
      <c r="GC225" s="39"/>
      <c r="GD225" s="39"/>
      <c r="GE225" s="39"/>
      <c r="GF225" s="39"/>
      <c r="GG225" s="39"/>
      <c r="GH225" s="39"/>
      <c r="GI225" s="39"/>
      <c r="GJ225" s="39"/>
      <c r="GK225" s="39"/>
      <c r="GL225" s="39"/>
      <c r="GM225" s="39"/>
      <c r="GN225" s="39"/>
      <c r="GO225" s="39"/>
      <c r="GP225" s="39"/>
      <c r="GQ225" s="39"/>
      <c r="GR225" s="39"/>
      <c r="GS225" s="39"/>
      <c r="GT225" s="39"/>
      <c r="GU225" s="39"/>
      <c r="GV225" s="39"/>
    </row>
    <row r="226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39"/>
      <c r="FA226" s="39"/>
      <c r="FB226" s="39"/>
      <c r="FC226" s="39"/>
      <c r="FD226" s="39"/>
      <c r="FE226" s="39"/>
      <c r="FF226" s="39"/>
      <c r="FG226" s="39"/>
      <c r="FH226" s="39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</row>
    <row r="227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  <c r="EZ227" s="39"/>
      <c r="FA227" s="39"/>
      <c r="FB227" s="39"/>
      <c r="FC227" s="39"/>
      <c r="FD227" s="39"/>
      <c r="FE227" s="39"/>
      <c r="FF227" s="39"/>
      <c r="FG227" s="39"/>
      <c r="FH227" s="39"/>
      <c r="FI227" s="39"/>
      <c r="FJ227" s="39"/>
      <c r="FK227" s="39"/>
      <c r="FL227" s="39"/>
      <c r="FM227" s="39"/>
      <c r="FN227" s="39"/>
      <c r="FO227" s="39"/>
      <c r="FP227" s="39"/>
      <c r="FQ227" s="39"/>
      <c r="FR227" s="39"/>
      <c r="FS227" s="39"/>
      <c r="FT227" s="39"/>
      <c r="FU227" s="39"/>
      <c r="FV227" s="39"/>
      <c r="FW227" s="39"/>
      <c r="FX227" s="39"/>
      <c r="FY227" s="39"/>
      <c r="FZ227" s="39"/>
      <c r="GA227" s="39"/>
      <c r="GB227" s="39"/>
      <c r="GC227" s="39"/>
      <c r="GD227" s="39"/>
      <c r="GE227" s="39"/>
      <c r="GF227" s="39"/>
      <c r="GG227" s="39"/>
      <c r="GH227" s="39"/>
      <c r="GI227" s="39"/>
      <c r="GJ227" s="39"/>
      <c r="GK227" s="39"/>
      <c r="GL227" s="39"/>
      <c r="GM227" s="39"/>
      <c r="GN227" s="39"/>
      <c r="GO227" s="39"/>
      <c r="GP227" s="39"/>
      <c r="GQ227" s="39"/>
      <c r="GR227" s="39"/>
      <c r="GS227" s="39"/>
      <c r="GT227" s="39"/>
      <c r="GU227" s="39"/>
      <c r="GV227" s="39"/>
    </row>
    <row r="228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9"/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  <c r="FP228" s="39"/>
      <c r="FQ228" s="39"/>
      <c r="FR228" s="39"/>
      <c r="FS228" s="39"/>
      <c r="FT228" s="39"/>
      <c r="FU228" s="39"/>
      <c r="FV228" s="39"/>
      <c r="FW228" s="39"/>
      <c r="FX228" s="39"/>
      <c r="FY228" s="39"/>
      <c r="FZ228" s="39"/>
      <c r="GA228" s="39"/>
      <c r="GB228" s="39"/>
      <c r="GC228" s="39"/>
      <c r="GD228" s="39"/>
      <c r="GE228" s="39"/>
      <c r="GF228" s="39"/>
      <c r="GG228" s="39"/>
      <c r="GH228" s="39"/>
      <c r="GI228" s="39"/>
      <c r="GJ228" s="39"/>
      <c r="GK228" s="39"/>
      <c r="GL228" s="39"/>
      <c r="GM228" s="39"/>
      <c r="GN228" s="39"/>
      <c r="GO228" s="39"/>
      <c r="GP228" s="39"/>
      <c r="GQ228" s="39"/>
      <c r="GR228" s="39"/>
      <c r="GS228" s="39"/>
      <c r="GT228" s="39"/>
      <c r="GU228" s="39"/>
      <c r="GV228" s="39"/>
    </row>
    <row r="229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</row>
    <row r="230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  <c r="EZ230" s="39"/>
      <c r="FA230" s="39"/>
      <c r="FB230" s="39"/>
      <c r="FC230" s="39"/>
      <c r="FD230" s="39"/>
      <c r="FE230" s="39"/>
      <c r="FF230" s="39"/>
      <c r="FG230" s="39"/>
      <c r="FH230" s="39"/>
      <c r="FI230" s="39"/>
      <c r="FJ230" s="39"/>
      <c r="FK230" s="39"/>
      <c r="FL230" s="39"/>
      <c r="FM230" s="39"/>
      <c r="FN230" s="39"/>
      <c r="FO230" s="39"/>
      <c r="FP230" s="39"/>
      <c r="FQ230" s="39"/>
      <c r="FR230" s="39"/>
      <c r="FS230" s="39"/>
      <c r="FT230" s="39"/>
      <c r="FU230" s="39"/>
      <c r="FV230" s="39"/>
      <c r="FW230" s="39"/>
      <c r="FX230" s="39"/>
      <c r="FY230" s="39"/>
      <c r="FZ230" s="39"/>
      <c r="GA230" s="39"/>
      <c r="GB230" s="39"/>
      <c r="GC230" s="39"/>
      <c r="GD230" s="39"/>
      <c r="GE230" s="39"/>
      <c r="GF230" s="39"/>
      <c r="GG230" s="39"/>
      <c r="GH230" s="39"/>
      <c r="GI230" s="39"/>
      <c r="GJ230" s="39"/>
      <c r="GK230" s="39"/>
      <c r="GL230" s="39"/>
      <c r="GM230" s="39"/>
      <c r="GN230" s="39"/>
      <c r="GO230" s="39"/>
      <c r="GP230" s="39"/>
      <c r="GQ230" s="39"/>
      <c r="GR230" s="39"/>
      <c r="GS230" s="39"/>
      <c r="GT230" s="39"/>
      <c r="GU230" s="39"/>
      <c r="GV230" s="39"/>
    </row>
    <row r="231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</row>
    <row r="232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  <c r="EV232" s="39"/>
      <c r="EW232" s="39"/>
      <c r="EX232" s="39"/>
      <c r="EY232" s="39"/>
      <c r="EZ232" s="39"/>
      <c r="FA232" s="39"/>
      <c r="FB232" s="39"/>
      <c r="FC232" s="39"/>
      <c r="FD232" s="39"/>
      <c r="FE232" s="39"/>
      <c r="FF232" s="39"/>
      <c r="FG232" s="39"/>
      <c r="FH232" s="39"/>
      <c r="FI232" s="39"/>
      <c r="FJ232" s="39"/>
      <c r="FK232" s="39"/>
      <c r="FL232" s="39"/>
      <c r="FM232" s="39"/>
      <c r="FN232" s="39"/>
      <c r="FO232" s="39"/>
      <c r="FP232" s="39"/>
      <c r="FQ232" s="39"/>
      <c r="FR232" s="39"/>
      <c r="FS232" s="39"/>
      <c r="FT232" s="39"/>
      <c r="FU232" s="39"/>
      <c r="FV232" s="39"/>
      <c r="FW232" s="39"/>
      <c r="FX232" s="39"/>
      <c r="FY232" s="39"/>
      <c r="FZ232" s="39"/>
      <c r="GA232" s="39"/>
      <c r="GB232" s="39"/>
      <c r="GC232" s="39"/>
      <c r="GD232" s="39"/>
      <c r="GE232" s="39"/>
      <c r="GF232" s="39"/>
      <c r="GG232" s="39"/>
      <c r="GH232" s="39"/>
      <c r="GI232" s="39"/>
      <c r="GJ232" s="39"/>
      <c r="GK232" s="39"/>
      <c r="GL232" s="39"/>
      <c r="GM232" s="39"/>
      <c r="GN232" s="39"/>
      <c r="GO232" s="39"/>
      <c r="GP232" s="39"/>
      <c r="GQ232" s="39"/>
      <c r="GR232" s="39"/>
      <c r="GS232" s="39"/>
      <c r="GT232" s="39"/>
      <c r="GU232" s="39"/>
      <c r="GV232" s="39"/>
    </row>
    <row r="233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  <c r="EV233" s="39"/>
      <c r="EW233" s="39"/>
      <c r="EX233" s="39"/>
      <c r="EY233" s="39"/>
      <c r="EZ233" s="39"/>
      <c r="FA233" s="39"/>
      <c r="FB233" s="39"/>
      <c r="FC233" s="39"/>
      <c r="FD233" s="39"/>
      <c r="FE233" s="39"/>
      <c r="FF233" s="39"/>
      <c r="FG233" s="39"/>
      <c r="FH233" s="39"/>
      <c r="FI233" s="39"/>
      <c r="FJ233" s="39"/>
      <c r="FK233" s="39"/>
      <c r="FL233" s="39"/>
      <c r="FM233" s="39"/>
      <c r="FN233" s="39"/>
      <c r="FO233" s="39"/>
      <c r="FP233" s="39"/>
      <c r="FQ233" s="39"/>
      <c r="FR233" s="39"/>
      <c r="FS233" s="39"/>
      <c r="FT233" s="39"/>
      <c r="FU233" s="39"/>
      <c r="FV233" s="39"/>
      <c r="FW233" s="39"/>
      <c r="FX233" s="39"/>
      <c r="FY233" s="39"/>
      <c r="FZ233" s="39"/>
      <c r="GA233" s="39"/>
      <c r="GB233" s="39"/>
      <c r="GC233" s="39"/>
      <c r="GD233" s="39"/>
      <c r="GE233" s="39"/>
      <c r="GF233" s="39"/>
      <c r="GG233" s="39"/>
      <c r="GH233" s="39"/>
      <c r="GI233" s="39"/>
      <c r="GJ233" s="39"/>
      <c r="GK233" s="39"/>
      <c r="GL233" s="39"/>
      <c r="GM233" s="39"/>
      <c r="GN233" s="39"/>
      <c r="GO233" s="39"/>
      <c r="GP233" s="39"/>
      <c r="GQ233" s="39"/>
      <c r="GR233" s="39"/>
      <c r="GS233" s="39"/>
      <c r="GT233" s="39"/>
      <c r="GU233" s="39"/>
      <c r="GV233" s="39"/>
    </row>
    <row r="234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  <c r="EV234" s="39"/>
      <c r="EW234" s="39"/>
      <c r="EX234" s="39"/>
      <c r="EY234" s="39"/>
      <c r="EZ234" s="39"/>
      <c r="FA234" s="39"/>
      <c r="FB234" s="39"/>
      <c r="FC234" s="39"/>
      <c r="FD234" s="39"/>
      <c r="FE234" s="39"/>
      <c r="FF234" s="39"/>
      <c r="FG234" s="39"/>
      <c r="FH234" s="39"/>
      <c r="FI234" s="39"/>
      <c r="FJ234" s="39"/>
      <c r="FK234" s="39"/>
      <c r="FL234" s="39"/>
      <c r="FM234" s="39"/>
      <c r="FN234" s="39"/>
      <c r="FO234" s="39"/>
      <c r="FP234" s="39"/>
      <c r="FQ234" s="39"/>
      <c r="FR234" s="39"/>
      <c r="FS234" s="39"/>
      <c r="FT234" s="39"/>
      <c r="FU234" s="39"/>
      <c r="FV234" s="39"/>
      <c r="FW234" s="39"/>
      <c r="FX234" s="39"/>
      <c r="FY234" s="39"/>
      <c r="FZ234" s="39"/>
      <c r="GA234" s="39"/>
      <c r="GB234" s="39"/>
      <c r="GC234" s="39"/>
      <c r="GD234" s="39"/>
      <c r="GE234" s="39"/>
      <c r="GF234" s="39"/>
      <c r="GG234" s="39"/>
      <c r="GH234" s="39"/>
      <c r="GI234" s="39"/>
      <c r="GJ234" s="39"/>
      <c r="GK234" s="39"/>
      <c r="GL234" s="39"/>
      <c r="GM234" s="39"/>
      <c r="GN234" s="39"/>
      <c r="GO234" s="39"/>
      <c r="GP234" s="39"/>
      <c r="GQ234" s="39"/>
      <c r="GR234" s="39"/>
      <c r="GS234" s="39"/>
      <c r="GT234" s="39"/>
      <c r="GU234" s="39"/>
      <c r="GV234" s="39"/>
    </row>
    <row r="235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  <c r="EV235" s="39"/>
      <c r="EW235" s="39"/>
      <c r="EX235" s="39"/>
      <c r="EY235" s="39"/>
      <c r="EZ235" s="39"/>
      <c r="FA235" s="39"/>
      <c r="FB235" s="39"/>
      <c r="FC235" s="39"/>
      <c r="FD235" s="39"/>
      <c r="FE235" s="39"/>
      <c r="FF235" s="39"/>
      <c r="FG235" s="39"/>
      <c r="FH235" s="39"/>
      <c r="FI235" s="39"/>
      <c r="FJ235" s="39"/>
      <c r="FK235" s="39"/>
      <c r="FL235" s="39"/>
      <c r="FM235" s="39"/>
      <c r="FN235" s="39"/>
      <c r="FO235" s="39"/>
      <c r="FP235" s="39"/>
      <c r="FQ235" s="39"/>
      <c r="FR235" s="39"/>
      <c r="FS235" s="39"/>
      <c r="FT235" s="39"/>
      <c r="FU235" s="39"/>
      <c r="FV235" s="39"/>
      <c r="FW235" s="39"/>
      <c r="FX235" s="39"/>
      <c r="FY235" s="39"/>
      <c r="FZ235" s="39"/>
      <c r="GA235" s="39"/>
      <c r="GB235" s="39"/>
      <c r="GC235" s="39"/>
      <c r="GD235" s="39"/>
      <c r="GE235" s="39"/>
      <c r="GF235" s="39"/>
      <c r="GG235" s="39"/>
      <c r="GH235" s="39"/>
      <c r="GI235" s="39"/>
      <c r="GJ235" s="39"/>
      <c r="GK235" s="39"/>
      <c r="GL235" s="39"/>
      <c r="GM235" s="39"/>
      <c r="GN235" s="39"/>
      <c r="GO235" s="39"/>
      <c r="GP235" s="39"/>
      <c r="GQ235" s="39"/>
      <c r="GR235" s="39"/>
      <c r="GS235" s="39"/>
      <c r="GT235" s="39"/>
      <c r="GU235" s="39"/>
      <c r="GV235" s="39"/>
    </row>
    <row r="236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  <c r="EV236" s="39"/>
      <c r="EW236" s="39"/>
      <c r="EX236" s="39"/>
      <c r="EY236" s="39"/>
      <c r="EZ236" s="39"/>
      <c r="FA236" s="39"/>
      <c r="FB236" s="39"/>
      <c r="FC236" s="39"/>
      <c r="FD236" s="39"/>
      <c r="FE236" s="39"/>
      <c r="FF236" s="39"/>
      <c r="FG236" s="39"/>
      <c r="FH236" s="39"/>
      <c r="FI236" s="39"/>
      <c r="FJ236" s="39"/>
      <c r="FK236" s="39"/>
      <c r="FL236" s="39"/>
      <c r="FM236" s="39"/>
      <c r="FN236" s="39"/>
      <c r="FO236" s="39"/>
      <c r="FP236" s="39"/>
      <c r="FQ236" s="39"/>
      <c r="FR236" s="39"/>
      <c r="FS236" s="39"/>
      <c r="FT236" s="39"/>
      <c r="FU236" s="39"/>
      <c r="FV236" s="39"/>
      <c r="FW236" s="39"/>
      <c r="FX236" s="39"/>
      <c r="FY236" s="39"/>
      <c r="FZ236" s="39"/>
      <c r="GA236" s="39"/>
      <c r="GB236" s="39"/>
      <c r="GC236" s="39"/>
      <c r="GD236" s="39"/>
      <c r="GE236" s="39"/>
      <c r="GF236" s="39"/>
      <c r="GG236" s="39"/>
      <c r="GH236" s="39"/>
      <c r="GI236" s="39"/>
      <c r="GJ236" s="39"/>
      <c r="GK236" s="39"/>
      <c r="GL236" s="39"/>
      <c r="GM236" s="39"/>
      <c r="GN236" s="39"/>
      <c r="GO236" s="39"/>
      <c r="GP236" s="39"/>
      <c r="GQ236" s="39"/>
      <c r="GR236" s="39"/>
      <c r="GS236" s="39"/>
      <c r="GT236" s="39"/>
      <c r="GU236" s="39"/>
      <c r="GV236" s="39"/>
    </row>
    <row r="237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  <c r="EV237" s="39"/>
      <c r="EW237" s="39"/>
      <c r="EX237" s="39"/>
      <c r="EY237" s="39"/>
      <c r="EZ237" s="39"/>
      <c r="FA237" s="39"/>
      <c r="FB237" s="39"/>
      <c r="FC237" s="39"/>
      <c r="FD237" s="39"/>
      <c r="FE237" s="39"/>
      <c r="FF237" s="39"/>
      <c r="FG237" s="39"/>
      <c r="FH237" s="39"/>
      <c r="FI237" s="39"/>
      <c r="FJ237" s="39"/>
      <c r="FK237" s="39"/>
      <c r="FL237" s="39"/>
      <c r="FM237" s="39"/>
      <c r="FN237" s="39"/>
      <c r="FO237" s="39"/>
      <c r="FP237" s="39"/>
      <c r="FQ237" s="39"/>
      <c r="FR237" s="39"/>
      <c r="FS237" s="39"/>
      <c r="FT237" s="39"/>
      <c r="FU237" s="39"/>
      <c r="FV237" s="39"/>
      <c r="FW237" s="39"/>
      <c r="FX237" s="39"/>
      <c r="FY237" s="39"/>
      <c r="FZ237" s="39"/>
      <c r="GA237" s="39"/>
      <c r="GB237" s="39"/>
      <c r="GC237" s="39"/>
      <c r="GD237" s="39"/>
      <c r="GE237" s="39"/>
      <c r="GF237" s="39"/>
      <c r="GG237" s="39"/>
      <c r="GH237" s="39"/>
      <c r="GI237" s="39"/>
      <c r="GJ237" s="39"/>
      <c r="GK237" s="39"/>
      <c r="GL237" s="39"/>
      <c r="GM237" s="39"/>
      <c r="GN237" s="39"/>
      <c r="GO237" s="39"/>
      <c r="GP237" s="39"/>
      <c r="GQ237" s="39"/>
      <c r="GR237" s="39"/>
      <c r="GS237" s="39"/>
      <c r="GT237" s="39"/>
      <c r="GU237" s="39"/>
      <c r="GV237" s="39"/>
    </row>
    <row r="238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  <c r="EV238" s="39"/>
      <c r="EW238" s="39"/>
      <c r="EX238" s="39"/>
      <c r="EY238" s="39"/>
      <c r="EZ238" s="39"/>
      <c r="FA238" s="39"/>
      <c r="FB238" s="39"/>
      <c r="FC238" s="39"/>
      <c r="FD238" s="39"/>
      <c r="FE238" s="39"/>
      <c r="FF238" s="39"/>
      <c r="FG238" s="39"/>
      <c r="FH238" s="39"/>
      <c r="FI238" s="39"/>
      <c r="FJ238" s="39"/>
      <c r="FK238" s="39"/>
      <c r="FL238" s="39"/>
      <c r="FM238" s="39"/>
      <c r="FN238" s="39"/>
      <c r="FO238" s="39"/>
      <c r="FP238" s="39"/>
      <c r="FQ238" s="39"/>
      <c r="FR238" s="39"/>
      <c r="FS238" s="39"/>
      <c r="FT238" s="39"/>
      <c r="FU238" s="39"/>
      <c r="FV238" s="39"/>
      <c r="FW238" s="39"/>
      <c r="FX238" s="39"/>
      <c r="FY238" s="39"/>
      <c r="FZ238" s="39"/>
      <c r="GA238" s="39"/>
      <c r="GB238" s="39"/>
      <c r="GC238" s="39"/>
      <c r="GD238" s="39"/>
      <c r="GE238" s="39"/>
      <c r="GF238" s="39"/>
      <c r="GG238" s="39"/>
      <c r="GH238" s="39"/>
      <c r="GI238" s="39"/>
      <c r="GJ238" s="39"/>
      <c r="GK238" s="39"/>
      <c r="GL238" s="39"/>
      <c r="GM238" s="39"/>
      <c r="GN238" s="39"/>
      <c r="GO238" s="39"/>
      <c r="GP238" s="39"/>
      <c r="GQ238" s="39"/>
      <c r="GR238" s="39"/>
      <c r="GS238" s="39"/>
      <c r="GT238" s="39"/>
      <c r="GU238" s="39"/>
      <c r="GV238" s="39"/>
    </row>
    <row r="239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  <c r="EV239" s="39"/>
      <c r="EW239" s="39"/>
      <c r="EX239" s="39"/>
      <c r="EY239" s="39"/>
      <c r="EZ239" s="39"/>
      <c r="FA239" s="39"/>
      <c r="FB239" s="39"/>
      <c r="FC239" s="39"/>
      <c r="FD239" s="39"/>
      <c r="FE239" s="39"/>
      <c r="FF239" s="39"/>
      <c r="FG239" s="39"/>
      <c r="FH239" s="39"/>
      <c r="FI239" s="39"/>
      <c r="FJ239" s="39"/>
      <c r="FK239" s="39"/>
      <c r="FL239" s="39"/>
      <c r="FM239" s="39"/>
      <c r="FN239" s="39"/>
      <c r="FO239" s="39"/>
      <c r="FP239" s="39"/>
      <c r="FQ239" s="39"/>
      <c r="FR239" s="39"/>
      <c r="FS239" s="39"/>
      <c r="FT239" s="39"/>
      <c r="FU239" s="39"/>
      <c r="FV239" s="39"/>
      <c r="FW239" s="39"/>
      <c r="FX239" s="39"/>
      <c r="FY239" s="39"/>
      <c r="FZ239" s="39"/>
      <c r="GA239" s="39"/>
      <c r="GB239" s="39"/>
      <c r="GC239" s="39"/>
      <c r="GD239" s="39"/>
      <c r="GE239" s="39"/>
      <c r="GF239" s="39"/>
      <c r="GG239" s="39"/>
      <c r="GH239" s="39"/>
      <c r="GI239" s="39"/>
      <c r="GJ239" s="39"/>
      <c r="GK239" s="39"/>
      <c r="GL239" s="39"/>
      <c r="GM239" s="39"/>
      <c r="GN239" s="39"/>
      <c r="GO239" s="39"/>
      <c r="GP239" s="39"/>
      <c r="GQ239" s="39"/>
      <c r="GR239" s="39"/>
      <c r="GS239" s="39"/>
      <c r="GT239" s="39"/>
      <c r="GU239" s="39"/>
      <c r="GV239" s="39"/>
    </row>
    <row r="240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  <c r="EV240" s="39"/>
      <c r="EW240" s="39"/>
      <c r="EX240" s="39"/>
      <c r="EY240" s="39"/>
      <c r="EZ240" s="39"/>
      <c r="FA240" s="39"/>
      <c r="FB240" s="39"/>
      <c r="FC240" s="39"/>
      <c r="FD240" s="39"/>
      <c r="FE240" s="39"/>
      <c r="FF240" s="39"/>
      <c r="FG240" s="39"/>
      <c r="FH240" s="39"/>
      <c r="FI240" s="39"/>
      <c r="FJ240" s="39"/>
      <c r="FK240" s="39"/>
      <c r="FL240" s="39"/>
      <c r="FM240" s="39"/>
      <c r="FN240" s="39"/>
      <c r="FO240" s="39"/>
      <c r="FP240" s="39"/>
      <c r="FQ240" s="39"/>
      <c r="FR240" s="39"/>
      <c r="FS240" s="39"/>
      <c r="FT240" s="39"/>
      <c r="FU240" s="39"/>
      <c r="FV240" s="39"/>
      <c r="FW240" s="39"/>
      <c r="FX240" s="39"/>
      <c r="FY240" s="39"/>
      <c r="FZ240" s="39"/>
      <c r="GA240" s="39"/>
      <c r="GB240" s="39"/>
      <c r="GC240" s="39"/>
      <c r="GD240" s="39"/>
      <c r="GE240" s="39"/>
      <c r="GF240" s="39"/>
      <c r="GG240" s="39"/>
      <c r="GH240" s="39"/>
      <c r="GI240" s="39"/>
      <c r="GJ240" s="39"/>
      <c r="GK240" s="39"/>
      <c r="GL240" s="39"/>
      <c r="GM240" s="39"/>
      <c r="GN240" s="39"/>
      <c r="GO240" s="39"/>
      <c r="GP240" s="39"/>
      <c r="GQ240" s="39"/>
      <c r="GR240" s="39"/>
      <c r="GS240" s="39"/>
      <c r="GT240" s="39"/>
      <c r="GU240" s="39"/>
      <c r="GV240" s="39"/>
    </row>
    <row r="241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  <c r="EV241" s="39"/>
      <c r="EW241" s="39"/>
      <c r="EX241" s="39"/>
      <c r="EY241" s="39"/>
      <c r="EZ241" s="39"/>
      <c r="FA241" s="39"/>
      <c r="FB241" s="39"/>
      <c r="FC241" s="39"/>
      <c r="FD241" s="39"/>
      <c r="FE241" s="39"/>
      <c r="FF241" s="39"/>
      <c r="FG241" s="39"/>
      <c r="FH241" s="39"/>
      <c r="FI241" s="39"/>
      <c r="FJ241" s="39"/>
      <c r="FK241" s="39"/>
      <c r="FL241" s="39"/>
      <c r="FM241" s="39"/>
      <c r="FN241" s="39"/>
      <c r="FO241" s="39"/>
      <c r="FP241" s="39"/>
      <c r="FQ241" s="39"/>
      <c r="FR241" s="39"/>
      <c r="FS241" s="39"/>
      <c r="FT241" s="39"/>
      <c r="FU241" s="39"/>
      <c r="FV241" s="39"/>
      <c r="FW241" s="39"/>
      <c r="FX241" s="39"/>
      <c r="FY241" s="39"/>
      <c r="FZ241" s="39"/>
      <c r="GA241" s="39"/>
      <c r="GB241" s="39"/>
      <c r="GC241" s="39"/>
      <c r="GD241" s="39"/>
      <c r="GE241" s="39"/>
      <c r="GF241" s="39"/>
      <c r="GG241" s="39"/>
      <c r="GH241" s="39"/>
      <c r="GI241" s="39"/>
      <c r="GJ241" s="39"/>
      <c r="GK241" s="39"/>
      <c r="GL241" s="39"/>
      <c r="GM241" s="39"/>
      <c r="GN241" s="39"/>
      <c r="GO241" s="39"/>
      <c r="GP241" s="39"/>
      <c r="GQ241" s="39"/>
      <c r="GR241" s="39"/>
      <c r="GS241" s="39"/>
      <c r="GT241" s="39"/>
      <c r="GU241" s="39"/>
      <c r="GV241" s="39"/>
    </row>
    <row r="242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  <c r="EV242" s="39"/>
      <c r="EW242" s="39"/>
      <c r="EX242" s="39"/>
      <c r="EY242" s="39"/>
      <c r="EZ242" s="39"/>
      <c r="FA242" s="39"/>
      <c r="FB242" s="39"/>
      <c r="FC242" s="39"/>
      <c r="FD242" s="39"/>
      <c r="FE242" s="39"/>
      <c r="FF242" s="39"/>
      <c r="FG242" s="39"/>
      <c r="FH242" s="39"/>
      <c r="FI242" s="39"/>
      <c r="FJ242" s="39"/>
      <c r="FK242" s="39"/>
      <c r="FL242" s="39"/>
      <c r="FM242" s="39"/>
      <c r="FN242" s="39"/>
      <c r="FO242" s="39"/>
      <c r="FP242" s="39"/>
      <c r="FQ242" s="39"/>
      <c r="FR242" s="39"/>
      <c r="FS242" s="39"/>
      <c r="FT242" s="39"/>
      <c r="FU242" s="39"/>
      <c r="FV242" s="39"/>
      <c r="FW242" s="39"/>
      <c r="FX242" s="39"/>
      <c r="FY242" s="39"/>
      <c r="FZ242" s="39"/>
      <c r="GA242" s="39"/>
      <c r="GB242" s="39"/>
      <c r="GC242" s="39"/>
      <c r="GD242" s="39"/>
      <c r="GE242" s="39"/>
      <c r="GF242" s="39"/>
      <c r="GG242" s="39"/>
      <c r="GH242" s="39"/>
      <c r="GI242" s="39"/>
      <c r="GJ242" s="39"/>
      <c r="GK242" s="39"/>
      <c r="GL242" s="39"/>
      <c r="GM242" s="39"/>
      <c r="GN242" s="39"/>
      <c r="GO242" s="39"/>
      <c r="GP242" s="39"/>
      <c r="GQ242" s="39"/>
      <c r="GR242" s="39"/>
      <c r="GS242" s="39"/>
      <c r="GT242" s="39"/>
      <c r="GU242" s="39"/>
      <c r="GV242" s="39"/>
    </row>
    <row r="243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  <c r="EZ243" s="39"/>
      <c r="FA243" s="39"/>
      <c r="FB243" s="39"/>
      <c r="FC243" s="39"/>
      <c r="FD243" s="39"/>
      <c r="FE243" s="39"/>
      <c r="FF243" s="39"/>
      <c r="FG243" s="39"/>
      <c r="FH243" s="39"/>
      <c r="FI243" s="39"/>
      <c r="FJ243" s="39"/>
      <c r="FK243" s="39"/>
      <c r="FL243" s="39"/>
      <c r="FM243" s="39"/>
      <c r="FN243" s="39"/>
      <c r="FO243" s="39"/>
      <c r="FP243" s="39"/>
      <c r="FQ243" s="39"/>
      <c r="FR243" s="39"/>
      <c r="FS243" s="39"/>
      <c r="FT243" s="39"/>
      <c r="FU243" s="39"/>
      <c r="FV243" s="39"/>
      <c r="FW243" s="39"/>
      <c r="FX243" s="39"/>
      <c r="FY243" s="39"/>
      <c r="FZ243" s="39"/>
      <c r="GA243" s="39"/>
      <c r="GB243" s="39"/>
      <c r="GC243" s="39"/>
      <c r="GD243" s="39"/>
      <c r="GE243" s="39"/>
      <c r="GF243" s="39"/>
      <c r="GG243" s="39"/>
      <c r="GH243" s="39"/>
      <c r="GI243" s="39"/>
      <c r="GJ243" s="39"/>
      <c r="GK243" s="39"/>
      <c r="GL243" s="39"/>
      <c r="GM243" s="39"/>
      <c r="GN243" s="39"/>
      <c r="GO243" s="39"/>
      <c r="GP243" s="39"/>
      <c r="GQ243" s="39"/>
      <c r="GR243" s="39"/>
      <c r="GS243" s="39"/>
      <c r="GT243" s="39"/>
      <c r="GU243" s="39"/>
      <c r="GV243" s="39"/>
    </row>
    <row r="244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  <c r="EV244" s="39"/>
      <c r="EW244" s="39"/>
      <c r="EX244" s="39"/>
      <c r="EY244" s="39"/>
      <c r="EZ244" s="39"/>
      <c r="FA244" s="39"/>
      <c r="FB244" s="39"/>
      <c r="FC244" s="39"/>
      <c r="FD244" s="39"/>
      <c r="FE244" s="39"/>
      <c r="FF244" s="39"/>
      <c r="FG244" s="39"/>
      <c r="FH244" s="39"/>
      <c r="FI244" s="39"/>
      <c r="FJ244" s="39"/>
      <c r="FK244" s="39"/>
      <c r="FL244" s="39"/>
      <c r="FM244" s="39"/>
      <c r="FN244" s="39"/>
      <c r="FO244" s="39"/>
      <c r="FP244" s="39"/>
      <c r="FQ244" s="39"/>
      <c r="FR244" s="39"/>
      <c r="FS244" s="39"/>
      <c r="FT244" s="39"/>
      <c r="FU244" s="39"/>
      <c r="FV244" s="39"/>
      <c r="FW244" s="39"/>
      <c r="FX244" s="39"/>
      <c r="FY244" s="39"/>
      <c r="FZ244" s="39"/>
      <c r="GA244" s="39"/>
      <c r="GB244" s="39"/>
      <c r="GC244" s="39"/>
      <c r="GD244" s="39"/>
      <c r="GE244" s="39"/>
      <c r="GF244" s="39"/>
      <c r="GG244" s="39"/>
      <c r="GH244" s="39"/>
      <c r="GI244" s="39"/>
      <c r="GJ244" s="39"/>
      <c r="GK244" s="39"/>
      <c r="GL244" s="39"/>
      <c r="GM244" s="39"/>
      <c r="GN244" s="39"/>
      <c r="GO244" s="39"/>
      <c r="GP244" s="39"/>
      <c r="GQ244" s="39"/>
      <c r="GR244" s="39"/>
      <c r="GS244" s="39"/>
      <c r="GT244" s="39"/>
      <c r="GU244" s="39"/>
      <c r="GV244" s="39"/>
    </row>
    <row r="245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</row>
    <row r="246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  <c r="EV246" s="39"/>
      <c r="EW246" s="39"/>
      <c r="EX246" s="39"/>
      <c r="EY246" s="39"/>
      <c r="EZ246" s="39"/>
      <c r="FA246" s="39"/>
      <c r="FB246" s="39"/>
      <c r="FC246" s="39"/>
      <c r="FD246" s="39"/>
      <c r="FE246" s="39"/>
      <c r="FF246" s="39"/>
      <c r="FG246" s="39"/>
      <c r="FH246" s="39"/>
      <c r="FI246" s="39"/>
      <c r="FJ246" s="39"/>
      <c r="FK246" s="39"/>
      <c r="FL246" s="39"/>
      <c r="FM246" s="39"/>
      <c r="FN246" s="39"/>
      <c r="FO246" s="39"/>
      <c r="FP246" s="39"/>
      <c r="FQ246" s="39"/>
      <c r="FR246" s="39"/>
      <c r="FS246" s="39"/>
      <c r="FT246" s="39"/>
      <c r="FU246" s="39"/>
      <c r="FV246" s="39"/>
      <c r="FW246" s="39"/>
      <c r="FX246" s="39"/>
      <c r="FY246" s="39"/>
      <c r="FZ246" s="39"/>
      <c r="GA246" s="39"/>
      <c r="GB246" s="39"/>
      <c r="GC246" s="39"/>
      <c r="GD246" s="39"/>
      <c r="GE246" s="39"/>
      <c r="GF246" s="39"/>
      <c r="GG246" s="39"/>
      <c r="GH246" s="39"/>
      <c r="GI246" s="39"/>
      <c r="GJ246" s="39"/>
      <c r="GK246" s="39"/>
      <c r="GL246" s="39"/>
      <c r="GM246" s="39"/>
      <c r="GN246" s="39"/>
      <c r="GO246" s="39"/>
      <c r="GP246" s="39"/>
      <c r="GQ246" s="39"/>
      <c r="GR246" s="39"/>
      <c r="GS246" s="39"/>
      <c r="GT246" s="39"/>
      <c r="GU246" s="39"/>
      <c r="GV246" s="39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  <c r="EV247" s="39"/>
      <c r="EW247" s="39"/>
      <c r="EX247" s="39"/>
      <c r="EY247" s="39"/>
      <c r="EZ247" s="39"/>
      <c r="FA247" s="39"/>
      <c r="FB247" s="39"/>
      <c r="FC247" s="39"/>
      <c r="FD247" s="39"/>
      <c r="FE247" s="39"/>
      <c r="FF247" s="39"/>
      <c r="FG247" s="39"/>
      <c r="FH247" s="39"/>
      <c r="FI247" s="39"/>
      <c r="FJ247" s="39"/>
      <c r="FK247" s="39"/>
      <c r="FL247" s="39"/>
      <c r="FM247" s="39"/>
      <c r="FN247" s="39"/>
      <c r="FO247" s="39"/>
      <c r="FP247" s="39"/>
      <c r="FQ247" s="39"/>
      <c r="FR247" s="39"/>
      <c r="FS247" s="39"/>
      <c r="FT247" s="39"/>
      <c r="FU247" s="39"/>
      <c r="FV247" s="39"/>
      <c r="FW247" s="39"/>
      <c r="FX247" s="39"/>
      <c r="FY247" s="39"/>
      <c r="FZ247" s="39"/>
      <c r="GA247" s="39"/>
      <c r="GB247" s="39"/>
      <c r="GC247" s="39"/>
      <c r="GD247" s="39"/>
      <c r="GE247" s="39"/>
      <c r="GF247" s="39"/>
      <c r="GG247" s="39"/>
      <c r="GH247" s="39"/>
      <c r="GI247" s="39"/>
      <c r="GJ247" s="39"/>
      <c r="GK247" s="39"/>
      <c r="GL247" s="39"/>
      <c r="GM247" s="39"/>
      <c r="GN247" s="39"/>
      <c r="GO247" s="39"/>
      <c r="GP247" s="39"/>
      <c r="GQ247" s="39"/>
      <c r="GR247" s="39"/>
      <c r="GS247" s="39"/>
      <c r="GT247" s="39"/>
      <c r="GU247" s="39"/>
      <c r="GV247" s="39"/>
    </row>
    <row r="248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  <c r="EV248" s="39"/>
      <c r="EW248" s="39"/>
      <c r="EX248" s="39"/>
      <c r="EY248" s="39"/>
      <c r="EZ248" s="39"/>
      <c r="FA248" s="39"/>
      <c r="FB248" s="39"/>
      <c r="FC248" s="39"/>
      <c r="FD248" s="39"/>
      <c r="FE248" s="39"/>
      <c r="FF248" s="39"/>
      <c r="FG248" s="39"/>
      <c r="FH248" s="39"/>
      <c r="FI248" s="39"/>
      <c r="FJ248" s="39"/>
      <c r="FK248" s="39"/>
      <c r="FL248" s="39"/>
      <c r="FM248" s="39"/>
      <c r="FN248" s="39"/>
      <c r="FO248" s="39"/>
      <c r="FP248" s="39"/>
      <c r="FQ248" s="39"/>
      <c r="FR248" s="39"/>
      <c r="FS248" s="39"/>
      <c r="FT248" s="39"/>
      <c r="FU248" s="39"/>
      <c r="FV248" s="39"/>
      <c r="FW248" s="39"/>
      <c r="FX248" s="39"/>
      <c r="FY248" s="39"/>
      <c r="FZ248" s="39"/>
      <c r="GA248" s="39"/>
      <c r="GB248" s="39"/>
      <c r="GC248" s="39"/>
      <c r="GD248" s="39"/>
      <c r="GE248" s="39"/>
      <c r="GF248" s="39"/>
      <c r="GG248" s="39"/>
      <c r="GH248" s="39"/>
      <c r="GI248" s="39"/>
      <c r="GJ248" s="39"/>
      <c r="GK248" s="39"/>
      <c r="GL248" s="39"/>
      <c r="GM248" s="39"/>
      <c r="GN248" s="39"/>
      <c r="GO248" s="39"/>
      <c r="GP248" s="39"/>
      <c r="GQ248" s="39"/>
      <c r="GR248" s="39"/>
      <c r="GS248" s="39"/>
      <c r="GT248" s="39"/>
      <c r="GU248" s="39"/>
      <c r="GV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  <c r="EV249" s="39"/>
      <c r="EW249" s="39"/>
      <c r="EX249" s="39"/>
      <c r="EY249" s="39"/>
      <c r="EZ249" s="39"/>
      <c r="FA249" s="39"/>
      <c r="FB249" s="39"/>
      <c r="FC249" s="39"/>
      <c r="FD249" s="39"/>
      <c r="FE249" s="39"/>
      <c r="FF249" s="39"/>
      <c r="FG249" s="39"/>
      <c r="FH249" s="39"/>
      <c r="FI249" s="39"/>
      <c r="FJ249" s="39"/>
      <c r="FK249" s="39"/>
      <c r="FL249" s="39"/>
      <c r="FM249" s="39"/>
      <c r="FN249" s="39"/>
      <c r="FO249" s="39"/>
      <c r="FP249" s="39"/>
      <c r="FQ249" s="39"/>
      <c r="FR249" s="39"/>
      <c r="FS249" s="39"/>
      <c r="FT249" s="39"/>
      <c r="FU249" s="39"/>
      <c r="FV249" s="39"/>
      <c r="FW249" s="39"/>
      <c r="FX249" s="39"/>
      <c r="FY249" s="39"/>
      <c r="FZ249" s="39"/>
      <c r="GA249" s="39"/>
      <c r="GB249" s="39"/>
      <c r="GC249" s="39"/>
      <c r="GD249" s="39"/>
      <c r="GE249" s="39"/>
      <c r="GF249" s="39"/>
      <c r="GG249" s="39"/>
      <c r="GH249" s="39"/>
      <c r="GI249" s="39"/>
      <c r="GJ249" s="39"/>
      <c r="GK249" s="39"/>
      <c r="GL249" s="39"/>
      <c r="GM249" s="39"/>
      <c r="GN249" s="39"/>
      <c r="GO249" s="39"/>
      <c r="GP249" s="39"/>
      <c r="GQ249" s="39"/>
      <c r="GR249" s="39"/>
      <c r="GS249" s="39"/>
      <c r="GT249" s="39"/>
      <c r="GU249" s="39"/>
      <c r="GV249" s="39"/>
    </row>
    <row r="250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  <c r="EV250" s="39"/>
      <c r="EW250" s="39"/>
      <c r="EX250" s="39"/>
      <c r="EY250" s="39"/>
      <c r="EZ250" s="39"/>
      <c r="FA250" s="39"/>
      <c r="FB250" s="39"/>
      <c r="FC250" s="39"/>
      <c r="FD250" s="39"/>
      <c r="FE250" s="39"/>
      <c r="FF250" s="39"/>
      <c r="FG250" s="39"/>
      <c r="FH250" s="39"/>
      <c r="FI250" s="39"/>
      <c r="FJ250" s="39"/>
      <c r="FK250" s="39"/>
      <c r="FL250" s="39"/>
      <c r="FM250" s="39"/>
      <c r="FN250" s="39"/>
      <c r="FO250" s="39"/>
      <c r="FP250" s="39"/>
      <c r="FQ250" s="39"/>
      <c r="FR250" s="39"/>
      <c r="FS250" s="39"/>
      <c r="FT250" s="39"/>
      <c r="FU250" s="39"/>
      <c r="FV250" s="39"/>
      <c r="FW250" s="39"/>
      <c r="FX250" s="39"/>
      <c r="FY250" s="39"/>
      <c r="FZ250" s="39"/>
      <c r="GA250" s="39"/>
      <c r="GB250" s="39"/>
      <c r="GC250" s="39"/>
      <c r="GD250" s="39"/>
      <c r="GE250" s="39"/>
      <c r="GF250" s="39"/>
      <c r="GG250" s="39"/>
      <c r="GH250" s="39"/>
      <c r="GI250" s="39"/>
      <c r="GJ250" s="39"/>
      <c r="GK250" s="39"/>
      <c r="GL250" s="39"/>
      <c r="GM250" s="39"/>
      <c r="GN250" s="39"/>
      <c r="GO250" s="39"/>
      <c r="GP250" s="39"/>
      <c r="GQ250" s="39"/>
      <c r="GR250" s="39"/>
      <c r="GS250" s="39"/>
      <c r="GT250" s="39"/>
      <c r="GU250" s="39"/>
      <c r="GV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  <c r="EV251" s="39"/>
      <c r="EW251" s="39"/>
      <c r="EX251" s="39"/>
      <c r="EY251" s="39"/>
      <c r="EZ251" s="39"/>
      <c r="FA251" s="39"/>
      <c r="FB251" s="39"/>
      <c r="FC251" s="39"/>
      <c r="FD251" s="39"/>
      <c r="FE251" s="39"/>
      <c r="FF251" s="39"/>
      <c r="FG251" s="39"/>
      <c r="FH251" s="39"/>
      <c r="FI251" s="39"/>
      <c r="FJ251" s="39"/>
      <c r="FK251" s="39"/>
      <c r="FL251" s="39"/>
      <c r="FM251" s="39"/>
      <c r="FN251" s="39"/>
      <c r="FO251" s="39"/>
      <c r="FP251" s="39"/>
      <c r="FQ251" s="39"/>
      <c r="FR251" s="39"/>
      <c r="FS251" s="39"/>
      <c r="FT251" s="39"/>
      <c r="FU251" s="39"/>
      <c r="FV251" s="39"/>
      <c r="FW251" s="39"/>
      <c r="FX251" s="39"/>
      <c r="FY251" s="39"/>
      <c r="FZ251" s="39"/>
      <c r="GA251" s="39"/>
      <c r="GB251" s="39"/>
      <c r="GC251" s="39"/>
      <c r="GD251" s="39"/>
      <c r="GE251" s="39"/>
      <c r="GF251" s="39"/>
      <c r="GG251" s="39"/>
      <c r="GH251" s="39"/>
      <c r="GI251" s="39"/>
      <c r="GJ251" s="39"/>
      <c r="GK251" s="39"/>
      <c r="GL251" s="39"/>
      <c r="GM251" s="39"/>
      <c r="GN251" s="39"/>
      <c r="GO251" s="39"/>
      <c r="GP251" s="39"/>
      <c r="GQ251" s="39"/>
      <c r="GR251" s="39"/>
      <c r="GS251" s="39"/>
      <c r="GT251" s="39"/>
      <c r="GU251" s="39"/>
      <c r="GV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  <c r="EV252" s="39"/>
      <c r="EW252" s="39"/>
      <c r="EX252" s="39"/>
      <c r="EY252" s="39"/>
      <c r="EZ252" s="39"/>
      <c r="FA252" s="39"/>
      <c r="FB252" s="39"/>
      <c r="FC252" s="39"/>
      <c r="FD252" s="39"/>
      <c r="FE252" s="39"/>
      <c r="FF252" s="39"/>
      <c r="FG252" s="39"/>
      <c r="FH252" s="39"/>
      <c r="FI252" s="39"/>
      <c r="FJ252" s="39"/>
      <c r="FK252" s="39"/>
      <c r="FL252" s="39"/>
      <c r="FM252" s="39"/>
      <c r="FN252" s="39"/>
      <c r="FO252" s="39"/>
      <c r="FP252" s="39"/>
      <c r="FQ252" s="39"/>
      <c r="FR252" s="39"/>
      <c r="FS252" s="39"/>
      <c r="FT252" s="39"/>
      <c r="FU252" s="39"/>
      <c r="FV252" s="39"/>
      <c r="FW252" s="39"/>
      <c r="FX252" s="39"/>
      <c r="FY252" s="39"/>
      <c r="FZ252" s="39"/>
      <c r="GA252" s="39"/>
      <c r="GB252" s="39"/>
      <c r="GC252" s="39"/>
      <c r="GD252" s="39"/>
      <c r="GE252" s="39"/>
      <c r="GF252" s="39"/>
      <c r="GG252" s="39"/>
      <c r="GH252" s="39"/>
      <c r="GI252" s="39"/>
      <c r="GJ252" s="39"/>
      <c r="GK252" s="39"/>
      <c r="GL252" s="39"/>
      <c r="GM252" s="39"/>
      <c r="GN252" s="39"/>
      <c r="GO252" s="39"/>
      <c r="GP252" s="39"/>
      <c r="GQ252" s="39"/>
      <c r="GR252" s="39"/>
      <c r="GS252" s="39"/>
      <c r="GT252" s="39"/>
      <c r="GU252" s="39"/>
      <c r="GV252" s="39"/>
    </row>
    <row r="253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</row>
    <row r="255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  <c r="EV255" s="39"/>
      <c r="EW255" s="39"/>
      <c r="EX255" s="39"/>
      <c r="EY255" s="39"/>
      <c r="EZ255" s="39"/>
      <c r="FA255" s="39"/>
      <c r="FB255" s="39"/>
      <c r="FC255" s="39"/>
      <c r="FD255" s="39"/>
      <c r="FE255" s="39"/>
      <c r="FF255" s="39"/>
      <c r="FG255" s="39"/>
      <c r="FH255" s="39"/>
      <c r="FI255" s="39"/>
      <c r="FJ255" s="39"/>
      <c r="FK255" s="39"/>
      <c r="FL255" s="39"/>
      <c r="FM255" s="39"/>
      <c r="FN255" s="39"/>
      <c r="FO255" s="39"/>
      <c r="FP255" s="39"/>
      <c r="FQ255" s="39"/>
      <c r="FR255" s="39"/>
      <c r="FS255" s="39"/>
      <c r="FT255" s="39"/>
      <c r="FU255" s="39"/>
      <c r="FV255" s="39"/>
      <c r="FW255" s="39"/>
      <c r="FX255" s="39"/>
      <c r="FY255" s="39"/>
      <c r="FZ255" s="39"/>
      <c r="GA255" s="39"/>
      <c r="GB255" s="39"/>
      <c r="GC255" s="39"/>
      <c r="GD255" s="39"/>
      <c r="GE255" s="39"/>
      <c r="GF255" s="39"/>
      <c r="GG255" s="39"/>
      <c r="GH255" s="39"/>
      <c r="GI255" s="39"/>
      <c r="GJ255" s="39"/>
      <c r="GK255" s="39"/>
      <c r="GL255" s="39"/>
      <c r="GM255" s="39"/>
      <c r="GN255" s="39"/>
      <c r="GO255" s="39"/>
      <c r="GP255" s="39"/>
      <c r="GQ255" s="39"/>
      <c r="GR255" s="39"/>
      <c r="GS255" s="39"/>
      <c r="GT255" s="39"/>
      <c r="GU255" s="39"/>
      <c r="GV255" s="39"/>
    </row>
    <row r="256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  <c r="EV256" s="39"/>
      <c r="EW256" s="39"/>
      <c r="EX256" s="39"/>
      <c r="EY256" s="39"/>
      <c r="EZ256" s="39"/>
      <c r="FA256" s="39"/>
      <c r="FB256" s="39"/>
      <c r="FC256" s="39"/>
      <c r="FD256" s="39"/>
      <c r="FE256" s="39"/>
      <c r="FF256" s="39"/>
      <c r="FG256" s="39"/>
      <c r="FH256" s="39"/>
      <c r="FI256" s="39"/>
      <c r="FJ256" s="39"/>
      <c r="FK256" s="39"/>
      <c r="FL256" s="39"/>
      <c r="FM256" s="39"/>
      <c r="FN256" s="39"/>
      <c r="FO256" s="39"/>
      <c r="FP256" s="39"/>
      <c r="FQ256" s="39"/>
      <c r="FR256" s="39"/>
      <c r="FS256" s="39"/>
      <c r="FT256" s="39"/>
      <c r="FU256" s="39"/>
      <c r="FV256" s="39"/>
      <c r="FW256" s="39"/>
      <c r="FX256" s="39"/>
      <c r="FY256" s="39"/>
      <c r="FZ256" s="39"/>
      <c r="GA256" s="39"/>
      <c r="GB256" s="39"/>
      <c r="GC256" s="39"/>
      <c r="GD256" s="39"/>
      <c r="GE256" s="39"/>
      <c r="GF256" s="39"/>
      <c r="GG256" s="39"/>
      <c r="GH256" s="39"/>
      <c r="GI256" s="39"/>
      <c r="GJ256" s="39"/>
      <c r="GK256" s="39"/>
      <c r="GL256" s="39"/>
      <c r="GM256" s="39"/>
      <c r="GN256" s="39"/>
      <c r="GO256" s="39"/>
      <c r="GP256" s="39"/>
      <c r="GQ256" s="39"/>
      <c r="GR256" s="39"/>
      <c r="GS256" s="39"/>
      <c r="GT256" s="39"/>
      <c r="GU256" s="39"/>
      <c r="GV256" s="39"/>
    </row>
    <row r="257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  <c r="EV257" s="39"/>
      <c r="EW257" s="39"/>
      <c r="EX257" s="39"/>
      <c r="EY257" s="39"/>
      <c r="EZ257" s="39"/>
      <c r="FA257" s="39"/>
      <c r="FB257" s="39"/>
      <c r="FC257" s="39"/>
      <c r="FD257" s="39"/>
      <c r="FE257" s="39"/>
      <c r="FF257" s="39"/>
      <c r="FG257" s="39"/>
      <c r="FH257" s="39"/>
      <c r="FI257" s="39"/>
      <c r="FJ257" s="39"/>
      <c r="FK257" s="39"/>
      <c r="FL257" s="39"/>
      <c r="FM257" s="39"/>
      <c r="FN257" s="39"/>
      <c r="FO257" s="39"/>
      <c r="FP257" s="39"/>
      <c r="FQ257" s="39"/>
      <c r="FR257" s="39"/>
      <c r="FS257" s="39"/>
      <c r="FT257" s="39"/>
      <c r="FU257" s="39"/>
      <c r="FV257" s="39"/>
      <c r="FW257" s="39"/>
      <c r="FX257" s="39"/>
      <c r="FY257" s="39"/>
      <c r="FZ257" s="39"/>
      <c r="GA257" s="39"/>
      <c r="GB257" s="39"/>
      <c r="GC257" s="39"/>
      <c r="GD257" s="39"/>
      <c r="GE257" s="39"/>
      <c r="GF257" s="39"/>
      <c r="GG257" s="39"/>
      <c r="GH257" s="39"/>
      <c r="GI257" s="39"/>
      <c r="GJ257" s="39"/>
      <c r="GK257" s="39"/>
      <c r="GL257" s="39"/>
      <c r="GM257" s="39"/>
      <c r="GN257" s="39"/>
      <c r="GO257" s="39"/>
      <c r="GP257" s="39"/>
      <c r="GQ257" s="39"/>
      <c r="GR257" s="39"/>
      <c r="GS257" s="39"/>
      <c r="GT257" s="39"/>
      <c r="GU257" s="39"/>
      <c r="GV257" s="39"/>
    </row>
    <row r="258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  <c r="EV258" s="39"/>
      <c r="EW258" s="39"/>
      <c r="EX258" s="39"/>
      <c r="EY258" s="39"/>
      <c r="EZ258" s="39"/>
      <c r="FA258" s="39"/>
      <c r="FB258" s="39"/>
      <c r="FC258" s="39"/>
      <c r="FD258" s="39"/>
      <c r="FE258" s="39"/>
      <c r="FF258" s="39"/>
      <c r="FG258" s="39"/>
      <c r="FH258" s="39"/>
      <c r="FI258" s="39"/>
      <c r="FJ258" s="39"/>
      <c r="FK258" s="39"/>
      <c r="FL258" s="39"/>
      <c r="FM258" s="39"/>
      <c r="FN258" s="39"/>
      <c r="FO258" s="39"/>
      <c r="FP258" s="39"/>
      <c r="FQ258" s="39"/>
      <c r="FR258" s="39"/>
      <c r="FS258" s="39"/>
      <c r="FT258" s="39"/>
      <c r="FU258" s="39"/>
      <c r="FV258" s="39"/>
      <c r="FW258" s="39"/>
      <c r="FX258" s="39"/>
      <c r="FY258" s="39"/>
      <c r="FZ258" s="39"/>
      <c r="GA258" s="39"/>
      <c r="GB258" s="39"/>
      <c r="GC258" s="39"/>
      <c r="GD258" s="39"/>
      <c r="GE258" s="39"/>
      <c r="GF258" s="39"/>
      <c r="GG258" s="39"/>
      <c r="GH258" s="39"/>
      <c r="GI258" s="39"/>
      <c r="GJ258" s="39"/>
      <c r="GK258" s="39"/>
      <c r="GL258" s="39"/>
      <c r="GM258" s="39"/>
      <c r="GN258" s="39"/>
      <c r="GO258" s="39"/>
      <c r="GP258" s="39"/>
      <c r="GQ258" s="39"/>
      <c r="GR258" s="39"/>
      <c r="GS258" s="39"/>
      <c r="GT258" s="39"/>
      <c r="GU258" s="39"/>
      <c r="GV258" s="39"/>
    </row>
    <row r="259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  <c r="EV259" s="39"/>
      <c r="EW259" s="39"/>
      <c r="EX259" s="39"/>
      <c r="EY259" s="39"/>
      <c r="EZ259" s="39"/>
      <c r="FA259" s="39"/>
      <c r="FB259" s="39"/>
      <c r="FC259" s="39"/>
      <c r="FD259" s="39"/>
      <c r="FE259" s="39"/>
      <c r="FF259" s="39"/>
      <c r="FG259" s="39"/>
      <c r="FH259" s="39"/>
      <c r="FI259" s="39"/>
      <c r="FJ259" s="39"/>
      <c r="FK259" s="39"/>
      <c r="FL259" s="39"/>
      <c r="FM259" s="39"/>
      <c r="FN259" s="39"/>
      <c r="FO259" s="39"/>
      <c r="FP259" s="39"/>
      <c r="FQ259" s="39"/>
      <c r="FR259" s="39"/>
      <c r="FS259" s="39"/>
      <c r="FT259" s="39"/>
      <c r="FU259" s="39"/>
      <c r="FV259" s="39"/>
      <c r="FW259" s="39"/>
      <c r="FX259" s="39"/>
      <c r="FY259" s="39"/>
      <c r="FZ259" s="39"/>
      <c r="GA259" s="39"/>
      <c r="GB259" s="39"/>
      <c r="GC259" s="39"/>
      <c r="GD259" s="39"/>
      <c r="GE259" s="39"/>
      <c r="GF259" s="39"/>
      <c r="GG259" s="39"/>
      <c r="GH259" s="39"/>
      <c r="GI259" s="39"/>
      <c r="GJ259" s="39"/>
      <c r="GK259" s="39"/>
      <c r="GL259" s="39"/>
      <c r="GM259" s="39"/>
      <c r="GN259" s="39"/>
      <c r="GO259" s="39"/>
      <c r="GP259" s="39"/>
      <c r="GQ259" s="39"/>
      <c r="GR259" s="39"/>
      <c r="GS259" s="39"/>
      <c r="GT259" s="39"/>
      <c r="GU259" s="39"/>
      <c r="GV259" s="39"/>
    </row>
    <row r="260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  <c r="EV260" s="39"/>
      <c r="EW260" s="39"/>
      <c r="EX260" s="39"/>
      <c r="EY260" s="39"/>
      <c r="EZ260" s="39"/>
      <c r="FA260" s="39"/>
      <c r="FB260" s="39"/>
      <c r="FC260" s="39"/>
      <c r="FD260" s="39"/>
      <c r="FE260" s="39"/>
      <c r="FF260" s="39"/>
      <c r="FG260" s="39"/>
      <c r="FH260" s="39"/>
      <c r="FI260" s="39"/>
      <c r="FJ260" s="39"/>
      <c r="FK260" s="39"/>
      <c r="FL260" s="39"/>
      <c r="FM260" s="39"/>
      <c r="FN260" s="39"/>
      <c r="FO260" s="39"/>
      <c r="FP260" s="39"/>
      <c r="FQ260" s="39"/>
      <c r="FR260" s="39"/>
      <c r="FS260" s="39"/>
      <c r="FT260" s="39"/>
      <c r="FU260" s="39"/>
      <c r="FV260" s="39"/>
      <c r="FW260" s="39"/>
      <c r="FX260" s="39"/>
      <c r="FY260" s="39"/>
      <c r="FZ260" s="39"/>
      <c r="GA260" s="39"/>
      <c r="GB260" s="39"/>
      <c r="GC260" s="39"/>
      <c r="GD260" s="39"/>
      <c r="GE260" s="39"/>
      <c r="GF260" s="39"/>
      <c r="GG260" s="39"/>
      <c r="GH260" s="39"/>
      <c r="GI260" s="39"/>
      <c r="GJ260" s="39"/>
      <c r="GK260" s="39"/>
      <c r="GL260" s="39"/>
      <c r="GM260" s="39"/>
      <c r="GN260" s="39"/>
      <c r="GO260" s="39"/>
      <c r="GP260" s="39"/>
      <c r="GQ260" s="39"/>
      <c r="GR260" s="39"/>
      <c r="GS260" s="39"/>
      <c r="GT260" s="39"/>
      <c r="GU260" s="39"/>
      <c r="GV260" s="39"/>
    </row>
    <row r="261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</row>
    <row r="262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</row>
    <row r="263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  <c r="EV263" s="39"/>
      <c r="EW263" s="39"/>
      <c r="EX263" s="39"/>
      <c r="EY263" s="39"/>
      <c r="EZ263" s="39"/>
      <c r="FA263" s="39"/>
      <c r="FB263" s="39"/>
      <c r="FC263" s="39"/>
      <c r="FD263" s="39"/>
      <c r="FE263" s="39"/>
      <c r="FF263" s="39"/>
      <c r="FG263" s="39"/>
      <c r="FH263" s="39"/>
      <c r="FI263" s="39"/>
      <c r="FJ263" s="39"/>
      <c r="FK263" s="39"/>
      <c r="FL263" s="39"/>
      <c r="FM263" s="39"/>
      <c r="FN263" s="39"/>
      <c r="FO263" s="39"/>
      <c r="FP263" s="39"/>
      <c r="FQ263" s="39"/>
      <c r="FR263" s="39"/>
      <c r="FS263" s="39"/>
      <c r="FT263" s="39"/>
      <c r="FU263" s="39"/>
      <c r="FV263" s="39"/>
      <c r="FW263" s="39"/>
      <c r="FX263" s="39"/>
      <c r="FY263" s="39"/>
      <c r="FZ263" s="39"/>
      <c r="GA263" s="39"/>
      <c r="GB263" s="39"/>
      <c r="GC263" s="39"/>
      <c r="GD263" s="39"/>
      <c r="GE263" s="39"/>
      <c r="GF263" s="39"/>
      <c r="GG263" s="39"/>
      <c r="GH263" s="39"/>
      <c r="GI263" s="39"/>
      <c r="GJ263" s="39"/>
      <c r="GK263" s="39"/>
      <c r="GL263" s="39"/>
      <c r="GM263" s="39"/>
      <c r="GN263" s="39"/>
      <c r="GO263" s="39"/>
      <c r="GP263" s="39"/>
      <c r="GQ263" s="39"/>
      <c r="GR263" s="39"/>
      <c r="GS263" s="39"/>
      <c r="GT263" s="39"/>
      <c r="GU263" s="39"/>
      <c r="GV263" s="39"/>
    </row>
    <row r="264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9"/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  <c r="FP264" s="39"/>
      <c r="FQ264" s="39"/>
      <c r="FR264" s="39"/>
      <c r="FS264" s="39"/>
      <c r="FT264" s="39"/>
      <c r="FU264" s="39"/>
      <c r="FV264" s="39"/>
      <c r="FW264" s="39"/>
      <c r="FX264" s="39"/>
      <c r="FY264" s="39"/>
      <c r="FZ264" s="39"/>
      <c r="GA264" s="39"/>
      <c r="GB264" s="39"/>
      <c r="GC264" s="39"/>
      <c r="GD264" s="39"/>
      <c r="GE264" s="39"/>
      <c r="GF264" s="39"/>
      <c r="GG264" s="39"/>
      <c r="GH264" s="39"/>
      <c r="GI264" s="39"/>
      <c r="GJ264" s="39"/>
      <c r="GK264" s="39"/>
      <c r="GL264" s="39"/>
      <c r="GM264" s="39"/>
      <c r="GN264" s="39"/>
      <c r="GO264" s="39"/>
      <c r="GP264" s="39"/>
      <c r="GQ264" s="39"/>
      <c r="GR264" s="39"/>
      <c r="GS264" s="39"/>
      <c r="GT264" s="39"/>
      <c r="GU264" s="39"/>
      <c r="GV264" s="39"/>
    </row>
    <row r="265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  <c r="EV265" s="39"/>
      <c r="EW265" s="39"/>
      <c r="EX265" s="39"/>
      <c r="EY265" s="39"/>
      <c r="EZ265" s="39"/>
      <c r="FA265" s="39"/>
      <c r="FB265" s="39"/>
      <c r="FC265" s="39"/>
      <c r="FD265" s="39"/>
      <c r="FE265" s="39"/>
      <c r="FF265" s="39"/>
      <c r="FG265" s="39"/>
      <c r="FH265" s="39"/>
      <c r="FI265" s="39"/>
      <c r="FJ265" s="39"/>
      <c r="FK265" s="39"/>
      <c r="FL265" s="39"/>
      <c r="FM265" s="39"/>
      <c r="FN265" s="39"/>
      <c r="FO265" s="39"/>
      <c r="FP265" s="39"/>
      <c r="FQ265" s="39"/>
      <c r="FR265" s="39"/>
      <c r="FS265" s="39"/>
      <c r="FT265" s="39"/>
      <c r="FU265" s="39"/>
      <c r="FV265" s="39"/>
      <c r="FW265" s="39"/>
      <c r="FX265" s="39"/>
      <c r="FY265" s="39"/>
      <c r="FZ265" s="39"/>
      <c r="GA265" s="39"/>
      <c r="GB265" s="39"/>
      <c r="GC265" s="39"/>
      <c r="GD265" s="39"/>
      <c r="GE265" s="39"/>
      <c r="GF265" s="39"/>
      <c r="GG265" s="39"/>
      <c r="GH265" s="39"/>
      <c r="GI265" s="39"/>
      <c r="GJ265" s="39"/>
      <c r="GK265" s="39"/>
      <c r="GL265" s="39"/>
      <c r="GM265" s="39"/>
      <c r="GN265" s="39"/>
      <c r="GO265" s="39"/>
      <c r="GP265" s="39"/>
      <c r="GQ265" s="39"/>
      <c r="GR265" s="39"/>
      <c r="GS265" s="39"/>
      <c r="GT265" s="39"/>
      <c r="GU265" s="39"/>
      <c r="GV265" s="39"/>
    </row>
    <row r="266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  <c r="EV266" s="39"/>
      <c r="EW266" s="39"/>
      <c r="EX266" s="39"/>
      <c r="EY266" s="39"/>
      <c r="EZ266" s="39"/>
      <c r="FA266" s="39"/>
      <c r="FB266" s="39"/>
      <c r="FC266" s="39"/>
      <c r="FD266" s="39"/>
      <c r="FE266" s="39"/>
      <c r="FF266" s="39"/>
      <c r="FG266" s="39"/>
      <c r="FH266" s="39"/>
      <c r="FI266" s="39"/>
      <c r="FJ266" s="39"/>
      <c r="FK266" s="39"/>
      <c r="FL266" s="39"/>
      <c r="FM266" s="39"/>
      <c r="FN266" s="39"/>
      <c r="FO266" s="39"/>
      <c r="FP266" s="39"/>
      <c r="FQ266" s="39"/>
      <c r="FR266" s="39"/>
      <c r="FS266" s="39"/>
      <c r="FT266" s="39"/>
      <c r="FU266" s="39"/>
      <c r="FV266" s="39"/>
      <c r="FW266" s="39"/>
      <c r="FX266" s="39"/>
      <c r="FY266" s="39"/>
      <c r="FZ266" s="39"/>
      <c r="GA266" s="39"/>
      <c r="GB266" s="39"/>
      <c r="GC266" s="39"/>
      <c r="GD266" s="39"/>
      <c r="GE266" s="39"/>
      <c r="GF266" s="39"/>
      <c r="GG266" s="39"/>
      <c r="GH266" s="39"/>
      <c r="GI266" s="39"/>
      <c r="GJ266" s="39"/>
      <c r="GK266" s="39"/>
      <c r="GL266" s="39"/>
      <c r="GM266" s="39"/>
      <c r="GN266" s="39"/>
      <c r="GO266" s="39"/>
      <c r="GP266" s="39"/>
      <c r="GQ266" s="39"/>
      <c r="GR266" s="39"/>
      <c r="GS266" s="39"/>
      <c r="GT266" s="39"/>
      <c r="GU266" s="39"/>
      <c r="GV266" s="39"/>
    </row>
    <row r="267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  <c r="EZ267" s="39"/>
      <c r="FA267" s="39"/>
      <c r="FB267" s="39"/>
      <c r="FC267" s="39"/>
      <c r="FD267" s="39"/>
      <c r="FE267" s="39"/>
      <c r="FF267" s="39"/>
      <c r="FG267" s="39"/>
      <c r="FH267" s="39"/>
      <c r="FI267" s="39"/>
      <c r="FJ267" s="39"/>
      <c r="FK267" s="39"/>
      <c r="FL267" s="39"/>
      <c r="FM267" s="39"/>
      <c r="FN267" s="39"/>
      <c r="FO267" s="39"/>
      <c r="FP267" s="39"/>
      <c r="FQ267" s="39"/>
      <c r="FR267" s="39"/>
      <c r="FS267" s="39"/>
      <c r="FT267" s="39"/>
      <c r="FU267" s="39"/>
      <c r="FV267" s="39"/>
      <c r="FW267" s="39"/>
      <c r="FX267" s="39"/>
      <c r="FY267" s="39"/>
      <c r="FZ267" s="39"/>
      <c r="GA267" s="39"/>
      <c r="GB267" s="39"/>
      <c r="GC267" s="39"/>
      <c r="GD267" s="39"/>
      <c r="GE267" s="39"/>
      <c r="GF267" s="39"/>
      <c r="GG267" s="39"/>
      <c r="GH267" s="39"/>
      <c r="GI267" s="39"/>
      <c r="GJ267" s="39"/>
      <c r="GK267" s="39"/>
      <c r="GL267" s="39"/>
      <c r="GM267" s="39"/>
      <c r="GN267" s="39"/>
      <c r="GO267" s="39"/>
      <c r="GP267" s="39"/>
      <c r="GQ267" s="39"/>
      <c r="GR267" s="39"/>
      <c r="GS267" s="39"/>
      <c r="GT267" s="39"/>
      <c r="GU267" s="39"/>
      <c r="GV267" s="39"/>
    </row>
    <row r="268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  <c r="EV268" s="39"/>
      <c r="EW268" s="39"/>
      <c r="EX268" s="39"/>
      <c r="EY268" s="39"/>
      <c r="EZ268" s="39"/>
      <c r="FA268" s="39"/>
      <c r="FB268" s="39"/>
      <c r="FC268" s="39"/>
      <c r="FD268" s="39"/>
      <c r="FE268" s="39"/>
      <c r="FF268" s="39"/>
      <c r="FG268" s="39"/>
      <c r="FH268" s="39"/>
      <c r="FI268" s="39"/>
      <c r="FJ268" s="39"/>
      <c r="FK268" s="39"/>
      <c r="FL268" s="39"/>
      <c r="FM268" s="39"/>
      <c r="FN268" s="39"/>
      <c r="FO268" s="39"/>
      <c r="FP268" s="39"/>
      <c r="FQ268" s="39"/>
      <c r="FR268" s="39"/>
      <c r="FS268" s="39"/>
      <c r="FT268" s="39"/>
      <c r="FU268" s="39"/>
      <c r="FV268" s="39"/>
      <c r="FW268" s="39"/>
      <c r="FX268" s="39"/>
      <c r="FY268" s="39"/>
      <c r="FZ268" s="39"/>
      <c r="GA268" s="39"/>
      <c r="GB268" s="39"/>
      <c r="GC268" s="39"/>
      <c r="GD268" s="39"/>
      <c r="GE268" s="39"/>
      <c r="GF268" s="39"/>
      <c r="GG268" s="39"/>
      <c r="GH268" s="39"/>
      <c r="GI268" s="39"/>
      <c r="GJ268" s="39"/>
      <c r="GK268" s="39"/>
      <c r="GL268" s="39"/>
      <c r="GM268" s="39"/>
      <c r="GN268" s="39"/>
      <c r="GO268" s="39"/>
      <c r="GP268" s="39"/>
      <c r="GQ268" s="39"/>
      <c r="GR268" s="39"/>
      <c r="GS268" s="39"/>
      <c r="GT268" s="39"/>
      <c r="GU268" s="39"/>
      <c r="GV268" s="39"/>
    </row>
    <row r="269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  <c r="EV269" s="39"/>
      <c r="EW269" s="39"/>
      <c r="EX269" s="39"/>
      <c r="EY269" s="39"/>
      <c r="EZ269" s="39"/>
      <c r="FA269" s="39"/>
      <c r="FB269" s="39"/>
      <c r="FC269" s="39"/>
      <c r="FD269" s="39"/>
      <c r="FE269" s="39"/>
      <c r="FF269" s="39"/>
      <c r="FG269" s="39"/>
      <c r="FH269" s="39"/>
      <c r="FI269" s="39"/>
      <c r="FJ269" s="39"/>
      <c r="FK269" s="39"/>
      <c r="FL269" s="39"/>
      <c r="FM269" s="39"/>
      <c r="FN269" s="39"/>
      <c r="FO269" s="39"/>
      <c r="FP269" s="39"/>
      <c r="FQ269" s="39"/>
      <c r="FR269" s="39"/>
      <c r="FS269" s="39"/>
      <c r="FT269" s="39"/>
      <c r="FU269" s="39"/>
      <c r="FV269" s="39"/>
      <c r="FW269" s="39"/>
      <c r="FX269" s="39"/>
      <c r="FY269" s="39"/>
      <c r="FZ269" s="39"/>
      <c r="GA269" s="39"/>
      <c r="GB269" s="39"/>
      <c r="GC269" s="39"/>
      <c r="GD269" s="39"/>
      <c r="GE269" s="39"/>
      <c r="GF269" s="39"/>
      <c r="GG269" s="39"/>
      <c r="GH269" s="39"/>
      <c r="GI269" s="39"/>
      <c r="GJ269" s="39"/>
      <c r="GK269" s="39"/>
      <c r="GL269" s="39"/>
      <c r="GM269" s="39"/>
      <c r="GN269" s="39"/>
      <c r="GO269" s="39"/>
      <c r="GP269" s="39"/>
      <c r="GQ269" s="39"/>
      <c r="GR269" s="39"/>
      <c r="GS269" s="39"/>
      <c r="GT269" s="39"/>
      <c r="GU269" s="39"/>
      <c r="GV269" s="39"/>
    </row>
    <row r="270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  <c r="EV270" s="39"/>
      <c r="EW270" s="39"/>
      <c r="EX270" s="39"/>
      <c r="EY270" s="39"/>
      <c r="EZ270" s="39"/>
      <c r="FA270" s="39"/>
      <c r="FB270" s="39"/>
      <c r="FC270" s="39"/>
      <c r="FD270" s="39"/>
      <c r="FE270" s="39"/>
      <c r="FF270" s="39"/>
      <c r="FG270" s="39"/>
      <c r="FH270" s="39"/>
      <c r="FI270" s="39"/>
      <c r="FJ270" s="39"/>
      <c r="FK270" s="39"/>
      <c r="FL270" s="39"/>
      <c r="FM270" s="39"/>
      <c r="FN270" s="39"/>
      <c r="FO270" s="39"/>
      <c r="FP270" s="39"/>
      <c r="FQ270" s="39"/>
      <c r="FR270" s="39"/>
      <c r="FS270" s="39"/>
      <c r="FT270" s="39"/>
      <c r="FU270" s="39"/>
      <c r="FV270" s="39"/>
      <c r="FW270" s="39"/>
      <c r="FX270" s="39"/>
      <c r="FY270" s="39"/>
      <c r="FZ270" s="39"/>
      <c r="GA270" s="39"/>
      <c r="GB270" s="39"/>
      <c r="GC270" s="39"/>
      <c r="GD270" s="39"/>
      <c r="GE270" s="39"/>
      <c r="GF270" s="39"/>
      <c r="GG270" s="39"/>
      <c r="GH270" s="39"/>
      <c r="GI270" s="39"/>
      <c r="GJ270" s="39"/>
      <c r="GK270" s="39"/>
      <c r="GL270" s="39"/>
      <c r="GM270" s="39"/>
      <c r="GN270" s="39"/>
      <c r="GO270" s="39"/>
      <c r="GP270" s="39"/>
      <c r="GQ270" s="39"/>
      <c r="GR270" s="39"/>
      <c r="GS270" s="39"/>
      <c r="GT270" s="39"/>
      <c r="GU270" s="39"/>
      <c r="GV270" s="39"/>
    </row>
    <row r="271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  <c r="EV271" s="39"/>
      <c r="EW271" s="39"/>
      <c r="EX271" s="39"/>
      <c r="EY271" s="39"/>
      <c r="EZ271" s="39"/>
      <c r="FA271" s="39"/>
      <c r="FB271" s="39"/>
      <c r="FC271" s="39"/>
      <c r="FD271" s="39"/>
      <c r="FE271" s="39"/>
      <c r="FF271" s="39"/>
      <c r="FG271" s="39"/>
      <c r="FH271" s="39"/>
      <c r="FI271" s="39"/>
      <c r="FJ271" s="39"/>
      <c r="FK271" s="39"/>
      <c r="FL271" s="39"/>
      <c r="FM271" s="39"/>
      <c r="FN271" s="39"/>
      <c r="FO271" s="39"/>
      <c r="FP271" s="39"/>
      <c r="FQ271" s="39"/>
      <c r="FR271" s="39"/>
      <c r="FS271" s="39"/>
      <c r="FT271" s="39"/>
      <c r="FU271" s="39"/>
      <c r="FV271" s="39"/>
      <c r="FW271" s="39"/>
      <c r="FX271" s="39"/>
      <c r="FY271" s="39"/>
      <c r="FZ271" s="39"/>
      <c r="GA271" s="39"/>
      <c r="GB271" s="39"/>
      <c r="GC271" s="39"/>
      <c r="GD271" s="39"/>
      <c r="GE271" s="39"/>
      <c r="GF271" s="39"/>
      <c r="GG271" s="39"/>
      <c r="GH271" s="39"/>
      <c r="GI271" s="39"/>
      <c r="GJ271" s="39"/>
      <c r="GK271" s="39"/>
      <c r="GL271" s="39"/>
      <c r="GM271" s="39"/>
      <c r="GN271" s="39"/>
      <c r="GO271" s="39"/>
      <c r="GP271" s="39"/>
      <c r="GQ271" s="39"/>
      <c r="GR271" s="39"/>
      <c r="GS271" s="39"/>
      <c r="GT271" s="39"/>
      <c r="GU271" s="39"/>
      <c r="GV271" s="39"/>
    </row>
    <row r="272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  <c r="EV272" s="39"/>
      <c r="EW272" s="39"/>
      <c r="EX272" s="39"/>
      <c r="EY272" s="39"/>
      <c r="EZ272" s="39"/>
      <c r="FA272" s="39"/>
      <c r="FB272" s="39"/>
      <c r="FC272" s="39"/>
      <c r="FD272" s="39"/>
      <c r="FE272" s="39"/>
      <c r="FF272" s="39"/>
      <c r="FG272" s="39"/>
      <c r="FH272" s="39"/>
      <c r="FI272" s="39"/>
      <c r="FJ272" s="39"/>
      <c r="FK272" s="39"/>
      <c r="FL272" s="39"/>
      <c r="FM272" s="39"/>
      <c r="FN272" s="39"/>
      <c r="FO272" s="39"/>
      <c r="FP272" s="39"/>
      <c r="FQ272" s="39"/>
      <c r="FR272" s="39"/>
      <c r="FS272" s="39"/>
      <c r="FT272" s="39"/>
      <c r="FU272" s="39"/>
      <c r="FV272" s="39"/>
      <c r="FW272" s="39"/>
      <c r="FX272" s="39"/>
      <c r="FY272" s="39"/>
      <c r="FZ272" s="39"/>
      <c r="GA272" s="39"/>
      <c r="GB272" s="39"/>
      <c r="GC272" s="39"/>
      <c r="GD272" s="39"/>
      <c r="GE272" s="39"/>
      <c r="GF272" s="39"/>
      <c r="GG272" s="39"/>
      <c r="GH272" s="39"/>
      <c r="GI272" s="39"/>
      <c r="GJ272" s="39"/>
      <c r="GK272" s="39"/>
      <c r="GL272" s="39"/>
      <c r="GM272" s="39"/>
      <c r="GN272" s="39"/>
      <c r="GO272" s="39"/>
      <c r="GP272" s="39"/>
      <c r="GQ272" s="39"/>
      <c r="GR272" s="39"/>
      <c r="GS272" s="39"/>
      <c r="GT272" s="39"/>
      <c r="GU272" s="39"/>
      <c r="GV272" s="39"/>
    </row>
    <row r="273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  <c r="EV273" s="39"/>
      <c r="EW273" s="39"/>
      <c r="EX273" s="39"/>
      <c r="EY273" s="39"/>
      <c r="EZ273" s="39"/>
      <c r="FA273" s="39"/>
      <c r="FB273" s="39"/>
      <c r="FC273" s="39"/>
      <c r="FD273" s="39"/>
      <c r="FE273" s="39"/>
      <c r="FF273" s="39"/>
      <c r="FG273" s="39"/>
      <c r="FH273" s="39"/>
      <c r="FI273" s="39"/>
      <c r="FJ273" s="39"/>
      <c r="FK273" s="39"/>
      <c r="FL273" s="39"/>
      <c r="FM273" s="39"/>
      <c r="FN273" s="39"/>
      <c r="FO273" s="39"/>
      <c r="FP273" s="39"/>
      <c r="FQ273" s="39"/>
      <c r="FR273" s="39"/>
      <c r="FS273" s="39"/>
      <c r="FT273" s="39"/>
      <c r="FU273" s="39"/>
      <c r="FV273" s="39"/>
      <c r="FW273" s="39"/>
      <c r="FX273" s="39"/>
      <c r="FY273" s="39"/>
      <c r="FZ273" s="39"/>
      <c r="GA273" s="39"/>
      <c r="GB273" s="39"/>
      <c r="GC273" s="39"/>
      <c r="GD273" s="39"/>
      <c r="GE273" s="39"/>
      <c r="GF273" s="39"/>
      <c r="GG273" s="39"/>
      <c r="GH273" s="39"/>
      <c r="GI273" s="39"/>
      <c r="GJ273" s="39"/>
      <c r="GK273" s="39"/>
      <c r="GL273" s="39"/>
      <c r="GM273" s="39"/>
      <c r="GN273" s="39"/>
      <c r="GO273" s="39"/>
      <c r="GP273" s="39"/>
      <c r="GQ273" s="39"/>
      <c r="GR273" s="39"/>
      <c r="GS273" s="39"/>
      <c r="GT273" s="39"/>
      <c r="GU273" s="39"/>
      <c r="GV273" s="39"/>
    </row>
    <row r="274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  <c r="EV274" s="39"/>
      <c r="EW274" s="39"/>
      <c r="EX274" s="39"/>
      <c r="EY274" s="39"/>
      <c r="EZ274" s="39"/>
      <c r="FA274" s="39"/>
      <c r="FB274" s="39"/>
      <c r="FC274" s="39"/>
      <c r="FD274" s="39"/>
      <c r="FE274" s="39"/>
      <c r="FF274" s="39"/>
      <c r="FG274" s="39"/>
      <c r="FH274" s="39"/>
      <c r="FI274" s="39"/>
      <c r="FJ274" s="39"/>
      <c r="FK274" s="39"/>
      <c r="FL274" s="39"/>
      <c r="FM274" s="39"/>
      <c r="FN274" s="39"/>
      <c r="FO274" s="39"/>
      <c r="FP274" s="39"/>
      <c r="FQ274" s="39"/>
      <c r="FR274" s="39"/>
      <c r="FS274" s="39"/>
      <c r="FT274" s="39"/>
      <c r="FU274" s="39"/>
      <c r="FV274" s="39"/>
      <c r="FW274" s="39"/>
      <c r="FX274" s="39"/>
      <c r="FY274" s="39"/>
      <c r="FZ274" s="39"/>
      <c r="GA274" s="39"/>
      <c r="GB274" s="39"/>
      <c r="GC274" s="39"/>
      <c r="GD274" s="39"/>
      <c r="GE274" s="39"/>
      <c r="GF274" s="39"/>
      <c r="GG274" s="39"/>
      <c r="GH274" s="39"/>
      <c r="GI274" s="39"/>
      <c r="GJ274" s="39"/>
      <c r="GK274" s="39"/>
      <c r="GL274" s="39"/>
      <c r="GM274" s="39"/>
      <c r="GN274" s="39"/>
      <c r="GO274" s="39"/>
      <c r="GP274" s="39"/>
      <c r="GQ274" s="39"/>
      <c r="GR274" s="39"/>
      <c r="GS274" s="39"/>
      <c r="GT274" s="39"/>
      <c r="GU274" s="39"/>
      <c r="GV274" s="39"/>
    </row>
    <row r="275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  <c r="EV275" s="39"/>
      <c r="EW275" s="39"/>
      <c r="EX275" s="39"/>
      <c r="EY275" s="39"/>
      <c r="EZ275" s="39"/>
      <c r="FA275" s="39"/>
      <c r="FB275" s="39"/>
      <c r="FC275" s="39"/>
      <c r="FD275" s="39"/>
      <c r="FE275" s="39"/>
      <c r="FF275" s="39"/>
      <c r="FG275" s="39"/>
      <c r="FH275" s="39"/>
      <c r="FI275" s="39"/>
      <c r="FJ275" s="39"/>
      <c r="FK275" s="39"/>
      <c r="FL275" s="39"/>
      <c r="FM275" s="39"/>
      <c r="FN275" s="39"/>
      <c r="FO275" s="39"/>
      <c r="FP275" s="39"/>
      <c r="FQ275" s="39"/>
      <c r="FR275" s="39"/>
      <c r="FS275" s="39"/>
      <c r="FT275" s="39"/>
      <c r="FU275" s="39"/>
      <c r="FV275" s="39"/>
      <c r="FW275" s="39"/>
      <c r="FX275" s="39"/>
      <c r="FY275" s="39"/>
      <c r="FZ275" s="39"/>
      <c r="GA275" s="39"/>
      <c r="GB275" s="39"/>
      <c r="GC275" s="39"/>
      <c r="GD275" s="39"/>
      <c r="GE275" s="39"/>
      <c r="GF275" s="39"/>
      <c r="GG275" s="39"/>
      <c r="GH275" s="39"/>
      <c r="GI275" s="39"/>
      <c r="GJ275" s="39"/>
      <c r="GK275" s="39"/>
      <c r="GL275" s="39"/>
      <c r="GM275" s="39"/>
      <c r="GN275" s="39"/>
      <c r="GO275" s="39"/>
      <c r="GP275" s="39"/>
      <c r="GQ275" s="39"/>
      <c r="GR275" s="39"/>
      <c r="GS275" s="39"/>
      <c r="GT275" s="39"/>
      <c r="GU275" s="39"/>
      <c r="GV275" s="39"/>
    </row>
    <row r="276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  <c r="EV276" s="39"/>
      <c r="EW276" s="39"/>
      <c r="EX276" s="39"/>
      <c r="EY276" s="39"/>
      <c r="EZ276" s="39"/>
      <c r="FA276" s="39"/>
      <c r="FB276" s="39"/>
      <c r="FC276" s="39"/>
      <c r="FD276" s="39"/>
      <c r="FE276" s="39"/>
      <c r="FF276" s="39"/>
      <c r="FG276" s="39"/>
      <c r="FH276" s="39"/>
      <c r="FI276" s="39"/>
      <c r="FJ276" s="39"/>
      <c r="FK276" s="39"/>
      <c r="FL276" s="39"/>
      <c r="FM276" s="39"/>
      <c r="FN276" s="39"/>
      <c r="FO276" s="39"/>
      <c r="FP276" s="39"/>
      <c r="FQ276" s="39"/>
      <c r="FR276" s="39"/>
      <c r="FS276" s="39"/>
      <c r="FT276" s="39"/>
      <c r="FU276" s="39"/>
      <c r="FV276" s="39"/>
      <c r="FW276" s="39"/>
      <c r="FX276" s="39"/>
      <c r="FY276" s="39"/>
      <c r="FZ276" s="39"/>
      <c r="GA276" s="39"/>
      <c r="GB276" s="39"/>
      <c r="GC276" s="39"/>
      <c r="GD276" s="39"/>
      <c r="GE276" s="39"/>
      <c r="GF276" s="39"/>
      <c r="GG276" s="39"/>
      <c r="GH276" s="39"/>
      <c r="GI276" s="39"/>
      <c r="GJ276" s="39"/>
      <c r="GK276" s="39"/>
      <c r="GL276" s="39"/>
      <c r="GM276" s="39"/>
      <c r="GN276" s="39"/>
      <c r="GO276" s="39"/>
      <c r="GP276" s="39"/>
      <c r="GQ276" s="39"/>
      <c r="GR276" s="39"/>
      <c r="GS276" s="39"/>
      <c r="GT276" s="39"/>
      <c r="GU276" s="39"/>
      <c r="GV276" s="39"/>
    </row>
    <row r="277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  <c r="EV277" s="39"/>
      <c r="EW277" s="39"/>
      <c r="EX277" s="39"/>
      <c r="EY277" s="39"/>
      <c r="EZ277" s="39"/>
      <c r="FA277" s="39"/>
      <c r="FB277" s="39"/>
      <c r="FC277" s="39"/>
      <c r="FD277" s="39"/>
      <c r="FE277" s="39"/>
      <c r="FF277" s="39"/>
      <c r="FG277" s="39"/>
      <c r="FH277" s="39"/>
      <c r="FI277" s="39"/>
      <c r="FJ277" s="39"/>
      <c r="FK277" s="39"/>
      <c r="FL277" s="39"/>
      <c r="FM277" s="39"/>
      <c r="FN277" s="39"/>
      <c r="FO277" s="39"/>
      <c r="FP277" s="39"/>
      <c r="FQ277" s="39"/>
      <c r="FR277" s="39"/>
      <c r="FS277" s="39"/>
      <c r="FT277" s="39"/>
      <c r="FU277" s="39"/>
      <c r="FV277" s="39"/>
      <c r="FW277" s="39"/>
      <c r="FX277" s="39"/>
      <c r="FY277" s="39"/>
      <c r="FZ277" s="39"/>
      <c r="GA277" s="39"/>
      <c r="GB277" s="39"/>
      <c r="GC277" s="39"/>
      <c r="GD277" s="39"/>
      <c r="GE277" s="39"/>
      <c r="GF277" s="39"/>
      <c r="GG277" s="39"/>
      <c r="GH277" s="39"/>
      <c r="GI277" s="39"/>
      <c r="GJ277" s="39"/>
      <c r="GK277" s="39"/>
      <c r="GL277" s="39"/>
      <c r="GM277" s="39"/>
      <c r="GN277" s="39"/>
      <c r="GO277" s="39"/>
      <c r="GP277" s="39"/>
      <c r="GQ277" s="39"/>
      <c r="GR277" s="39"/>
      <c r="GS277" s="39"/>
      <c r="GT277" s="39"/>
      <c r="GU277" s="39"/>
      <c r="GV277" s="39"/>
    </row>
    <row r="278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  <c r="EZ278" s="39"/>
      <c r="FA278" s="39"/>
      <c r="FB278" s="39"/>
      <c r="FC278" s="39"/>
      <c r="FD278" s="3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  <c r="FQ278" s="39"/>
      <c r="FR278" s="39"/>
      <c r="FS278" s="39"/>
      <c r="FT278" s="39"/>
      <c r="FU278" s="39"/>
      <c r="FV278" s="39"/>
      <c r="FW278" s="39"/>
      <c r="FX278" s="39"/>
      <c r="FY278" s="39"/>
      <c r="FZ278" s="39"/>
      <c r="GA278" s="39"/>
      <c r="GB278" s="39"/>
      <c r="GC278" s="39"/>
      <c r="GD278" s="39"/>
      <c r="GE278" s="39"/>
      <c r="GF278" s="39"/>
      <c r="GG278" s="39"/>
      <c r="GH278" s="39"/>
      <c r="GI278" s="39"/>
      <c r="GJ278" s="39"/>
      <c r="GK278" s="39"/>
      <c r="GL278" s="39"/>
      <c r="GM278" s="39"/>
      <c r="GN278" s="39"/>
      <c r="GO278" s="39"/>
      <c r="GP278" s="39"/>
      <c r="GQ278" s="39"/>
      <c r="GR278" s="39"/>
      <c r="GS278" s="39"/>
      <c r="GT278" s="39"/>
      <c r="GU278" s="39"/>
      <c r="GV278" s="39"/>
    </row>
    <row r="279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  <c r="EZ279" s="39"/>
      <c r="FA279" s="39"/>
      <c r="FB279" s="39"/>
      <c r="FC279" s="39"/>
      <c r="FD279" s="3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  <c r="FQ279" s="39"/>
      <c r="FR279" s="39"/>
      <c r="FS279" s="39"/>
      <c r="FT279" s="39"/>
      <c r="FU279" s="39"/>
      <c r="FV279" s="39"/>
      <c r="FW279" s="39"/>
      <c r="FX279" s="39"/>
      <c r="FY279" s="39"/>
      <c r="FZ279" s="39"/>
      <c r="GA279" s="39"/>
      <c r="GB279" s="39"/>
      <c r="GC279" s="39"/>
      <c r="GD279" s="39"/>
      <c r="GE279" s="39"/>
      <c r="GF279" s="39"/>
      <c r="GG279" s="39"/>
      <c r="GH279" s="39"/>
      <c r="GI279" s="39"/>
      <c r="GJ279" s="39"/>
      <c r="GK279" s="39"/>
      <c r="GL279" s="39"/>
      <c r="GM279" s="39"/>
      <c r="GN279" s="39"/>
      <c r="GO279" s="39"/>
      <c r="GP279" s="39"/>
      <c r="GQ279" s="39"/>
      <c r="GR279" s="39"/>
      <c r="GS279" s="39"/>
      <c r="GT279" s="39"/>
      <c r="GU279" s="39"/>
      <c r="GV279" s="39"/>
    </row>
    <row r="280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  <c r="EZ280" s="39"/>
      <c r="FA280" s="39"/>
      <c r="FB280" s="39"/>
      <c r="FC280" s="39"/>
      <c r="FD280" s="3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  <c r="FQ280" s="39"/>
      <c r="FR280" s="39"/>
      <c r="FS280" s="39"/>
      <c r="FT280" s="39"/>
      <c r="FU280" s="39"/>
      <c r="FV280" s="39"/>
      <c r="FW280" s="39"/>
      <c r="FX280" s="39"/>
      <c r="FY280" s="39"/>
      <c r="FZ280" s="39"/>
      <c r="GA280" s="39"/>
      <c r="GB280" s="39"/>
      <c r="GC280" s="39"/>
      <c r="GD280" s="39"/>
      <c r="GE280" s="39"/>
      <c r="GF280" s="39"/>
      <c r="GG280" s="39"/>
      <c r="GH280" s="39"/>
      <c r="GI280" s="39"/>
      <c r="GJ280" s="39"/>
      <c r="GK280" s="39"/>
      <c r="GL280" s="39"/>
      <c r="GM280" s="39"/>
      <c r="GN280" s="39"/>
      <c r="GO280" s="39"/>
      <c r="GP280" s="39"/>
      <c r="GQ280" s="39"/>
      <c r="GR280" s="39"/>
      <c r="GS280" s="39"/>
      <c r="GT280" s="39"/>
      <c r="GU280" s="39"/>
      <c r="GV280" s="39"/>
    </row>
    <row r="281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  <c r="EZ281" s="39"/>
      <c r="FA281" s="39"/>
      <c r="FB281" s="39"/>
      <c r="FC281" s="39"/>
      <c r="FD281" s="3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  <c r="FQ281" s="39"/>
      <c r="FR281" s="39"/>
      <c r="FS281" s="39"/>
      <c r="FT281" s="39"/>
      <c r="FU281" s="39"/>
      <c r="FV281" s="39"/>
      <c r="FW281" s="39"/>
      <c r="FX281" s="39"/>
      <c r="FY281" s="39"/>
      <c r="FZ281" s="39"/>
      <c r="GA281" s="39"/>
      <c r="GB281" s="39"/>
      <c r="GC281" s="39"/>
      <c r="GD281" s="39"/>
      <c r="GE281" s="39"/>
      <c r="GF281" s="39"/>
      <c r="GG281" s="39"/>
      <c r="GH281" s="39"/>
      <c r="GI281" s="39"/>
      <c r="GJ281" s="39"/>
      <c r="GK281" s="39"/>
      <c r="GL281" s="39"/>
      <c r="GM281" s="39"/>
      <c r="GN281" s="39"/>
      <c r="GO281" s="39"/>
      <c r="GP281" s="39"/>
      <c r="GQ281" s="39"/>
      <c r="GR281" s="39"/>
      <c r="GS281" s="39"/>
      <c r="GT281" s="39"/>
      <c r="GU281" s="39"/>
      <c r="GV281" s="39"/>
    </row>
    <row r="282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  <c r="EZ282" s="39"/>
      <c r="FA282" s="39"/>
      <c r="FB282" s="39"/>
      <c r="FC282" s="39"/>
      <c r="FD282" s="3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  <c r="FQ282" s="39"/>
      <c r="FR282" s="39"/>
      <c r="FS282" s="39"/>
      <c r="FT282" s="39"/>
      <c r="FU282" s="39"/>
      <c r="FV282" s="39"/>
      <c r="FW282" s="39"/>
      <c r="FX282" s="39"/>
      <c r="FY282" s="39"/>
      <c r="FZ282" s="39"/>
      <c r="GA282" s="39"/>
      <c r="GB282" s="39"/>
      <c r="GC282" s="39"/>
      <c r="GD282" s="39"/>
      <c r="GE282" s="39"/>
      <c r="GF282" s="39"/>
      <c r="GG282" s="39"/>
      <c r="GH282" s="39"/>
      <c r="GI282" s="39"/>
      <c r="GJ282" s="39"/>
      <c r="GK282" s="39"/>
      <c r="GL282" s="39"/>
      <c r="GM282" s="39"/>
      <c r="GN282" s="39"/>
      <c r="GO282" s="39"/>
      <c r="GP282" s="39"/>
      <c r="GQ282" s="39"/>
      <c r="GR282" s="39"/>
      <c r="GS282" s="39"/>
      <c r="GT282" s="39"/>
      <c r="GU282" s="39"/>
      <c r="GV282" s="39"/>
    </row>
    <row r="283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  <c r="EZ283" s="39"/>
      <c r="FA283" s="39"/>
      <c r="FB283" s="39"/>
      <c r="FC283" s="39"/>
      <c r="FD283" s="3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  <c r="FQ283" s="39"/>
      <c r="FR283" s="39"/>
      <c r="FS283" s="39"/>
      <c r="FT283" s="39"/>
      <c r="FU283" s="39"/>
      <c r="FV283" s="39"/>
      <c r="FW283" s="39"/>
      <c r="FX283" s="39"/>
      <c r="FY283" s="39"/>
      <c r="FZ283" s="39"/>
      <c r="GA283" s="39"/>
      <c r="GB283" s="39"/>
      <c r="GC283" s="39"/>
      <c r="GD283" s="39"/>
      <c r="GE283" s="39"/>
      <c r="GF283" s="39"/>
      <c r="GG283" s="39"/>
      <c r="GH283" s="39"/>
      <c r="GI283" s="39"/>
      <c r="GJ283" s="39"/>
      <c r="GK283" s="39"/>
      <c r="GL283" s="39"/>
      <c r="GM283" s="39"/>
      <c r="GN283" s="39"/>
      <c r="GO283" s="39"/>
      <c r="GP283" s="39"/>
      <c r="GQ283" s="39"/>
      <c r="GR283" s="39"/>
      <c r="GS283" s="39"/>
      <c r="GT283" s="39"/>
      <c r="GU283" s="39"/>
      <c r="GV283" s="39"/>
    </row>
    <row r="284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  <c r="EZ284" s="39"/>
      <c r="FA284" s="39"/>
      <c r="FB284" s="39"/>
      <c r="FC284" s="39"/>
      <c r="FD284" s="3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  <c r="FQ284" s="39"/>
      <c r="FR284" s="39"/>
      <c r="FS284" s="39"/>
      <c r="FT284" s="39"/>
      <c r="FU284" s="39"/>
      <c r="FV284" s="39"/>
      <c r="FW284" s="39"/>
      <c r="FX284" s="39"/>
      <c r="FY284" s="39"/>
      <c r="FZ284" s="39"/>
      <c r="GA284" s="39"/>
      <c r="GB284" s="39"/>
      <c r="GC284" s="39"/>
      <c r="GD284" s="39"/>
      <c r="GE284" s="39"/>
      <c r="GF284" s="39"/>
      <c r="GG284" s="39"/>
      <c r="GH284" s="39"/>
      <c r="GI284" s="39"/>
      <c r="GJ284" s="39"/>
      <c r="GK284" s="39"/>
      <c r="GL284" s="39"/>
      <c r="GM284" s="39"/>
      <c r="GN284" s="39"/>
      <c r="GO284" s="39"/>
      <c r="GP284" s="39"/>
      <c r="GQ284" s="39"/>
      <c r="GR284" s="39"/>
      <c r="GS284" s="39"/>
      <c r="GT284" s="39"/>
      <c r="GU284" s="39"/>
      <c r="GV284" s="39"/>
    </row>
    <row r="285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  <c r="EV285" s="39"/>
      <c r="EW285" s="39"/>
      <c r="EX285" s="39"/>
      <c r="EY285" s="39"/>
      <c r="EZ285" s="39"/>
      <c r="FA285" s="39"/>
      <c r="FB285" s="39"/>
      <c r="FC285" s="39"/>
      <c r="FD285" s="39"/>
      <c r="FE285" s="39"/>
      <c r="FF285" s="39"/>
      <c r="FG285" s="39"/>
      <c r="FH285" s="39"/>
      <c r="FI285" s="39"/>
      <c r="FJ285" s="39"/>
      <c r="FK285" s="39"/>
      <c r="FL285" s="39"/>
      <c r="FM285" s="39"/>
      <c r="FN285" s="39"/>
      <c r="FO285" s="39"/>
      <c r="FP285" s="39"/>
      <c r="FQ285" s="39"/>
      <c r="FR285" s="39"/>
      <c r="FS285" s="39"/>
      <c r="FT285" s="39"/>
      <c r="FU285" s="39"/>
      <c r="FV285" s="39"/>
      <c r="FW285" s="39"/>
      <c r="FX285" s="39"/>
      <c r="FY285" s="39"/>
      <c r="FZ285" s="39"/>
      <c r="GA285" s="39"/>
      <c r="GB285" s="39"/>
      <c r="GC285" s="39"/>
      <c r="GD285" s="39"/>
      <c r="GE285" s="39"/>
      <c r="GF285" s="39"/>
      <c r="GG285" s="39"/>
      <c r="GH285" s="39"/>
      <c r="GI285" s="39"/>
      <c r="GJ285" s="39"/>
      <c r="GK285" s="39"/>
      <c r="GL285" s="39"/>
      <c r="GM285" s="39"/>
      <c r="GN285" s="39"/>
      <c r="GO285" s="39"/>
      <c r="GP285" s="39"/>
      <c r="GQ285" s="39"/>
      <c r="GR285" s="39"/>
      <c r="GS285" s="39"/>
      <c r="GT285" s="39"/>
      <c r="GU285" s="39"/>
      <c r="GV285" s="39"/>
    </row>
    <row r="286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  <c r="EV286" s="39"/>
      <c r="EW286" s="39"/>
      <c r="EX286" s="39"/>
      <c r="EY286" s="39"/>
      <c r="EZ286" s="39"/>
      <c r="FA286" s="39"/>
      <c r="FB286" s="39"/>
      <c r="FC286" s="39"/>
      <c r="FD286" s="39"/>
      <c r="FE286" s="39"/>
      <c r="FF286" s="39"/>
      <c r="FG286" s="39"/>
      <c r="FH286" s="39"/>
      <c r="FI286" s="39"/>
      <c r="FJ286" s="39"/>
      <c r="FK286" s="39"/>
      <c r="FL286" s="39"/>
      <c r="FM286" s="39"/>
      <c r="FN286" s="39"/>
      <c r="FO286" s="39"/>
      <c r="FP286" s="39"/>
      <c r="FQ286" s="39"/>
      <c r="FR286" s="39"/>
      <c r="FS286" s="39"/>
      <c r="FT286" s="39"/>
      <c r="FU286" s="39"/>
      <c r="FV286" s="39"/>
      <c r="FW286" s="39"/>
      <c r="FX286" s="39"/>
      <c r="FY286" s="39"/>
      <c r="FZ286" s="39"/>
      <c r="GA286" s="39"/>
      <c r="GB286" s="39"/>
      <c r="GC286" s="39"/>
      <c r="GD286" s="39"/>
      <c r="GE286" s="39"/>
      <c r="GF286" s="39"/>
      <c r="GG286" s="39"/>
      <c r="GH286" s="39"/>
      <c r="GI286" s="39"/>
      <c r="GJ286" s="39"/>
      <c r="GK286" s="39"/>
      <c r="GL286" s="39"/>
      <c r="GM286" s="39"/>
      <c r="GN286" s="39"/>
      <c r="GO286" s="39"/>
      <c r="GP286" s="39"/>
      <c r="GQ286" s="39"/>
      <c r="GR286" s="39"/>
      <c r="GS286" s="39"/>
      <c r="GT286" s="39"/>
      <c r="GU286" s="39"/>
      <c r="GV286" s="39"/>
    </row>
    <row r="287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  <c r="EV287" s="39"/>
      <c r="EW287" s="39"/>
      <c r="EX287" s="39"/>
      <c r="EY287" s="39"/>
      <c r="EZ287" s="39"/>
      <c r="FA287" s="39"/>
      <c r="FB287" s="39"/>
      <c r="FC287" s="39"/>
      <c r="FD287" s="39"/>
      <c r="FE287" s="39"/>
      <c r="FF287" s="39"/>
      <c r="FG287" s="39"/>
      <c r="FH287" s="39"/>
      <c r="FI287" s="39"/>
      <c r="FJ287" s="39"/>
      <c r="FK287" s="39"/>
      <c r="FL287" s="39"/>
      <c r="FM287" s="39"/>
      <c r="FN287" s="39"/>
      <c r="FO287" s="39"/>
      <c r="FP287" s="39"/>
      <c r="FQ287" s="39"/>
      <c r="FR287" s="39"/>
      <c r="FS287" s="39"/>
      <c r="FT287" s="39"/>
      <c r="FU287" s="39"/>
      <c r="FV287" s="39"/>
      <c r="FW287" s="39"/>
      <c r="FX287" s="39"/>
      <c r="FY287" s="39"/>
      <c r="FZ287" s="39"/>
      <c r="GA287" s="39"/>
      <c r="GB287" s="39"/>
      <c r="GC287" s="39"/>
      <c r="GD287" s="39"/>
      <c r="GE287" s="39"/>
      <c r="GF287" s="39"/>
      <c r="GG287" s="39"/>
      <c r="GH287" s="39"/>
      <c r="GI287" s="39"/>
      <c r="GJ287" s="39"/>
      <c r="GK287" s="39"/>
      <c r="GL287" s="39"/>
      <c r="GM287" s="39"/>
      <c r="GN287" s="39"/>
      <c r="GO287" s="39"/>
      <c r="GP287" s="39"/>
      <c r="GQ287" s="39"/>
      <c r="GR287" s="39"/>
      <c r="GS287" s="39"/>
      <c r="GT287" s="39"/>
      <c r="GU287" s="39"/>
      <c r="GV287" s="39"/>
    </row>
    <row r="288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  <c r="EV288" s="39"/>
      <c r="EW288" s="39"/>
      <c r="EX288" s="39"/>
      <c r="EY288" s="39"/>
      <c r="EZ288" s="39"/>
      <c r="FA288" s="39"/>
      <c r="FB288" s="39"/>
      <c r="FC288" s="39"/>
      <c r="FD288" s="39"/>
      <c r="FE288" s="39"/>
      <c r="FF288" s="39"/>
      <c r="FG288" s="39"/>
      <c r="FH288" s="39"/>
      <c r="FI288" s="39"/>
      <c r="FJ288" s="39"/>
      <c r="FK288" s="39"/>
      <c r="FL288" s="39"/>
      <c r="FM288" s="39"/>
      <c r="FN288" s="39"/>
      <c r="FO288" s="39"/>
      <c r="FP288" s="39"/>
      <c r="FQ288" s="39"/>
      <c r="FR288" s="39"/>
      <c r="FS288" s="39"/>
      <c r="FT288" s="39"/>
      <c r="FU288" s="39"/>
      <c r="FV288" s="39"/>
      <c r="FW288" s="39"/>
      <c r="FX288" s="39"/>
      <c r="FY288" s="39"/>
      <c r="FZ288" s="39"/>
      <c r="GA288" s="39"/>
      <c r="GB288" s="39"/>
      <c r="GC288" s="39"/>
      <c r="GD288" s="39"/>
      <c r="GE288" s="39"/>
      <c r="GF288" s="39"/>
      <c r="GG288" s="39"/>
      <c r="GH288" s="39"/>
      <c r="GI288" s="39"/>
      <c r="GJ288" s="39"/>
      <c r="GK288" s="39"/>
      <c r="GL288" s="39"/>
      <c r="GM288" s="39"/>
      <c r="GN288" s="39"/>
      <c r="GO288" s="39"/>
      <c r="GP288" s="39"/>
      <c r="GQ288" s="39"/>
      <c r="GR288" s="39"/>
      <c r="GS288" s="39"/>
      <c r="GT288" s="39"/>
      <c r="GU288" s="39"/>
      <c r="GV288" s="39"/>
    </row>
    <row r="289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  <c r="EV289" s="39"/>
      <c r="EW289" s="39"/>
      <c r="EX289" s="39"/>
      <c r="EY289" s="39"/>
      <c r="EZ289" s="39"/>
      <c r="FA289" s="39"/>
      <c r="FB289" s="39"/>
      <c r="FC289" s="39"/>
      <c r="FD289" s="39"/>
      <c r="FE289" s="39"/>
      <c r="FF289" s="39"/>
      <c r="FG289" s="39"/>
      <c r="FH289" s="39"/>
      <c r="FI289" s="39"/>
      <c r="FJ289" s="39"/>
      <c r="FK289" s="39"/>
      <c r="FL289" s="39"/>
      <c r="FM289" s="39"/>
      <c r="FN289" s="39"/>
      <c r="FO289" s="39"/>
      <c r="FP289" s="39"/>
      <c r="FQ289" s="39"/>
      <c r="FR289" s="39"/>
      <c r="FS289" s="39"/>
      <c r="FT289" s="39"/>
      <c r="FU289" s="39"/>
      <c r="FV289" s="39"/>
      <c r="FW289" s="39"/>
      <c r="FX289" s="39"/>
      <c r="FY289" s="39"/>
      <c r="FZ289" s="39"/>
      <c r="GA289" s="39"/>
      <c r="GB289" s="39"/>
      <c r="GC289" s="39"/>
      <c r="GD289" s="39"/>
      <c r="GE289" s="39"/>
      <c r="GF289" s="39"/>
      <c r="GG289" s="39"/>
      <c r="GH289" s="39"/>
      <c r="GI289" s="39"/>
      <c r="GJ289" s="39"/>
      <c r="GK289" s="39"/>
      <c r="GL289" s="39"/>
      <c r="GM289" s="39"/>
      <c r="GN289" s="39"/>
      <c r="GO289" s="39"/>
      <c r="GP289" s="39"/>
      <c r="GQ289" s="39"/>
      <c r="GR289" s="39"/>
      <c r="GS289" s="39"/>
      <c r="GT289" s="39"/>
      <c r="GU289" s="39"/>
      <c r="GV289" s="39"/>
    </row>
    <row r="290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  <c r="EV290" s="39"/>
      <c r="EW290" s="39"/>
      <c r="EX290" s="39"/>
      <c r="EY290" s="39"/>
      <c r="EZ290" s="39"/>
      <c r="FA290" s="39"/>
      <c r="FB290" s="39"/>
      <c r="FC290" s="39"/>
      <c r="FD290" s="39"/>
      <c r="FE290" s="39"/>
      <c r="FF290" s="39"/>
      <c r="FG290" s="39"/>
      <c r="FH290" s="39"/>
      <c r="FI290" s="39"/>
      <c r="FJ290" s="39"/>
      <c r="FK290" s="39"/>
      <c r="FL290" s="39"/>
      <c r="FM290" s="39"/>
      <c r="FN290" s="39"/>
      <c r="FO290" s="39"/>
      <c r="FP290" s="39"/>
      <c r="FQ290" s="39"/>
      <c r="FR290" s="39"/>
      <c r="FS290" s="39"/>
      <c r="FT290" s="39"/>
      <c r="FU290" s="39"/>
      <c r="FV290" s="39"/>
      <c r="FW290" s="39"/>
      <c r="FX290" s="39"/>
      <c r="FY290" s="39"/>
      <c r="FZ290" s="39"/>
      <c r="GA290" s="39"/>
      <c r="GB290" s="39"/>
      <c r="GC290" s="39"/>
      <c r="GD290" s="39"/>
      <c r="GE290" s="39"/>
      <c r="GF290" s="39"/>
      <c r="GG290" s="39"/>
      <c r="GH290" s="39"/>
      <c r="GI290" s="39"/>
      <c r="GJ290" s="39"/>
      <c r="GK290" s="39"/>
      <c r="GL290" s="39"/>
      <c r="GM290" s="39"/>
      <c r="GN290" s="39"/>
      <c r="GO290" s="39"/>
      <c r="GP290" s="39"/>
      <c r="GQ290" s="39"/>
      <c r="GR290" s="39"/>
      <c r="GS290" s="39"/>
      <c r="GT290" s="39"/>
      <c r="GU290" s="39"/>
      <c r="GV290" s="39"/>
    </row>
    <row r="291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  <c r="EV291" s="39"/>
      <c r="EW291" s="39"/>
      <c r="EX291" s="39"/>
      <c r="EY291" s="39"/>
      <c r="EZ291" s="39"/>
      <c r="FA291" s="39"/>
      <c r="FB291" s="39"/>
      <c r="FC291" s="39"/>
      <c r="FD291" s="39"/>
      <c r="FE291" s="39"/>
      <c r="FF291" s="39"/>
      <c r="FG291" s="39"/>
      <c r="FH291" s="39"/>
      <c r="FI291" s="39"/>
      <c r="FJ291" s="39"/>
      <c r="FK291" s="39"/>
      <c r="FL291" s="39"/>
      <c r="FM291" s="39"/>
      <c r="FN291" s="39"/>
      <c r="FO291" s="39"/>
      <c r="FP291" s="39"/>
      <c r="FQ291" s="39"/>
      <c r="FR291" s="39"/>
      <c r="FS291" s="39"/>
      <c r="FT291" s="39"/>
      <c r="FU291" s="39"/>
      <c r="FV291" s="39"/>
      <c r="FW291" s="39"/>
      <c r="FX291" s="39"/>
      <c r="FY291" s="39"/>
      <c r="FZ291" s="39"/>
      <c r="GA291" s="39"/>
      <c r="GB291" s="39"/>
      <c r="GC291" s="39"/>
      <c r="GD291" s="39"/>
      <c r="GE291" s="39"/>
      <c r="GF291" s="39"/>
      <c r="GG291" s="39"/>
      <c r="GH291" s="39"/>
      <c r="GI291" s="39"/>
      <c r="GJ291" s="39"/>
      <c r="GK291" s="39"/>
      <c r="GL291" s="39"/>
      <c r="GM291" s="39"/>
      <c r="GN291" s="39"/>
      <c r="GO291" s="39"/>
      <c r="GP291" s="39"/>
      <c r="GQ291" s="39"/>
      <c r="GR291" s="39"/>
      <c r="GS291" s="39"/>
      <c r="GT291" s="39"/>
      <c r="GU291" s="39"/>
      <c r="GV291" s="39"/>
    </row>
    <row r="292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  <c r="EV292" s="39"/>
      <c r="EW292" s="39"/>
      <c r="EX292" s="39"/>
      <c r="EY292" s="39"/>
      <c r="EZ292" s="39"/>
      <c r="FA292" s="39"/>
      <c r="FB292" s="39"/>
      <c r="FC292" s="39"/>
      <c r="FD292" s="39"/>
      <c r="FE292" s="39"/>
      <c r="FF292" s="39"/>
      <c r="FG292" s="39"/>
      <c r="FH292" s="39"/>
      <c r="FI292" s="39"/>
      <c r="FJ292" s="39"/>
      <c r="FK292" s="39"/>
      <c r="FL292" s="39"/>
      <c r="FM292" s="39"/>
      <c r="FN292" s="39"/>
      <c r="FO292" s="39"/>
      <c r="FP292" s="39"/>
      <c r="FQ292" s="39"/>
      <c r="FR292" s="39"/>
      <c r="FS292" s="39"/>
      <c r="FT292" s="39"/>
      <c r="FU292" s="39"/>
      <c r="FV292" s="39"/>
      <c r="FW292" s="39"/>
      <c r="FX292" s="39"/>
      <c r="FY292" s="39"/>
      <c r="FZ292" s="39"/>
      <c r="GA292" s="39"/>
      <c r="GB292" s="39"/>
      <c r="GC292" s="39"/>
      <c r="GD292" s="39"/>
      <c r="GE292" s="39"/>
      <c r="GF292" s="39"/>
      <c r="GG292" s="39"/>
      <c r="GH292" s="39"/>
      <c r="GI292" s="39"/>
      <c r="GJ292" s="39"/>
      <c r="GK292" s="39"/>
      <c r="GL292" s="39"/>
      <c r="GM292" s="39"/>
      <c r="GN292" s="39"/>
      <c r="GO292" s="39"/>
      <c r="GP292" s="39"/>
      <c r="GQ292" s="39"/>
      <c r="GR292" s="39"/>
      <c r="GS292" s="39"/>
      <c r="GT292" s="39"/>
      <c r="GU292" s="39"/>
      <c r="GV292" s="39"/>
    </row>
    <row r="293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  <c r="EV293" s="39"/>
      <c r="EW293" s="39"/>
      <c r="EX293" s="39"/>
      <c r="EY293" s="39"/>
      <c r="EZ293" s="39"/>
      <c r="FA293" s="39"/>
      <c r="FB293" s="39"/>
      <c r="FC293" s="39"/>
      <c r="FD293" s="39"/>
      <c r="FE293" s="39"/>
      <c r="FF293" s="39"/>
      <c r="FG293" s="39"/>
      <c r="FH293" s="39"/>
      <c r="FI293" s="39"/>
      <c r="FJ293" s="39"/>
      <c r="FK293" s="39"/>
      <c r="FL293" s="39"/>
      <c r="FM293" s="39"/>
      <c r="FN293" s="39"/>
      <c r="FO293" s="39"/>
      <c r="FP293" s="39"/>
      <c r="FQ293" s="39"/>
      <c r="FR293" s="39"/>
      <c r="FS293" s="39"/>
      <c r="FT293" s="39"/>
      <c r="FU293" s="39"/>
      <c r="FV293" s="39"/>
      <c r="FW293" s="39"/>
      <c r="FX293" s="39"/>
      <c r="FY293" s="39"/>
      <c r="FZ293" s="39"/>
      <c r="GA293" s="39"/>
      <c r="GB293" s="39"/>
      <c r="GC293" s="39"/>
      <c r="GD293" s="39"/>
      <c r="GE293" s="39"/>
      <c r="GF293" s="39"/>
      <c r="GG293" s="39"/>
      <c r="GH293" s="39"/>
      <c r="GI293" s="39"/>
      <c r="GJ293" s="39"/>
      <c r="GK293" s="39"/>
      <c r="GL293" s="39"/>
      <c r="GM293" s="39"/>
      <c r="GN293" s="39"/>
      <c r="GO293" s="39"/>
      <c r="GP293" s="39"/>
      <c r="GQ293" s="39"/>
      <c r="GR293" s="39"/>
      <c r="GS293" s="39"/>
      <c r="GT293" s="39"/>
      <c r="GU293" s="39"/>
      <c r="GV293" s="39"/>
    </row>
    <row r="294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  <c r="EV294" s="39"/>
      <c r="EW294" s="39"/>
      <c r="EX294" s="39"/>
      <c r="EY294" s="39"/>
      <c r="EZ294" s="39"/>
      <c r="FA294" s="39"/>
      <c r="FB294" s="39"/>
      <c r="FC294" s="39"/>
      <c r="FD294" s="39"/>
      <c r="FE294" s="39"/>
      <c r="FF294" s="39"/>
      <c r="FG294" s="39"/>
      <c r="FH294" s="39"/>
      <c r="FI294" s="39"/>
      <c r="FJ294" s="39"/>
      <c r="FK294" s="39"/>
      <c r="FL294" s="39"/>
      <c r="FM294" s="39"/>
      <c r="FN294" s="39"/>
      <c r="FO294" s="39"/>
      <c r="FP294" s="39"/>
      <c r="FQ294" s="39"/>
      <c r="FR294" s="39"/>
      <c r="FS294" s="39"/>
      <c r="FT294" s="39"/>
      <c r="FU294" s="39"/>
      <c r="FV294" s="39"/>
      <c r="FW294" s="39"/>
      <c r="FX294" s="39"/>
      <c r="FY294" s="39"/>
      <c r="FZ294" s="39"/>
      <c r="GA294" s="39"/>
      <c r="GB294" s="39"/>
      <c r="GC294" s="39"/>
      <c r="GD294" s="39"/>
      <c r="GE294" s="39"/>
      <c r="GF294" s="39"/>
      <c r="GG294" s="39"/>
      <c r="GH294" s="39"/>
      <c r="GI294" s="39"/>
      <c r="GJ294" s="39"/>
      <c r="GK294" s="39"/>
      <c r="GL294" s="39"/>
      <c r="GM294" s="39"/>
      <c r="GN294" s="39"/>
      <c r="GO294" s="39"/>
      <c r="GP294" s="39"/>
      <c r="GQ294" s="39"/>
      <c r="GR294" s="39"/>
      <c r="GS294" s="39"/>
      <c r="GT294" s="39"/>
      <c r="GU294" s="39"/>
      <c r="GV294" s="39"/>
    </row>
    <row r="295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  <c r="EV295" s="39"/>
      <c r="EW295" s="39"/>
      <c r="EX295" s="39"/>
      <c r="EY295" s="39"/>
      <c r="EZ295" s="39"/>
      <c r="FA295" s="39"/>
      <c r="FB295" s="39"/>
      <c r="FC295" s="39"/>
      <c r="FD295" s="39"/>
      <c r="FE295" s="39"/>
      <c r="FF295" s="39"/>
      <c r="FG295" s="39"/>
      <c r="FH295" s="39"/>
      <c r="FI295" s="39"/>
      <c r="FJ295" s="39"/>
      <c r="FK295" s="39"/>
      <c r="FL295" s="39"/>
      <c r="FM295" s="39"/>
      <c r="FN295" s="39"/>
      <c r="FO295" s="39"/>
      <c r="FP295" s="39"/>
      <c r="FQ295" s="39"/>
      <c r="FR295" s="39"/>
      <c r="FS295" s="39"/>
      <c r="FT295" s="39"/>
      <c r="FU295" s="39"/>
      <c r="FV295" s="39"/>
      <c r="FW295" s="39"/>
      <c r="FX295" s="39"/>
      <c r="FY295" s="39"/>
      <c r="FZ295" s="39"/>
      <c r="GA295" s="39"/>
      <c r="GB295" s="39"/>
      <c r="GC295" s="39"/>
      <c r="GD295" s="39"/>
      <c r="GE295" s="39"/>
      <c r="GF295" s="39"/>
      <c r="GG295" s="39"/>
      <c r="GH295" s="39"/>
      <c r="GI295" s="39"/>
      <c r="GJ295" s="39"/>
      <c r="GK295" s="39"/>
      <c r="GL295" s="39"/>
      <c r="GM295" s="39"/>
      <c r="GN295" s="39"/>
      <c r="GO295" s="39"/>
      <c r="GP295" s="39"/>
      <c r="GQ295" s="39"/>
      <c r="GR295" s="39"/>
      <c r="GS295" s="39"/>
      <c r="GT295" s="39"/>
      <c r="GU295" s="39"/>
      <c r="GV295" s="39"/>
    </row>
    <row r="296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  <c r="EV296" s="39"/>
      <c r="EW296" s="39"/>
      <c r="EX296" s="39"/>
      <c r="EY296" s="39"/>
      <c r="EZ296" s="39"/>
      <c r="FA296" s="39"/>
      <c r="FB296" s="39"/>
      <c r="FC296" s="39"/>
      <c r="FD296" s="39"/>
      <c r="FE296" s="39"/>
      <c r="FF296" s="39"/>
      <c r="FG296" s="39"/>
      <c r="FH296" s="39"/>
      <c r="FI296" s="39"/>
      <c r="FJ296" s="39"/>
      <c r="FK296" s="39"/>
      <c r="FL296" s="39"/>
      <c r="FM296" s="39"/>
      <c r="FN296" s="39"/>
      <c r="FO296" s="39"/>
      <c r="FP296" s="39"/>
      <c r="FQ296" s="39"/>
      <c r="FR296" s="39"/>
      <c r="FS296" s="39"/>
      <c r="FT296" s="39"/>
      <c r="FU296" s="39"/>
      <c r="FV296" s="39"/>
      <c r="FW296" s="39"/>
      <c r="FX296" s="39"/>
      <c r="FY296" s="39"/>
      <c r="FZ296" s="39"/>
      <c r="GA296" s="39"/>
      <c r="GB296" s="39"/>
      <c r="GC296" s="39"/>
      <c r="GD296" s="39"/>
      <c r="GE296" s="39"/>
      <c r="GF296" s="39"/>
      <c r="GG296" s="39"/>
      <c r="GH296" s="39"/>
      <c r="GI296" s="39"/>
      <c r="GJ296" s="39"/>
      <c r="GK296" s="39"/>
      <c r="GL296" s="39"/>
      <c r="GM296" s="39"/>
      <c r="GN296" s="39"/>
      <c r="GO296" s="39"/>
      <c r="GP296" s="39"/>
      <c r="GQ296" s="39"/>
      <c r="GR296" s="39"/>
      <c r="GS296" s="39"/>
      <c r="GT296" s="39"/>
      <c r="GU296" s="39"/>
      <c r="GV296" s="39"/>
    </row>
    <row r="297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  <c r="EV297" s="39"/>
      <c r="EW297" s="39"/>
      <c r="EX297" s="39"/>
      <c r="EY297" s="39"/>
      <c r="EZ297" s="39"/>
      <c r="FA297" s="39"/>
      <c r="FB297" s="39"/>
      <c r="FC297" s="39"/>
      <c r="FD297" s="39"/>
      <c r="FE297" s="39"/>
      <c r="FF297" s="39"/>
      <c r="FG297" s="39"/>
      <c r="FH297" s="39"/>
      <c r="FI297" s="39"/>
      <c r="FJ297" s="39"/>
      <c r="FK297" s="39"/>
      <c r="FL297" s="39"/>
      <c r="FM297" s="39"/>
      <c r="FN297" s="39"/>
      <c r="FO297" s="39"/>
      <c r="FP297" s="39"/>
      <c r="FQ297" s="39"/>
      <c r="FR297" s="39"/>
      <c r="FS297" s="39"/>
      <c r="FT297" s="39"/>
      <c r="FU297" s="39"/>
      <c r="FV297" s="39"/>
      <c r="FW297" s="39"/>
      <c r="FX297" s="39"/>
      <c r="FY297" s="39"/>
      <c r="FZ297" s="39"/>
      <c r="GA297" s="39"/>
      <c r="GB297" s="39"/>
      <c r="GC297" s="39"/>
      <c r="GD297" s="39"/>
      <c r="GE297" s="39"/>
      <c r="GF297" s="39"/>
      <c r="GG297" s="39"/>
      <c r="GH297" s="39"/>
      <c r="GI297" s="39"/>
      <c r="GJ297" s="39"/>
      <c r="GK297" s="39"/>
      <c r="GL297" s="39"/>
      <c r="GM297" s="39"/>
      <c r="GN297" s="39"/>
      <c r="GO297" s="39"/>
      <c r="GP297" s="39"/>
      <c r="GQ297" s="39"/>
      <c r="GR297" s="39"/>
      <c r="GS297" s="39"/>
      <c r="GT297" s="39"/>
      <c r="GU297" s="39"/>
      <c r="GV297" s="39"/>
    </row>
    <row r="298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  <c r="EV299" s="39"/>
      <c r="EW299" s="39"/>
      <c r="EX299" s="39"/>
      <c r="EY299" s="39"/>
      <c r="EZ299" s="39"/>
      <c r="FA299" s="39"/>
      <c r="FB299" s="39"/>
      <c r="FC299" s="39"/>
      <c r="FD299" s="39"/>
      <c r="FE299" s="39"/>
      <c r="FF299" s="39"/>
      <c r="FG299" s="39"/>
      <c r="FH299" s="39"/>
      <c r="FI299" s="39"/>
      <c r="FJ299" s="39"/>
      <c r="FK299" s="39"/>
      <c r="FL299" s="39"/>
      <c r="FM299" s="39"/>
      <c r="FN299" s="39"/>
      <c r="FO299" s="39"/>
      <c r="FP299" s="39"/>
      <c r="FQ299" s="39"/>
      <c r="FR299" s="39"/>
      <c r="FS299" s="39"/>
      <c r="FT299" s="39"/>
      <c r="FU299" s="39"/>
      <c r="FV299" s="39"/>
      <c r="FW299" s="39"/>
      <c r="FX299" s="39"/>
      <c r="FY299" s="39"/>
      <c r="FZ299" s="39"/>
      <c r="GA299" s="39"/>
      <c r="GB299" s="39"/>
      <c r="GC299" s="39"/>
      <c r="GD299" s="39"/>
      <c r="GE299" s="39"/>
      <c r="GF299" s="39"/>
      <c r="GG299" s="39"/>
      <c r="GH299" s="39"/>
      <c r="GI299" s="39"/>
      <c r="GJ299" s="39"/>
      <c r="GK299" s="39"/>
      <c r="GL299" s="39"/>
      <c r="GM299" s="39"/>
      <c r="GN299" s="39"/>
      <c r="GO299" s="39"/>
      <c r="GP299" s="39"/>
      <c r="GQ299" s="39"/>
      <c r="GR299" s="39"/>
      <c r="GS299" s="39"/>
      <c r="GT299" s="39"/>
      <c r="GU299" s="39"/>
      <c r="GV299" s="39"/>
    </row>
    <row r="300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  <c r="EV300" s="39"/>
      <c r="EW300" s="39"/>
      <c r="EX300" s="39"/>
      <c r="EY300" s="39"/>
      <c r="EZ300" s="39"/>
      <c r="FA300" s="39"/>
      <c r="FB300" s="39"/>
      <c r="FC300" s="39"/>
      <c r="FD300" s="3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  <c r="FP300" s="39"/>
      <c r="FQ300" s="39"/>
      <c r="FR300" s="39"/>
      <c r="FS300" s="39"/>
      <c r="FT300" s="39"/>
      <c r="FU300" s="39"/>
      <c r="FV300" s="39"/>
      <c r="FW300" s="39"/>
      <c r="FX300" s="39"/>
      <c r="FY300" s="39"/>
      <c r="FZ300" s="39"/>
      <c r="GA300" s="39"/>
      <c r="GB300" s="39"/>
      <c r="GC300" s="39"/>
      <c r="GD300" s="39"/>
      <c r="GE300" s="39"/>
      <c r="GF300" s="39"/>
      <c r="GG300" s="39"/>
      <c r="GH300" s="39"/>
      <c r="GI300" s="39"/>
      <c r="GJ300" s="39"/>
      <c r="GK300" s="39"/>
      <c r="GL300" s="39"/>
      <c r="GM300" s="39"/>
      <c r="GN300" s="39"/>
      <c r="GO300" s="39"/>
      <c r="GP300" s="39"/>
      <c r="GQ300" s="39"/>
      <c r="GR300" s="39"/>
      <c r="GS300" s="39"/>
      <c r="GT300" s="39"/>
      <c r="GU300" s="39"/>
      <c r="GV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  <c r="EV301" s="39"/>
      <c r="EW301" s="39"/>
      <c r="EX301" s="39"/>
      <c r="EY301" s="39"/>
      <c r="EZ301" s="39"/>
      <c r="FA301" s="39"/>
      <c r="FB301" s="39"/>
      <c r="FC301" s="39"/>
      <c r="FD301" s="3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  <c r="FQ301" s="39"/>
      <c r="FR301" s="39"/>
      <c r="FS301" s="39"/>
      <c r="FT301" s="39"/>
      <c r="FU301" s="39"/>
      <c r="FV301" s="39"/>
      <c r="FW301" s="39"/>
      <c r="FX301" s="39"/>
      <c r="FY301" s="39"/>
      <c r="FZ301" s="39"/>
      <c r="GA301" s="39"/>
      <c r="GB301" s="39"/>
      <c r="GC301" s="39"/>
      <c r="GD301" s="39"/>
      <c r="GE301" s="39"/>
      <c r="GF301" s="39"/>
      <c r="GG301" s="39"/>
      <c r="GH301" s="39"/>
      <c r="GI301" s="39"/>
      <c r="GJ301" s="39"/>
      <c r="GK301" s="39"/>
      <c r="GL301" s="39"/>
      <c r="GM301" s="39"/>
      <c r="GN301" s="39"/>
      <c r="GO301" s="39"/>
      <c r="GP301" s="39"/>
      <c r="GQ301" s="39"/>
      <c r="GR301" s="39"/>
      <c r="GS301" s="39"/>
      <c r="GT301" s="39"/>
      <c r="GU301" s="39"/>
      <c r="GV301" s="39"/>
    </row>
    <row r="302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  <c r="EV302" s="39"/>
      <c r="EW302" s="39"/>
      <c r="EX302" s="39"/>
      <c r="EY302" s="39"/>
      <c r="EZ302" s="39"/>
      <c r="FA302" s="39"/>
      <c r="FB302" s="39"/>
      <c r="FC302" s="39"/>
      <c r="FD302" s="39"/>
      <c r="FE302" s="39"/>
      <c r="FF302" s="39"/>
      <c r="FG302" s="39"/>
      <c r="FH302" s="39"/>
      <c r="FI302" s="39"/>
      <c r="FJ302" s="39"/>
      <c r="FK302" s="39"/>
      <c r="FL302" s="39"/>
      <c r="FM302" s="39"/>
      <c r="FN302" s="39"/>
      <c r="FO302" s="39"/>
      <c r="FP302" s="39"/>
      <c r="FQ302" s="39"/>
      <c r="FR302" s="39"/>
      <c r="FS302" s="39"/>
      <c r="FT302" s="39"/>
      <c r="FU302" s="39"/>
      <c r="FV302" s="39"/>
      <c r="FW302" s="39"/>
      <c r="FX302" s="39"/>
      <c r="FY302" s="39"/>
      <c r="FZ302" s="39"/>
      <c r="GA302" s="39"/>
      <c r="GB302" s="39"/>
      <c r="GC302" s="39"/>
      <c r="GD302" s="39"/>
      <c r="GE302" s="39"/>
      <c r="GF302" s="39"/>
      <c r="GG302" s="39"/>
      <c r="GH302" s="39"/>
      <c r="GI302" s="39"/>
      <c r="GJ302" s="39"/>
      <c r="GK302" s="39"/>
      <c r="GL302" s="39"/>
      <c r="GM302" s="39"/>
      <c r="GN302" s="39"/>
      <c r="GO302" s="39"/>
      <c r="GP302" s="39"/>
      <c r="GQ302" s="39"/>
      <c r="GR302" s="39"/>
      <c r="GS302" s="39"/>
      <c r="GT302" s="39"/>
      <c r="GU302" s="39"/>
      <c r="GV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  <c r="EV303" s="39"/>
      <c r="EW303" s="39"/>
      <c r="EX303" s="39"/>
      <c r="EY303" s="39"/>
      <c r="EZ303" s="39"/>
      <c r="FA303" s="39"/>
      <c r="FB303" s="39"/>
      <c r="FC303" s="39"/>
      <c r="FD303" s="39"/>
      <c r="FE303" s="39"/>
      <c r="FF303" s="39"/>
      <c r="FG303" s="39"/>
      <c r="FH303" s="39"/>
      <c r="FI303" s="39"/>
      <c r="FJ303" s="39"/>
      <c r="FK303" s="39"/>
      <c r="FL303" s="39"/>
      <c r="FM303" s="39"/>
      <c r="FN303" s="39"/>
      <c r="FO303" s="39"/>
      <c r="FP303" s="39"/>
      <c r="FQ303" s="39"/>
      <c r="FR303" s="39"/>
      <c r="FS303" s="39"/>
      <c r="FT303" s="39"/>
      <c r="FU303" s="39"/>
      <c r="FV303" s="39"/>
      <c r="FW303" s="39"/>
      <c r="FX303" s="39"/>
      <c r="FY303" s="39"/>
      <c r="FZ303" s="39"/>
      <c r="GA303" s="39"/>
      <c r="GB303" s="39"/>
      <c r="GC303" s="39"/>
      <c r="GD303" s="39"/>
      <c r="GE303" s="39"/>
      <c r="GF303" s="39"/>
      <c r="GG303" s="39"/>
      <c r="GH303" s="39"/>
      <c r="GI303" s="39"/>
      <c r="GJ303" s="39"/>
      <c r="GK303" s="39"/>
      <c r="GL303" s="39"/>
      <c r="GM303" s="39"/>
      <c r="GN303" s="39"/>
      <c r="GO303" s="39"/>
      <c r="GP303" s="39"/>
      <c r="GQ303" s="39"/>
      <c r="GR303" s="39"/>
      <c r="GS303" s="39"/>
      <c r="GT303" s="39"/>
      <c r="GU303" s="39"/>
      <c r="GV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  <c r="EV304" s="39"/>
      <c r="EW304" s="39"/>
      <c r="EX304" s="39"/>
      <c r="EY304" s="39"/>
      <c r="EZ304" s="39"/>
      <c r="FA304" s="39"/>
      <c r="FB304" s="39"/>
      <c r="FC304" s="39"/>
      <c r="FD304" s="39"/>
      <c r="FE304" s="39"/>
      <c r="FF304" s="39"/>
      <c r="FG304" s="39"/>
      <c r="FH304" s="39"/>
      <c r="FI304" s="39"/>
      <c r="FJ304" s="39"/>
      <c r="FK304" s="39"/>
      <c r="FL304" s="39"/>
      <c r="FM304" s="39"/>
      <c r="FN304" s="39"/>
      <c r="FO304" s="39"/>
      <c r="FP304" s="39"/>
      <c r="FQ304" s="39"/>
      <c r="FR304" s="39"/>
      <c r="FS304" s="39"/>
      <c r="FT304" s="39"/>
      <c r="FU304" s="39"/>
      <c r="FV304" s="39"/>
      <c r="FW304" s="39"/>
      <c r="FX304" s="39"/>
      <c r="FY304" s="39"/>
      <c r="FZ304" s="39"/>
      <c r="GA304" s="39"/>
      <c r="GB304" s="39"/>
      <c r="GC304" s="39"/>
      <c r="GD304" s="39"/>
      <c r="GE304" s="39"/>
      <c r="GF304" s="39"/>
      <c r="GG304" s="39"/>
      <c r="GH304" s="39"/>
      <c r="GI304" s="39"/>
      <c r="GJ304" s="39"/>
      <c r="GK304" s="39"/>
      <c r="GL304" s="39"/>
      <c r="GM304" s="39"/>
      <c r="GN304" s="39"/>
      <c r="GO304" s="39"/>
      <c r="GP304" s="39"/>
      <c r="GQ304" s="39"/>
      <c r="GR304" s="39"/>
      <c r="GS304" s="39"/>
      <c r="GT304" s="39"/>
      <c r="GU304" s="39"/>
      <c r="GV304" s="39"/>
    </row>
    <row r="305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  <c r="EV305" s="39"/>
      <c r="EW305" s="39"/>
      <c r="EX305" s="39"/>
      <c r="EY305" s="39"/>
      <c r="EZ305" s="39"/>
      <c r="FA305" s="39"/>
      <c r="FB305" s="39"/>
      <c r="FC305" s="39"/>
      <c r="FD305" s="39"/>
      <c r="FE305" s="39"/>
      <c r="FF305" s="39"/>
      <c r="FG305" s="39"/>
      <c r="FH305" s="39"/>
      <c r="FI305" s="39"/>
      <c r="FJ305" s="39"/>
      <c r="FK305" s="39"/>
      <c r="FL305" s="39"/>
      <c r="FM305" s="39"/>
      <c r="FN305" s="39"/>
      <c r="FO305" s="39"/>
      <c r="FP305" s="39"/>
      <c r="FQ305" s="39"/>
      <c r="FR305" s="39"/>
      <c r="FS305" s="39"/>
      <c r="FT305" s="39"/>
      <c r="FU305" s="39"/>
      <c r="FV305" s="39"/>
      <c r="FW305" s="39"/>
      <c r="FX305" s="39"/>
      <c r="FY305" s="39"/>
      <c r="FZ305" s="39"/>
      <c r="GA305" s="39"/>
      <c r="GB305" s="39"/>
      <c r="GC305" s="39"/>
      <c r="GD305" s="39"/>
      <c r="GE305" s="39"/>
      <c r="GF305" s="39"/>
      <c r="GG305" s="39"/>
      <c r="GH305" s="39"/>
      <c r="GI305" s="39"/>
      <c r="GJ305" s="39"/>
      <c r="GK305" s="39"/>
      <c r="GL305" s="39"/>
      <c r="GM305" s="39"/>
      <c r="GN305" s="39"/>
      <c r="GO305" s="39"/>
      <c r="GP305" s="39"/>
      <c r="GQ305" s="39"/>
      <c r="GR305" s="39"/>
      <c r="GS305" s="39"/>
      <c r="GT305" s="39"/>
      <c r="GU305" s="39"/>
      <c r="GV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  <c r="EV306" s="39"/>
      <c r="EW306" s="39"/>
      <c r="EX306" s="39"/>
      <c r="EY306" s="39"/>
      <c r="EZ306" s="39"/>
      <c r="FA306" s="39"/>
      <c r="FB306" s="39"/>
      <c r="FC306" s="39"/>
      <c r="FD306" s="39"/>
      <c r="FE306" s="39"/>
      <c r="FF306" s="39"/>
      <c r="FG306" s="39"/>
      <c r="FH306" s="39"/>
      <c r="FI306" s="39"/>
      <c r="FJ306" s="39"/>
      <c r="FK306" s="39"/>
      <c r="FL306" s="39"/>
      <c r="FM306" s="39"/>
      <c r="FN306" s="39"/>
      <c r="FO306" s="39"/>
      <c r="FP306" s="39"/>
      <c r="FQ306" s="39"/>
      <c r="FR306" s="39"/>
      <c r="FS306" s="39"/>
      <c r="FT306" s="39"/>
      <c r="FU306" s="39"/>
      <c r="FV306" s="39"/>
      <c r="FW306" s="39"/>
      <c r="FX306" s="39"/>
      <c r="FY306" s="39"/>
      <c r="FZ306" s="39"/>
      <c r="GA306" s="39"/>
      <c r="GB306" s="39"/>
      <c r="GC306" s="39"/>
      <c r="GD306" s="39"/>
      <c r="GE306" s="39"/>
      <c r="GF306" s="39"/>
      <c r="GG306" s="39"/>
      <c r="GH306" s="39"/>
      <c r="GI306" s="39"/>
      <c r="GJ306" s="39"/>
      <c r="GK306" s="39"/>
      <c r="GL306" s="39"/>
      <c r="GM306" s="39"/>
      <c r="GN306" s="39"/>
      <c r="GO306" s="39"/>
      <c r="GP306" s="39"/>
      <c r="GQ306" s="39"/>
      <c r="GR306" s="39"/>
      <c r="GS306" s="39"/>
      <c r="GT306" s="39"/>
      <c r="GU306" s="39"/>
      <c r="GV306" s="39"/>
    </row>
    <row r="307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</row>
    <row r="308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</row>
    <row r="309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</row>
    <row r="310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  <c r="EV310" s="39"/>
      <c r="EW310" s="39"/>
      <c r="EX310" s="39"/>
      <c r="EY310" s="39"/>
      <c r="EZ310" s="39"/>
      <c r="FA310" s="39"/>
      <c r="FB310" s="39"/>
      <c r="FC310" s="39"/>
      <c r="FD310" s="39"/>
      <c r="FE310" s="39"/>
      <c r="FF310" s="39"/>
      <c r="FG310" s="39"/>
      <c r="FH310" s="39"/>
      <c r="FI310" s="39"/>
      <c r="FJ310" s="39"/>
      <c r="FK310" s="39"/>
      <c r="FL310" s="39"/>
      <c r="FM310" s="39"/>
      <c r="FN310" s="39"/>
      <c r="FO310" s="39"/>
      <c r="FP310" s="39"/>
      <c r="FQ310" s="39"/>
      <c r="FR310" s="39"/>
      <c r="FS310" s="39"/>
      <c r="FT310" s="39"/>
      <c r="FU310" s="39"/>
      <c r="FV310" s="39"/>
      <c r="FW310" s="39"/>
      <c r="FX310" s="39"/>
      <c r="FY310" s="39"/>
      <c r="FZ310" s="39"/>
      <c r="GA310" s="39"/>
      <c r="GB310" s="39"/>
      <c r="GC310" s="39"/>
      <c r="GD310" s="39"/>
      <c r="GE310" s="39"/>
      <c r="GF310" s="39"/>
      <c r="GG310" s="39"/>
      <c r="GH310" s="39"/>
      <c r="GI310" s="39"/>
      <c r="GJ310" s="39"/>
      <c r="GK310" s="39"/>
      <c r="GL310" s="39"/>
      <c r="GM310" s="39"/>
      <c r="GN310" s="39"/>
      <c r="GO310" s="39"/>
      <c r="GP310" s="39"/>
      <c r="GQ310" s="39"/>
      <c r="GR310" s="39"/>
      <c r="GS310" s="39"/>
      <c r="GT310" s="39"/>
      <c r="GU310" s="39"/>
      <c r="GV310" s="39"/>
    </row>
    <row r="311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  <c r="EV311" s="39"/>
      <c r="EW311" s="39"/>
      <c r="EX311" s="39"/>
      <c r="EY311" s="39"/>
      <c r="EZ311" s="39"/>
      <c r="FA311" s="39"/>
      <c r="FB311" s="39"/>
      <c r="FC311" s="39"/>
      <c r="FD311" s="3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GQ311" s="39"/>
      <c r="GR311" s="39"/>
      <c r="GS311" s="39"/>
      <c r="GT311" s="39"/>
      <c r="GU311" s="39"/>
      <c r="GV311" s="3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2025-09-23T07:01:50Z</dcterms:created>
  <dc:creator>Liu Yu-Hsiang</dc:creator>
</cp:coreProperties>
</file>